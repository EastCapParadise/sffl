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Strickland\Desktop\sffl\data\"/>
    </mc:Choice>
  </mc:AlternateContent>
  <xr:revisionPtr revIDLastSave="0" documentId="13_ncr:1_{F90CA60E-2422-4509-BE97-075F8C7F3315}" xr6:coauthVersionLast="47" xr6:coauthVersionMax="47" xr10:uidLastSave="{00000000-0000-0000-0000-000000000000}"/>
  <bookViews>
    <workbookView xWindow="19090" yWindow="-10800" windowWidth="38620" windowHeight="21100" tabRatio="732" activeTab="5" xr2:uid="{00000000-000D-0000-FFFF-FFFF00000000}"/>
  </bookViews>
  <sheets>
    <sheet name="SFFL Main Page" sheetId="13" r:id="rId1"/>
    <sheet name="Owner View" sheetId="11" r:id="rId2"/>
    <sheet name="Compare Schedules" sheetId="23" r:id="rId3"/>
    <sheet name="Regular Season Data" sheetId="9" r:id="rId4"/>
    <sheet name="Playoff Data" sheetId="10" r:id="rId5"/>
    <sheet name="Final Tables" sheetId="14" r:id="rId6"/>
    <sheet name="Pivots" sheetId="17" r:id="rId7"/>
    <sheet name="References" sheetId="12" r:id="rId8"/>
    <sheet name="Championship Rosters" sheetId="19" r:id="rId9"/>
    <sheet name="Champ Ros Pivots" sheetId="20" r:id="rId10"/>
    <sheet name="Watty Football" sheetId="21" r:id="rId11"/>
    <sheet name="Sheet1" sheetId="22" r:id="rId12"/>
  </sheets>
  <definedNames>
    <definedName name="_xlnm._FilterDatabase" localSheetId="8" hidden="1">'Championship Rosters'!$A$1:$Q$169</definedName>
    <definedName name="_xlnm._FilterDatabase" localSheetId="5" hidden="1">'Final Tables'!$A$1:$W$157</definedName>
    <definedName name="_xlnm._FilterDatabase" localSheetId="1" hidden="1">'Owner View'!#REF!</definedName>
    <definedName name="_xlnm._FilterDatabase" localSheetId="4" hidden="1">'Playoff Data'!$A$1:$J$113</definedName>
    <definedName name="_xlnm._FilterDatabase" localSheetId="7" hidden="1">References!$A$1:$A$1</definedName>
    <definedName name="_xlnm._FilterDatabase" localSheetId="3" hidden="1">'Regular Season Data'!$A$1:$Q$2093</definedName>
    <definedName name="_xlnm._FilterDatabase" localSheetId="11" hidden="1">Sheet1!$A$3:$T$153</definedName>
    <definedName name="diff">'Regular Season Data'!$J:$J</definedName>
    <definedName name="gameid">'Regular Season Data'!$A:$A</definedName>
    <definedName name="managers">'Regular Season Data'!$D:$D</definedName>
    <definedName name="opponent">'Regular Season Data'!$E:$E</definedName>
    <definedName name="outcome">'Regular Season Data'!$K:$K</definedName>
    <definedName name="owners">References!$A$2:$A$16</definedName>
    <definedName name="points">'Regular Season Data'!$I:$I</definedName>
    <definedName name="season">'Regular Season Data'!$F:$F</definedName>
    <definedName name="years">References!$A$18:$A$30</definedName>
  </definedNames>
  <calcPr calcId="191029"/>
  <pivotCaches>
    <pivotCache cacheId="46" r:id="rId13"/>
    <pivotCache cacheId="47" r:id="rId14"/>
    <pivotCache cacheId="4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4" i="14" l="1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G128" i="10"/>
  <c r="H128" i="10"/>
  <c r="G129" i="10"/>
  <c r="H129" i="10" s="1"/>
  <c r="G130" i="10"/>
  <c r="H130" i="10" s="1"/>
  <c r="G131" i="10"/>
  <c r="H131" i="10" s="1"/>
  <c r="G132" i="10"/>
  <c r="H132" i="10" s="1"/>
  <c r="G133" i="10"/>
  <c r="H133" i="10"/>
  <c r="G134" i="10"/>
  <c r="H134" i="10" s="1"/>
  <c r="G135" i="10"/>
  <c r="H135" i="10" s="1"/>
  <c r="G136" i="10"/>
  <c r="H136" i="10" s="1"/>
  <c r="G137" i="10"/>
  <c r="H137" i="10" s="1"/>
  <c r="G138" i="10"/>
  <c r="H138" i="10" s="1"/>
  <c r="G139" i="10"/>
  <c r="H139" i="10" s="1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L2080" i="9"/>
  <c r="M2080" i="9" s="1"/>
  <c r="L2081" i="9"/>
  <c r="M2081" i="9" s="1"/>
  <c r="L2082" i="9"/>
  <c r="M2082" i="9" s="1"/>
  <c r="L2083" i="9"/>
  <c r="M2083" i="9" s="1"/>
  <c r="L2084" i="9"/>
  <c r="M2084" i="9" s="1"/>
  <c r="L2085" i="9"/>
  <c r="M2085" i="9" s="1"/>
  <c r="L2086" i="9"/>
  <c r="M2086" i="9" s="1"/>
  <c r="L2087" i="9"/>
  <c r="M2087" i="9" s="1"/>
  <c r="L2088" i="9"/>
  <c r="M2088" i="9" s="1"/>
  <c r="L2089" i="9"/>
  <c r="M2089" i="9" s="1"/>
  <c r="L2090" i="9"/>
  <c r="M2090" i="9" s="1"/>
  <c r="L2091" i="9"/>
  <c r="M2091" i="9" s="1"/>
  <c r="L2092" i="9"/>
  <c r="M2092" i="9" s="1"/>
  <c r="L2093" i="9"/>
  <c r="M2093" i="9" s="1"/>
  <c r="J2066" i="9"/>
  <c r="K2066" i="9" s="1"/>
  <c r="J2067" i="9"/>
  <c r="K2067" i="9" s="1"/>
  <c r="J2068" i="9"/>
  <c r="P2068" i="9" s="1"/>
  <c r="K2068" i="9"/>
  <c r="J2069" i="9"/>
  <c r="P2069" i="9" s="1"/>
  <c r="J2070" i="9"/>
  <c r="K2070" i="9" s="1"/>
  <c r="J2071" i="9"/>
  <c r="P2071" i="9" s="1"/>
  <c r="J2072" i="9"/>
  <c r="P2072" i="9" s="1"/>
  <c r="J2073" i="9"/>
  <c r="P2073" i="9" s="1"/>
  <c r="J2074" i="9"/>
  <c r="K2074" i="9" s="1"/>
  <c r="J2075" i="9"/>
  <c r="P2075" i="9" s="1"/>
  <c r="K2075" i="9"/>
  <c r="J2076" i="9"/>
  <c r="P2076" i="9" s="1"/>
  <c r="J2077" i="9"/>
  <c r="K2077" i="9" s="1"/>
  <c r="J2078" i="9"/>
  <c r="K2078" i="9" s="1"/>
  <c r="J2079" i="9"/>
  <c r="P2079" i="9" s="1"/>
  <c r="K2079" i="9"/>
  <c r="J2080" i="9"/>
  <c r="J2081" i="9"/>
  <c r="J2082" i="9"/>
  <c r="K2082" i="9" s="1"/>
  <c r="J2083" i="9"/>
  <c r="K2083" i="9" s="1"/>
  <c r="J2084" i="9"/>
  <c r="P2084" i="9" s="1"/>
  <c r="J2085" i="9"/>
  <c r="K2085" i="9" s="1"/>
  <c r="J2086" i="9"/>
  <c r="K2086" i="9" s="1"/>
  <c r="J2087" i="9"/>
  <c r="P2087" i="9" s="1"/>
  <c r="K2087" i="9"/>
  <c r="J2088" i="9"/>
  <c r="K2088" i="9" s="1"/>
  <c r="J2089" i="9"/>
  <c r="P2089" i="9" s="1"/>
  <c r="J2090" i="9"/>
  <c r="K2090" i="9" s="1"/>
  <c r="J2091" i="9"/>
  <c r="K2091" i="9" s="1"/>
  <c r="J2092" i="9"/>
  <c r="K2092" i="9" s="1"/>
  <c r="J2093" i="9"/>
  <c r="K2093" i="9" s="1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A2066" i="9"/>
  <c r="C2066" i="9"/>
  <c r="A2067" i="9"/>
  <c r="C2067" i="9"/>
  <c r="A2068" i="9"/>
  <c r="C2068" i="9"/>
  <c r="A2069" i="9"/>
  <c r="C2069" i="9"/>
  <c r="A2070" i="9"/>
  <c r="C2070" i="9"/>
  <c r="A2071" i="9"/>
  <c r="C2071" i="9"/>
  <c r="A2072" i="9"/>
  <c r="C2072" i="9"/>
  <c r="A2073" i="9"/>
  <c r="C2073" i="9"/>
  <c r="A2074" i="9"/>
  <c r="C2074" i="9"/>
  <c r="A2075" i="9"/>
  <c r="C2075" i="9"/>
  <c r="A2076" i="9"/>
  <c r="C2076" i="9"/>
  <c r="A2077" i="9"/>
  <c r="C2077" i="9"/>
  <c r="A2078" i="9"/>
  <c r="C2078" i="9"/>
  <c r="A2079" i="9"/>
  <c r="C2079" i="9"/>
  <c r="A2080" i="9"/>
  <c r="C2080" i="9"/>
  <c r="A2081" i="9"/>
  <c r="C2081" i="9"/>
  <c r="A2082" i="9"/>
  <c r="C2082" i="9"/>
  <c r="A2083" i="9"/>
  <c r="C2083" i="9"/>
  <c r="A2084" i="9"/>
  <c r="C2084" i="9"/>
  <c r="A2085" i="9"/>
  <c r="C2085" i="9"/>
  <c r="A2086" i="9"/>
  <c r="C2086" i="9"/>
  <c r="A2087" i="9"/>
  <c r="C2087" i="9"/>
  <c r="A2088" i="9"/>
  <c r="C2088" i="9"/>
  <c r="A2089" i="9"/>
  <c r="C2089" i="9"/>
  <c r="A2090" i="9"/>
  <c r="C2090" i="9"/>
  <c r="A2091" i="9"/>
  <c r="C2091" i="9"/>
  <c r="A2092" i="9"/>
  <c r="C2092" i="9"/>
  <c r="A2093" i="9"/>
  <c r="C2093" i="9"/>
  <c r="L2079" i="9"/>
  <c r="M2079" i="9" s="1"/>
  <c r="L2078" i="9"/>
  <c r="M2078" i="9" s="1"/>
  <c r="L2077" i="9"/>
  <c r="M2077" i="9" s="1"/>
  <c r="L2076" i="9"/>
  <c r="M2076" i="9" s="1"/>
  <c r="N2076" i="9" s="1"/>
  <c r="L2075" i="9"/>
  <c r="M2075" i="9" s="1"/>
  <c r="L2074" i="9"/>
  <c r="M2074" i="9" s="1"/>
  <c r="N2074" i="9" s="1"/>
  <c r="L2073" i="9"/>
  <c r="M2073" i="9" s="1"/>
  <c r="L2072" i="9"/>
  <c r="M2072" i="9" s="1"/>
  <c r="N2072" i="9" s="1"/>
  <c r="L2071" i="9"/>
  <c r="M2071" i="9" s="1"/>
  <c r="L2070" i="9"/>
  <c r="M2070" i="9" s="1"/>
  <c r="L2069" i="9"/>
  <c r="M2069" i="9" s="1"/>
  <c r="L2068" i="9"/>
  <c r="M2068" i="9" s="1"/>
  <c r="N2068" i="9" s="1"/>
  <c r="L2067" i="9"/>
  <c r="M2067" i="9" s="1"/>
  <c r="L2066" i="9"/>
  <c r="M2066" i="9" s="1"/>
  <c r="O2052" i="9"/>
  <c r="O2053" i="9"/>
  <c r="O2054" i="9"/>
  <c r="O2055" i="9"/>
  <c r="O2056" i="9"/>
  <c r="P2056" i="9"/>
  <c r="O2057" i="9"/>
  <c r="O2058" i="9"/>
  <c r="O2059" i="9"/>
  <c r="O2060" i="9"/>
  <c r="O2061" i="9"/>
  <c r="O2062" i="9"/>
  <c r="O2063" i="9"/>
  <c r="O2064" i="9"/>
  <c r="M2065" i="9"/>
  <c r="O2065" i="9"/>
  <c r="P2065" i="9"/>
  <c r="J2052" i="9"/>
  <c r="K2052" i="9" s="1"/>
  <c r="J2053" i="9"/>
  <c r="P2053" i="9" s="1"/>
  <c r="J2054" i="9"/>
  <c r="P2054" i="9" s="1"/>
  <c r="J2055" i="9"/>
  <c r="P2055" i="9" s="1"/>
  <c r="J2056" i="9"/>
  <c r="K2056" i="9" s="1"/>
  <c r="J2057" i="9"/>
  <c r="K2057" i="9" s="1"/>
  <c r="J2058" i="9"/>
  <c r="P2058" i="9" s="1"/>
  <c r="K2058" i="9"/>
  <c r="J2059" i="9"/>
  <c r="P2059" i="9" s="1"/>
  <c r="J2060" i="9"/>
  <c r="K2060" i="9" s="1"/>
  <c r="J2061" i="9"/>
  <c r="K2061" i="9" s="1"/>
  <c r="J2062" i="9"/>
  <c r="P2062" i="9" s="1"/>
  <c r="J2063" i="9"/>
  <c r="K2063" i="9" s="1"/>
  <c r="J2064" i="9"/>
  <c r="P2064" i="9" s="1"/>
  <c r="J2065" i="9"/>
  <c r="K2065" i="9" s="1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A2052" i="9"/>
  <c r="C2052" i="9"/>
  <c r="A2053" i="9"/>
  <c r="C2053" i="9"/>
  <c r="A2054" i="9"/>
  <c r="C2054" i="9"/>
  <c r="A2055" i="9"/>
  <c r="C2055" i="9"/>
  <c r="A2056" i="9"/>
  <c r="C2056" i="9"/>
  <c r="A2057" i="9"/>
  <c r="C2057" i="9"/>
  <c r="A2058" i="9"/>
  <c r="C2058" i="9"/>
  <c r="A2059" i="9"/>
  <c r="C2059" i="9"/>
  <c r="A2060" i="9"/>
  <c r="C2060" i="9"/>
  <c r="A2061" i="9"/>
  <c r="C2061" i="9"/>
  <c r="A2062" i="9"/>
  <c r="C2062" i="9"/>
  <c r="A2063" i="9"/>
  <c r="C2063" i="9"/>
  <c r="A2064" i="9"/>
  <c r="C2064" i="9"/>
  <c r="A2065" i="9"/>
  <c r="C2065" i="9"/>
  <c r="L2065" i="9"/>
  <c r="L2064" i="9"/>
  <c r="M2064" i="9" s="1"/>
  <c r="N2064" i="9" s="1"/>
  <c r="L2063" i="9"/>
  <c r="M2063" i="9" s="1"/>
  <c r="L2062" i="9"/>
  <c r="M2062" i="9" s="1"/>
  <c r="L2061" i="9"/>
  <c r="M2061" i="9" s="1"/>
  <c r="L2060" i="9"/>
  <c r="M2060" i="9" s="1"/>
  <c r="L2059" i="9"/>
  <c r="M2059" i="9" s="1"/>
  <c r="L2058" i="9"/>
  <c r="M2058" i="9" s="1"/>
  <c r="N2058" i="9" s="1"/>
  <c r="L2057" i="9"/>
  <c r="M2057" i="9" s="1"/>
  <c r="L2056" i="9"/>
  <c r="M2056" i="9" s="1"/>
  <c r="N2056" i="9" s="1"/>
  <c r="L2055" i="9"/>
  <c r="M2055" i="9" s="1"/>
  <c r="L2054" i="9"/>
  <c r="M2054" i="9" s="1"/>
  <c r="N2054" i="9" s="1"/>
  <c r="L2053" i="9"/>
  <c r="M2053" i="9" s="1"/>
  <c r="L2052" i="9"/>
  <c r="M2052" i="9" s="1"/>
  <c r="O1996" i="9"/>
  <c r="O1997" i="9"/>
  <c r="O1998" i="9"/>
  <c r="O1999" i="9"/>
  <c r="O2000" i="9"/>
  <c r="O2001" i="9"/>
  <c r="P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P2014" i="9"/>
  <c r="O2015" i="9"/>
  <c r="O2016" i="9"/>
  <c r="O2017" i="9"/>
  <c r="O2018" i="9"/>
  <c r="P2018" i="9"/>
  <c r="O2019" i="9"/>
  <c r="O2020" i="9"/>
  <c r="O2021" i="9"/>
  <c r="O2022" i="9"/>
  <c r="O2023" i="9"/>
  <c r="P2023" i="9"/>
  <c r="O2024" i="9"/>
  <c r="O2025" i="9"/>
  <c r="O2026" i="9"/>
  <c r="P2026" i="9"/>
  <c r="O2027" i="9"/>
  <c r="O2028" i="9"/>
  <c r="O2029" i="9"/>
  <c r="O2030" i="9"/>
  <c r="P2030" i="9"/>
  <c r="O2031" i="9"/>
  <c r="P2031" i="9"/>
  <c r="O2032" i="9"/>
  <c r="O2033" i="9"/>
  <c r="O2034" i="9"/>
  <c r="O2035" i="9"/>
  <c r="O2036" i="9"/>
  <c r="P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J1996" i="9"/>
  <c r="K1996" i="9" s="1"/>
  <c r="J1997" i="9"/>
  <c r="P1997" i="9" s="1"/>
  <c r="J1998" i="9"/>
  <c r="K1998" i="9" s="1"/>
  <c r="J1999" i="9"/>
  <c r="P1999" i="9" s="1"/>
  <c r="J2000" i="9"/>
  <c r="P2000" i="9" s="1"/>
  <c r="J2001" i="9"/>
  <c r="K2001" i="9" s="1"/>
  <c r="J2002" i="9"/>
  <c r="K2002" i="9" s="1"/>
  <c r="J2003" i="9"/>
  <c r="P2003" i="9" s="1"/>
  <c r="K2003" i="9"/>
  <c r="J2004" i="9"/>
  <c r="P2004" i="9" s="1"/>
  <c r="J2005" i="9"/>
  <c r="K2005" i="9" s="1"/>
  <c r="J2006" i="9"/>
  <c r="K2006" i="9" s="1"/>
  <c r="J2007" i="9"/>
  <c r="P2007" i="9" s="1"/>
  <c r="J2008" i="9"/>
  <c r="K2008" i="9" s="1"/>
  <c r="J2009" i="9"/>
  <c r="P2009" i="9" s="1"/>
  <c r="K2009" i="9"/>
  <c r="J2010" i="9"/>
  <c r="P2010" i="9" s="1"/>
  <c r="J2011" i="9"/>
  <c r="K2011" i="9" s="1"/>
  <c r="J2012" i="9"/>
  <c r="P2012" i="9" s="1"/>
  <c r="K2012" i="9"/>
  <c r="J2013" i="9"/>
  <c r="P2013" i="9" s="1"/>
  <c r="K2013" i="9"/>
  <c r="J2014" i="9"/>
  <c r="K2014" i="9" s="1"/>
  <c r="J2015" i="9"/>
  <c r="K2015" i="9" s="1"/>
  <c r="J2016" i="9"/>
  <c r="P2016" i="9" s="1"/>
  <c r="J2017" i="9"/>
  <c r="K2017" i="9" s="1"/>
  <c r="J2018" i="9"/>
  <c r="K2018" i="9"/>
  <c r="J2019" i="9"/>
  <c r="P2019" i="9" s="1"/>
  <c r="J2020" i="9"/>
  <c r="K2020" i="9" s="1"/>
  <c r="J2021" i="9"/>
  <c r="K2021" i="9" s="1"/>
  <c r="J2022" i="9"/>
  <c r="P2022" i="9" s="1"/>
  <c r="J2023" i="9"/>
  <c r="K2023" i="9" s="1"/>
  <c r="J2024" i="9"/>
  <c r="P2024" i="9" s="1"/>
  <c r="J2025" i="9"/>
  <c r="P2025" i="9" s="1"/>
  <c r="K2025" i="9"/>
  <c r="J2026" i="9"/>
  <c r="K2026" i="9" s="1"/>
  <c r="J2027" i="9"/>
  <c r="P2027" i="9" s="1"/>
  <c r="J2028" i="9"/>
  <c r="P2028" i="9" s="1"/>
  <c r="K2028" i="9"/>
  <c r="J2029" i="9"/>
  <c r="K2029" i="9" s="1"/>
  <c r="J2030" i="9"/>
  <c r="K2030" i="9" s="1"/>
  <c r="J2031" i="9"/>
  <c r="K2031" i="9" s="1"/>
  <c r="J2032" i="9"/>
  <c r="K2032" i="9" s="1"/>
  <c r="J2033" i="9"/>
  <c r="P2033" i="9" s="1"/>
  <c r="K2033" i="9"/>
  <c r="J2034" i="9"/>
  <c r="P2034" i="9" s="1"/>
  <c r="J2035" i="9"/>
  <c r="K2035" i="9" s="1"/>
  <c r="J2036" i="9"/>
  <c r="K2036" i="9"/>
  <c r="J2037" i="9"/>
  <c r="P2037" i="9" s="1"/>
  <c r="K2037" i="9"/>
  <c r="J2038" i="9"/>
  <c r="K2038" i="9" s="1"/>
  <c r="J2039" i="9"/>
  <c r="K2039" i="9" s="1"/>
  <c r="J2040" i="9"/>
  <c r="P2040" i="9" s="1"/>
  <c r="J2041" i="9"/>
  <c r="K2041" i="9" s="1"/>
  <c r="J2042" i="9"/>
  <c r="P2042" i="9" s="1"/>
  <c r="K2042" i="9"/>
  <c r="J2043" i="9"/>
  <c r="P2043" i="9" s="1"/>
  <c r="J2044" i="9"/>
  <c r="K2044" i="9" s="1"/>
  <c r="J2045" i="9"/>
  <c r="K2045" i="9" s="1"/>
  <c r="J2046" i="9"/>
  <c r="K2046" i="9" s="1"/>
  <c r="J2047" i="9"/>
  <c r="K2047" i="9" s="1"/>
  <c r="J2048" i="9"/>
  <c r="P2048" i="9" s="1"/>
  <c r="J2049" i="9"/>
  <c r="P2049" i="9" s="1"/>
  <c r="K2049" i="9"/>
  <c r="J2050" i="9"/>
  <c r="K2050" i="9" s="1"/>
  <c r="J2051" i="9"/>
  <c r="P2051" i="9" s="1"/>
  <c r="A1996" i="9"/>
  <c r="C1996" i="9"/>
  <c r="A1997" i="9"/>
  <c r="C1997" i="9"/>
  <c r="A1998" i="9"/>
  <c r="C1998" i="9"/>
  <c r="A1999" i="9"/>
  <c r="C1999" i="9"/>
  <c r="A2000" i="9"/>
  <c r="C2000" i="9"/>
  <c r="A2001" i="9"/>
  <c r="C2001" i="9"/>
  <c r="A2002" i="9"/>
  <c r="C2002" i="9"/>
  <c r="A2003" i="9"/>
  <c r="C2003" i="9"/>
  <c r="A2004" i="9"/>
  <c r="C2004" i="9"/>
  <c r="A2005" i="9"/>
  <c r="C2005" i="9"/>
  <c r="A2006" i="9"/>
  <c r="C2006" i="9"/>
  <c r="A2007" i="9"/>
  <c r="C2007" i="9"/>
  <c r="A2008" i="9"/>
  <c r="C2008" i="9"/>
  <c r="A2009" i="9"/>
  <c r="C2009" i="9"/>
  <c r="A2010" i="9"/>
  <c r="C2010" i="9"/>
  <c r="A2011" i="9"/>
  <c r="C2011" i="9"/>
  <c r="A2012" i="9"/>
  <c r="C2012" i="9"/>
  <c r="A2013" i="9"/>
  <c r="C2013" i="9"/>
  <c r="A2014" i="9"/>
  <c r="C2014" i="9"/>
  <c r="A2015" i="9"/>
  <c r="C2015" i="9"/>
  <c r="A2016" i="9"/>
  <c r="C2016" i="9"/>
  <c r="A2017" i="9"/>
  <c r="C2017" i="9"/>
  <c r="A2018" i="9"/>
  <c r="C2018" i="9"/>
  <c r="A2019" i="9"/>
  <c r="C2019" i="9"/>
  <c r="A2020" i="9"/>
  <c r="C2020" i="9"/>
  <c r="A2021" i="9"/>
  <c r="C2021" i="9"/>
  <c r="A2022" i="9"/>
  <c r="C2022" i="9"/>
  <c r="A2023" i="9"/>
  <c r="C2023" i="9"/>
  <c r="A2024" i="9"/>
  <c r="C2024" i="9"/>
  <c r="A2025" i="9"/>
  <c r="C2025" i="9"/>
  <c r="A2026" i="9"/>
  <c r="C2026" i="9"/>
  <c r="A2027" i="9"/>
  <c r="C2027" i="9"/>
  <c r="A2028" i="9"/>
  <c r="C2028" i="9"/>
  <c r="A2029" i="9"/>
  <c r="C2029" i="9"/>
  <c r="A2030" i="9"/>
  <c r="C2030" i="9"/>
  <c r="A2031" i="9"/>
  <c r="C2031" i="9"/>
  <c r="A2032" i="9"/>
  <c r="C2032" i="9"/>
  <c r="A2033" i="9"/>
  <c r="C2033" i="9"/>
  <c r="A2034" i="9"/>
  <c r="C2034" i="9"/>
  <c r="A2035" i="9"/>
  <c r="C2035" i="9"/>
  <c r="A2036" i="9"/>
  <c r="C2036" i="9"/>
  <c r="A2037" i="9"/>
  <c r="C2037" i="9"/>
  <c r="A2038" i="9"/>
  <c r="C2038" i="9"/>
  <c r="A2039" i="9"/>
  <c r="C2039" i="9"/>
  <c r="A2040" i="9"/>
  <c r="C2040" i="9"/>
  <c r="A2041" i="9"/>
  <c r="C2041" i="9"/>
  <c r="A2042" i="9"/>
  <c r="C2042" i="9"/>
  <c r="A2043" i="9"/>
  <c r="C2043" i="9"/>
  <c r="A2044" i="9"/>
  <c r="C2044" i="9"/>
  <c r="A2045" i="9"/>
  <c r="C2045" i="9"/>
  <c r="A2046" i="9"/>
  <c r="C2046" i="9"/>
  <c r="A2047" i="9"/>
  <c r="C2047" i="9"/>
  <c r="A2048" i="9"/>
  <c r="C2048" i="9"/>
  <c r="A2049" i="9"/>
  <c r="C2049" i="9"/>
  <c r="A2050" i="9"/>
  <c r="C2050" i="9"/>
  <c r="A2051" i="9"/>
  <c r="C2051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L2051" i="9"/>
  <c r="M2051" i="9" s="1"/>
  <c r="L2050" i="9"/>
  <c r="M2050" i="9" s="1"/>
  <c r="L2049" i="9"/>
  <c r="M2049" i="9" s="1"/>
  <c r="L2048" i="9"/>
  <c r="M2048" i="9" s="1"/>
  <c r="N2048" i="9" s="1"/>
  <c r="L2047" i="9"/>
  <c r="M2047" i="9" s="1"/>
  <c r="L2046" i="9"/>
  <c r="M2046" i="9" s="1"/>
  <c r="N2046" i="9" s="1"/>
  <c r="L2045" i="9"/>
  <c r="M2045" i="9" s="1"/>
  <c r="L2044" i="9"/>
  <c r="M2044" i="9" s="1"/>
  <c r="L2043" i="9"/>
  <c r="M2043" i="9" s="1"/>
  <c r="L2042" i="9"/>
  <c r="M2042" i="9" s="1"/>
  <c r="L2041" i="9"/>
  <c r="M2041" i="9" s="1"/>
  <c r="L2040" i="9"/>
  <c r="M2040" i="9" s="1"/>
  <c r="N2040" i="9" s="1"/>
  <c r="L2039" i="9"/>
  <c r="M2039" i="9" s="1"/>
  <c r="L2038" i="9"/>
  <c r="M2038" i="9" s="1"/>
  <c r="N2038" i="9" s="1"/>
  <c r="L2037" i="9"/>
  <c r="M2037" i="9" s="1"/>
  <c r="L2036" i="9"/>
  <c r="M2036" i="9" s="1"/>
  <c r="L2035" i="9"/>
  <c r="M2035" i="9" s="1"/>
  <c r="L2034" i="9"/>
  <c r="M2034" i="9" s="1"/>
  <c r="L2033" i="9"/>
  <c r="M2033" i="9" s="1"/>
  <c r="L2032" i="9"/>
  <c r="M2032" i="9" s="1"/>
  <c r="N2032" i="9" s="1"/>
  <c r="L2031" i="9"/>
  <c r="M2031" i="9" s="1"/>
  <c r="L2030" i="9"/>
  <c r="M2030" i="9" s="1"/>
  <c r="N2030" i="9" s="1"/>
  <c r="L2029" i="9"/>
  <c r="M2029" i="9" s="1"/>
  <c r="L2028" i="9"/>
  <c r="M2028" i="9" s="1"/>
  <c r="L2027" i="9"/>
  <c r="M2027" i="9" s="1"/>
  <c r="L2026" i="9"/>
  <c r="M2026" i="9" s="1"/>
  <c r="L2025" i="9"/>
  <c r="M2025" i="9" s="1"/>
  <c r="L2024" i="9"/>
  <c r="M2024" i="9" s="1"/>
  <c r="N2024" i="9" s="1"/>
  <c r="L2023" i="9"/>
  <c r="M2023" i="9" s="1"/>
  <c r="L2022" i="9"/>
  <c r="M2022" i="9" s="1"/>
  <c r="N2022" i="9" s="1"/>
  <c r="L2021" i="9"/>
  <c r="M2021" i="9" s="1"/>
  <c r="L2020" i="9"/>
  <c r="M2020" i="9" s="1"/>
  <c r="L2019" i="9"/>
  <c r="M2019" i="9" s="1"/>
  <c r="L2018" i="9"/>
  <c r="M2018" i="9" s="1"/>
  <c r="L2017" i="9"/>
  <c r="M2017" i="9" s="1"/>
  <c r="L2016" i="9"/>
  <c r="M2016" i="9" s="1"/>
  <c r="N2016" i="9" s="1"/>
  <c r="L2015" i="9"/>
  <c r="M2015" i="9" s="1"/>
  <c r="L2014" i="9"/>
  <c r="M2014" i="9" s="1"/>
  <c r="N2014" i="9" s="1"/>
  <c r="L2013" i="9"/>
  <c r="M2013" i="9" s="1"/>
  <c r="L2012" i="9"/>
  <c r="M2012" i="9" s="1"/>
  <c r="L2011" i="9"/>
  <c r="M2011" i="9" s="1"/>
  <c r="L2010" i="9"/>
  <c r="M2010" i="9" s="1"/>
  <c r="L2009" i="9"/>
  <c r="M2009" i="9" s="1"/>
  <c r="L2008" i="9"/>
  <c r="M2008" i="9" s="1"/>
  <c r="N2008" i="9" s="1"/>
  <c r="L2007" i="9"/>
  <c r="M2007" i="9" s="1"/>
  <c r="L2006" i="9"/>
  <c r="M2006" i="9" s="1"/>
  <c r="N2006" i="9" s="1"/>
  <c r="L2005" i="9"/>
  <c r="M2005" i="9" s="1"/>
  <c r="L2004" i="9"/>
  <c r="M2004" i="9" s="1"/>
  <c r="L2003" i="9"/>
  <c r="M2003" i="9" s="1"/>
  <c r="L2002" i="9"/>
  <c r="M2002" i="9" s="1"/>
  <c r="L2001" i="9"/>
  <c r="M2001" i="9" s="1"/>
  <c r="L2000" i="9"/>
  <c r="M2000" i="9" s="1"/>
  <c r="N2000" i="9" s="1"/>
  <c r="L1999" i="9"/>
  <c r="M1999" i="9" s="1"/>
  <c r="L1998" i="9"/>
  <c r="M1998" i="9" s="1"/>
  <c r="N1998" i="9" s="1"/>
  <c r="L1997" i="9"/>
  <c r="M1997" i="9" s="1"/>
  <c r="L1996" i="9"/>
  <c r="M1996" i="9" s="1"/>
  <c r="O1982" i="9"/>
  <c r="O1983" i="9"/>
  <c r="O1984" i="9"/>
  <c r="O1985" i="9"/>
  <c r="O1986" i="9"/>
  <c r="O1987" i="9"/>
  <c r="O1988" i="9"/>
  <c r="O1989" i="9"/>
  <c r="P1989" i="9"/>
  <c r="O1990" i="9"/>
  <c r="O1991" i="9"/>
  <c r="O1992" i="9"/>
  <c r="O1993" i="9"/>
  <c r="O1994" i="9"/>
  <c r="O1995" i="9"/>
  <c r="J1982" i="9"/>
  <c r="K1982" i="9" s="1"/>
  <c r="J1983" i="9"/>
  <c r="P1983" i="9" s="1"/>
  <c r="J1984" i="9"/>
  <c r="K1984" i="9" s="1"/>
  <c r="J1985" i="9"/>
  <c r="K1985" i="9" s="1"/>
  <c r="J1986" i="9"/>
  <c r="J1987" i="9"/>
  <c r="K1987" i="9" s="1"/>
  <c r="J1988" i="9"/>
  <c r="P1988" i="9" s="1"/>
  <c r="K1988" i="9"/>
  <c r="J1989" i="9"/>
  <c r="K1989" i="9" s="1"/>
  <c r="J1990" i="9"/>
  <c r="P1990" i="9" s="1"/>
  <c r="J1991" i="9"/>
  <c r="K1991" i="9" s="1"/>
  <c r="J1992" i="9"/>
  <c r="K1992" i="9" s="1"/>
  <c r="J1993" i="9"/>
  <c r="K1993" i="9"/>
  <c r="J1994" i="9"/>
  <c r="K1994" i="9" s="1"/>
  <c r="J1995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A1982" i="9"/>
  <c r="C1982" i="9"/>
  <c r="A1983" i="9"/>
  <c r="C1983" i="9"/>
  <c r="A1984" i="9"/>
  <c r="C1984" i="9"/>
  <c r="A1985" i="9"/>
  <c r="C1985" i="9"/>
  <c r="A1986" i="9"/>
  <c r="C1986" i="9"/>
  <c r="A1987" i="9"/>
  <c r="C1987" i="9"/>
  <c r="A1988" i="9"/>
  <c r="C1988" i="9"/>
  <c r="A1989" i="9"/>
  <c r="C1989" i="9"/>
  <c r="A1990" i="9"/>
  <c r="C1990" i="9"/>
  <c r="A1991" i="9"/>
  <c r="C1991" i="9"/>
  <c r="A1992" i="9"/>
  <c r="C1992" i="9"/>
  <c r="A1993" i="9"/>
  <c r="C1993" i="9"/>
  <c r="A1994" i="9"/>
  <c r="C1994" i="9"/>
  <c r="A1995" i="9"/>
  <c r="C1995" i="9"/>
  <c r="L1995" i="9"/>
  <c r="M1995" i="9" s="1"/>
  <c r="L1994" i="9"/>
  <c r="M1994" i="9" s="1"/>
  <c r="L1993" i="9"/>
  <c r="M1993" i="9" s="1"/>
  <c r="L1992" i="9"/>
  <c r="M1992" i="9" s="1"/>
  <c r="L1991" i="9"/>
  <c r="M1991" i="9" s="1"/>
  <c r="L1990" i="9"/>
  <c r="M1990" i="9" s="1"/>
  <c r="L1989" i="9"/>
  <c r="M1989" i="9" s="1"/>
  <c r="L1988" i="9"/>
  <c r="M1988" i="9" s="1"/>
  <c r="L1987" i="9"/>
  <c r="M1987" i="9" s="1"/>
  <c r="L1986" i="9"/>
  <c r="M1986" i="9" s="1"/>
  <c r="L1985" i="9"/>
  <c r="M1985" i="9" s="1"/>
  <c r="L1984" i="9"/>
  <c r="M1984" i="9" s="1"/>
  <c r="N1984" i="9" s="1"/>
  <c r="L1983" i="9"/>
  <c r="M1983" i="9" s="1"/>
  <c r="L1982" i="9"/>
  <c r="M1982" i="9" s="1"/>
  <c r="N2057" i="9" l="1"/>
  <c r="N2003" i="9"/>
  <c r="N2011" i="9"/>
  <c r="N2019" i="9"/>
  <c r="N2027" i="9"/>
  <c r="N2035" i="9"/>
  <c r="N2043" i="9"/>
  <c r="N2051" i="9"/>
  <c r="N2053" i="9"/>
  <c r="N2061" i="9"/>
  <c r="P2052" i="9"/>
  <c r="N2071" i="9"/>
  <c r="P1987" i="9"/>
  <c r="N1997" i="9"/>
  <c r="N2005" i="9"/>
  <c r="N2013" i="9"/>
  <c r="N2021" i="9"/>
  <c r="N2029" i="9"/>
  <c r="N2037" i="9"/>
  <c r="N2045" i="9"/>
  <c r="K2007" i="9"/>
  <c r="P2050" i="9"/>
  <c r="P2044" i="9"/>
  <c r="P2039" i="9"/>
  <c r="P2008" i="9"/>
  <c r="P1998" i="9"/>
  <c r="N2063" i="9"/>
  <c r="K2062" i="9"/>
  <c r="P2060" i="9"/>
  <c r="N2066" i="9"/>
  <c r="P2038" i="9"/>
  <c r="P2067" i="9"/>
  <c r="P2032" i="9"/>
  <c r="K1997" i="9"/>
  <c r="P2047" i="9"/>
  <c r="P2006" i="9"/>
  <c r="K2053" i="9"/>
  <c r="P2057" i="9"/>
  <c r="N2069" i="9"/>
  <c r="N2077" i="9"/>
  <c r="P2020" i="9"/>
  <c r="P2015" i="9"/>
  <c r="N1999" i="9"/>
  <c r="N2007" i="9"/>
  <c r="N2015" i="9"/>
  <c r="N2023" i="9"/>
  <c r="N2031" i="9"/>
  <c r="N2039" i="9"/>
  <c r="N2047" i="9"/>
  <c r="N2067" i="9"/>
  <c r="N2075" i="9"/>
  <c r="N2025" i="9"/>
  <c r="N2055" i="9"/>
  <c r="N2073" i="9"/>
  <c r="N2001" i="9"/>
  <c r="N2009" i="9"/>
  <c r="N2017" i="9"/>
  <c r="N2033" i="9"/>
  <c r="N2041" i="9"/>
  <c r="N2049" i="9"/>
  <c r="N2059" i="9"/>
  <c r="N2002" i="9"/>
  <c r="N2010" i="9"/>
  <c r="N2018" i="9"/>
  <c r="N2026" i="9"/>
  <c r="N2034" i="9"/>
  <c r="N2042" i="9"/>
  <c r="N2050" i="9"/>
  <c r="N2060" i="9"/>
  <c r="N2070" i="9"/>
  <c r="N2078" i="9"/>
  <c r="P1982" i="9"/>
  <c r="K2034" i="9"/>
  <c r="K2010" i="9"/>
  <c r="P2045" i="9"/>
  <c r="P2029" i="9"/>
  <c r="P2021" i="9"/>
  <c r="P2005" i="9"/>
  <c r="K2064" i="9"/>
  <c r="K2059" i="9"/>
  <c r="K2054" i="9"/>
  <c r="N2080" i="9"/>
  <c r="K2048" i="9"/>
  <c r="K2043" i="9"/>
  <c r="K2024" i="9"/>
  <c r="K2019" i="9"/>
  <c r="K2004" i="9"/>
  <c r="P2002" i="9"/>
  <c r="N2062" i="9"/>
  <c r="K2084" i="9"/>
  <c r="K2072" i="9"/>
  <c r="P2093" i="9"/>
  <c r="P2078" i="9"/>
  <c r="P2070" i="9"/>
  <c r="P2046" i="9"/>
  <c r="N2036" i="9"/>
  <c r="N2020" i="9"/>
  <c r="N1996" i="9"/>
  <c r="P2061" i="9"/>
  <c r="N2052" i="9"/>
  <c r="P2088" i="9"/>
  <c r="P1996" i="9"/>
  <c r="P2063" i="9"/>
  <c r="K2076" i="9"/>
  <c r="K2071" i="9"/>
  <c r="N1995" i="9"/>
  <c r="K2051" i="9"/>
  <c r="K2027" i="9"/>
  <c r="K2022" i="9"/>
  <c r="P2041" i="9"/>
  <c r="P2017" i="9"/>
  <c r="P2077" i="9"/>
  <c r="P2074" i="9"/>
  <c r="P2066" i="9"/>
  <c r="N2044" i="9"/>
  <c r="N2028" i="9"/>
  <c r="N2012" i="9"/>
  <c r="N2004" i="9"/>
  <c r="K1990" i="9"/>
  <c r="K2040" i="9"/>
  <c r="K2016" i="9"/>
  <c r="P2035" i="9"/>
  <c r="P2011" i="9"/>
  <c r="N2065" i="9"/>
  <c r="P2092" i="9"/>
  <c r="P2090" i="9"/>
  <c r="P2091" i="9"/>
  <c r="P2086" i="9"/>
  <c r="P2085" i="9"/>
  <c r="P2083" i="9"/>
  <c r="P2082" i="9"/>
  <c r="K2080" i="9"/>
  <c r="P2081" i="9"/>
  <c r="P2080" i="9"/>
  <c r="N2092" i="9"/>
  <c r="N2093" i="9"/>
  <c r="N2089" i="9"/>
  <c r="N2091" i="9"/>
  <c r="N2090" i="9"/>
  <c r="N2087" i="9"/>
  <c r="N2088" i="9"/>
  <c r="N2086" i="9"/>
  <c r="N2084" i="9"/>
  <c r="N2085" i="9"/>
  <c r="N2082" i="9"/>
  <c r="N2083" i="9"/>
  <c r="N2081" i="9"/>
  <c r="N2079" i="9"/>
  <c r="K2089" i="9"/>
  <c r="K2081" i="9"/>
  <c r="K2073" i="9"/>
  <c r="K2069" i="9"/>
  <c r="K2055" i="9"/>
  <c r="K2000" i="9"/>
  <c r="K1999" i="9"/>
  <c r="N1987" i="9"/>
  <c r="N1989" i="9"/>
  <c r="P1992" i="9"/>
  <c r="N1983" i="9"/>
  <c r="N1991" i="9"/>
  <c r="P1985" i="9"/>
  <c r="N1993" i="9"/>
  <c r="P1984" i="9"/>
  <c r="N1985" i="9"/>
  <c r="N1982" i="9"/>
  <c r="N1994" i="9"/>
  <c r="N1990" i="9"/>
  <c r="N1986" i="9"/>
  <c r="K1983" i="9"/>
  <c r="K1995" i="9"/>
  <c r="N1992" i="9"/>
  <c r="N1988" i="9"/>
  <c r="P1994" i="9"/>
  <c r="P1995" i="9"/>
  <c r="P1991" i="9"/>
  <c r="P1993" i="9"/>
  <c r="P1986" i="9"/>
  <c r="K1986" i="9"/>
  <c r="AJ16" i="13" l="1"/>
  <c r="AJ15" i="13"/>
  <c r="A1898" i="9"/>
  <c r="C1898" i="9"/>
  <c r="A1899" i="9"/>
  <c r="C1899" i="9"/>
  <c r="A1900" i="9"/>
  <c r="C1900" i="9"/>
  <c r="A1901" i="9"/>
  <c r="C1901" i="9"/>
  <c r="A1902" i="9"/>
  <c r="C1902" i="9"/>
  <c r="A1903" i="9"/>
  <c r="C1903" i="9"/>
  <c r="A1904" i="9"/>
  <c r="C1904" i="9"/>
  <c r="A1905" i="9"/>
  <c r="C1905" i="9"/>
  <c r="A1906" i="9"/>
  <c r="C1906" i="9"/>
  <c r="A1907" i="9"/>
  <c r="C1907" i="9"/>
  <c r="A1908" i="9"/>
  <c r="C1908" i="9"/>
  <c r="A1909" i="9"/>
  <c r="C1909" i="9"/>
  <c r="A1910" i="9"/>
  <c r="C1910" i="9"/>
  <c r="A1911" i="9"/>
  <c r="C1911" i="9"/>
  <c r="A1912" i="9"/>
  <c r="C1912" i="9"/>
  <c r="A1913" i="9"/>
  <c r="C1913" i="9"/>
  <c r="A1914" i="9"/>
  <c r="C1914" i="9"/>
  <c r="A1915" i="9"/>
  <c r="C1915" i="9"/>
  <c r="A1916" i="9"/>
  <c r="C1916" i="9"/>
  <c r="A1917" i="9"/>
  <c r="C1917" i="9"/>
  <c r="A1918" i="9"/>
  <c r="C1918" i="9"/>
  <c r="A1919" i="9"/>
  <c r="C1919" i="9"/>
  <c r="A1920" i="9"/>
  <c r="C1920" i="9"/>
  <c r="A1921" i="9"/>
  <c r="C1921" i="9"/>
  <c r="A1922" i="9"/>
  <c r="C1922" i="9"/>
  <c r="A1923" i="9"/>
  <c r="C1923" i="9"/>
  <c r="A1924" i="9"/>
  <c r="C1924" i="9"/>
  <c r="A1925" i="9"/>
  <c r="C1925" i="9"/>
  <c r="A1926" i="9"/>
  <c r="C1926" i="9"/>
  <c r="A1927" i="9"/>
  <c r="C1927" i="9"/>
  <c r="A1928" i="9"/>
  <c r="C1928" i="9"/>
  <c r="A1929" i="9"/>
  <c r="C1929" i="9"/>
  <c r="A1930" i="9"/>
  <c r="C1930" i="9"/>
  <c r="A1931" i="9"/>
  <c r="C1931" i="9"/>
  <c r="A1932" i="9"/>
  <c r="C1932" i="9"/>
  <c r="A1933" i="9"/>
  <c r="C1933" i="9"/>
  <c r="A1934" i="9"/>
  <c r="C1934" i="9"/>
  <c r="A1935" i="9"/>
  <c r="C1935" i="9"/>
  <c r="A1936" i="9"/>
  <c r="C1936" i="9"/>
  <c r="A1937" i="9"/>
  <c r="C1937" i="9"/>
  <c r="A1938" i="9"/>
  <c r="C1938" i="9"/>
  <c r="A1939" i="9"/>
  <c r="C1939" i="9"/>
  <c r="A1940" i="9"/>
  <c r="C1940" i="9"/>
  <c r="A1941" i="9"/>
  <c r="C1941" i="9"/>
  <c r="A1942" i="9"/>
  <c r="C1942" i="9"/>
  <c r="A1943" i="9"/>
  <c r="C1943" i="9"/>
  <c r="A1944" i="9"/>
  <c r="C1944" i="9"/>
  <c r="A1945" i="9"/>
  <c r="C1945" i="9"/>
  <c r="A1946" i="9"/>
  <c r="C1946" i="9"/>
  <c r="A1947" i="9"/>
  <c r="C1947" i="9"/>
  <c r="A1948" i="9"/>
  <c r="C1948" i="9"/>
  <c r="A1949" i="9"/>
  <c r="C1949" i="9"/>
  <c r="A1950" i="9"/>
  <c r="C1950" i="9"/>
  <c r="A1951" i="9"/>
  <c r="C1951" i="9"/>
  <c r="A1952" i="9"/>
  <c r="C1952" i="9"/>
  <c r="A1953" i="9"/>
  <c r="C1953" i="9"/>
  <c r="A1954" i="9"/>
  <c r="C1954" i="9"/>
  <c r="A1955" i="9"/>
  <c r="C1955" i="9"/>
  <c r="A1956" i="9"/>
  <c r="C1956" i="9"/>
  <c r="A1957" i="9"/>
  <c r="C1957" i="9"/>
  <c r="A1958" i="9"/>
  <c r="C1958" i="9"/>
  <c r="A1959" i="9"/>
  <c r="C1959" i="9"/>
  <c r="A1960" i="9"/>
  <c r="C1960" i="9"/>
  <c r="A1961" i="9"/>
  <c r="C1961" i="9"/>
  <c r="A1962" i="9"/>
  <c r="C1962" i="9"/>
  <c r="A1963" i="9"/>
  <c r="C1963" i="9"/>
  <c r="A1964" i="9"/>
  <c r="C1964" i="9"/>
  <c r="A1965" i="9"/>
  <c r="C1965" i="9"/>
  <c r="A1966" i="9"/>
  <c r="C1966" i="9"/>
  <c r="A1967" i="9"/>
  <c r="C1967" i="9"/>
  <c r="A1968" i="9"/>
  <c r="C1968" i="9"/>
  <c r="A1969" i="9"/>
  <c r="C1969" i="9"/>
  <c r="A1970" i="9"/>
  <c r="C1970" i="9"/>
  <c r="A1971" i="9"/>
  <c r="C1971" i="9"/>
  <c r="A1972" i="9"/>
  <c r="C1972" i="9"/>
  <c r="A1973" i="9"/>
  <c r="C1973" i="9"/>
  <c r="A1974" i="9"/>
  <c r="C1974" i="9"/>
  <c r="A1975" i="9"/>
  <c r="C1975" i="9"/>
  <c r="A1976" i="9"/>
  <c r="C1976" i="9"/>
  <c r="A1977" i="9"/>
  <c r="C1977" i="9"/>
  <c r="A1978" i="9"/>
  <c r="C1978" i="9"/>
  <c r="A1979" i="9"/>
  <c r="C1979" i="9"/>
  <c r="A1980" i="9"/>
  <c r="C1980" i="9"/>
  <c r="A1981" i="9"/>
  <c r="C1981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L1912" i="9"/>
  <c r="M1912" i="9" s="1"/>
  <c r="L1913" i="9"/>
  <c r="M1913" i="9" s="1"/>
  <c r="L1914" i="9"/>
  <c r="M1914" i="9" s="1"/>
  <c r="L1915" i="9"/>
  <c r="M1915" i="9" s="1"/>
  <c r="L1916" i="9"/>
  <c r="M1916" i="9" s="1"/>
  <c r="L1917" i="9"/>
  <c r="M1917" i="9" s="1"/>
  <c r="L1918" i="9"/>
  <c r="M1918" i="9" s="1"/>
  <c r="L1919" i="9"/>
  <c r="M1919" i="9" s="1"/>
  <c r="L1920" i="9"/>
  <c r="M1920" i="9" s="1"/>
  <c r="L1921" i="9"/>
  <c r="M1921" i="9" s="1"/>
  <c r="L1922" i="9"/>
  <c r="M1922" i="9" s="1"/>
  <c r="L1923" i="9"/>
  <c r="M1923" i="9" s="1"/>
  <c r="L1924" i="9"/>
  <c r="M1924" i="9" s="1"/>
  <c r="L1925" i="9"/>
  <c r="M1925" i="9" s="1"/>
  <c r="L1926" i="9"/>
  <c r="M1926" i="9" s="1"/>
  <c r="L1927" i="9"/>
  <c r="M1927" i="9" s="1"/>
  <c r="L1928" i="9"/>
  <c r="M1928" i="9" s="1"/>
  <c r="L1929" i="9"/>
  <c r="M1929" i="9" s="1"/>
  <c r="L1930" i="9"/>
  <c r="M1930" i="9" s="1"/>
  <c r="L1931" i="9"/>
  <c r="M1931" i="9" s="1"/>
  <c r="L1932" i="9"/>
  <c r="M1932" i="9" s="1"/>
  <c r="L1933" i="9"/>
  <c r="M1933" i="9" s="1"/>
  <c r="L1934" i="9"/>
  <c r="M1934" i="9" s="1"/>
  <c r="L1935" i="9"/>
  <c r="M1935" i="9" s="1"/>
  <c r="L1936" i="9"/>
  <c r="M1936" i="9" s="1"/>
  <c r="L1937" i="9"/>
  <c r="M1937" i="9" s="1"/>
  <c r="L1938" i="9"/>
  <c r="M1938" i="9" s="1"/>
  <c r="L1939" i="9"/>
  <c r="M1939" i="9" s="1"/>
  <c r="L1940" i="9"/>
  <c r="M1940" i="9" s="1"/>
  <c r="L1941" i="9"/>
  <c r="M1941" i="9" s="1"/>
  <c r="L1942" i="9"/>
  <c r="M1942" i="9" s="1"/>
  <c r="L1943" i="9"/>
  <c r="M1943" i="9" s="1"/>
  <c r="L1944" i="9"/>
  <c r="M1944" i="9" s="1"/>
  <c r="L1945" i="9"/>
  <c r="M1945" i="9" s="1"/>
  <c r="L1946" i="9"/>
  <c r="M1946" i="9" s="1"/>
  <c r="L1947" i="9"/>
  <c r="M1947" i="9" s="1"/>
  <c r="L1948" i="9"/>
  <c r="M1948" i="9" s="1"/>
  <c r="L1949" i="9"/>
  <c r="M1949" i="9" s="1"/>
  <c r="L1950" i="9"/>
  <c r="M1950" i="9" s="1"/>
  <c r="L1951" i="9"/>
  <c r="M1951" i="9" s="1"/>
  <c r="L1952" i="9"/>
  <c r="M1952" i="9" s="1"/>
  <c r="L1953" i="9"/>
  <c r="M1953" i="9" s="1"/>
  <c r="L1954" i="9"/>
  <c r="M1954" i="9" s="1"/>
  <c r="L1955" i="9"/>
  <c r="M1955" i="9" s="1"/>
  <c r="L1956" i="9"/>
  <c r="M1956" i="9" s="1"/>
  <c r="L1957" i="9"/>
  <c r="M1957" i="9" s="1"/>
  <c r="L1958" i="9"/>
  <c r="M1958" i="9" s="1"/>
  <c r="L1959" i="9"/>
  <c r="M1959" i="9" s="1"/>
  <c r="L1960" i="9"/>
  <c r="M1960" i="9" s="1"/>
  <c r="L1961" i="9"/>
  <c r="M1961" i="9" s="1"/>
  <c r="L1962" i="9"/>
  <c r="M1962" i="9" s="1"/>
  <c r="L1963" i="9"/>
  <c r="M1963" i="9" s="1"/>
  <c r="L1964" i="9"/>
  <c r="M1964" i="9" s="1"/>
  <c r="L1965" i="9"/>
  <c r="M1965" i="9" s="1"/>
  <c r="L1966" i="9"/>
  <c r="M1966" i="9" s="1"/>
  <c r="L1967" i="9"/>
  <c r="M1967" i="9" s="1"/>
  <c r="L1968" i="9"/>
  <c r="M1968" i="9" s="1"/>
  <c r="L1969" i="9"/>
  <c r="M1969" i="9" s="1"/>
  <c r="L1970" i="9"/>
  <c r="M1970" i="9" s="1"/>
  <c r="L1971" i="9"/>
  <c r="M1971" i="9" s="1"/>
  <c r="L1972" i="9"/>
  <c r="M1972" i="9" s="1"/>
  <c r="L1973" i="9"/>
  <c r="M1973" i="9" s="1"/>
  <c r="L1974" i="9"/>
  <c r="M1974" i="9" s="1"/>
  <c r="L1975" i="9"/>
  <c r="M1975" i="9" s="1"/>
  <c r="L1976" i="9"/>
  <c r="M1976" i="9" s="1"/>
  <c r="L1977" i="9"/>
  <c r="M1977" i="9" s="1"/>
  <c r="L1978" i="9"/>
  <c r="M1978" i="9" s="1"/>
  <c r="L1979" i="9"/>
  <c r="M1979" i="9" s="1"/>
  <c r="L1980" i="9"/>
  <c r="M1980" i="9" s="1"/>
  <c r="L1981" i="9"/>
  <c r="M1981" i="9" s="1"/>
  <c r="J1898" i="9"/>
  <c r="K1898" i="9" s="1"/>
  <c r="J1899" i="9"/>
  <c r="K1899" i="9" s="1"/>
  <c r="J1900" i="9"/>
  <c r="K1900" i="9" s="1"/>
  <c r="J1901" i="9"/>
  <c r="K1901" i="9" s="1"/>
  <c r="J1902" i="9"/>
  <c r="K1902" i="9" s="1"/>
  <c r="J1903" i="9"/>
  <c r="P1903" i="9" s="1"/>
  <c r="J1904" i="9"/>
  <c r="P1904" i="9" s="1"/>
  <c r="J1905" i="9"/>
  <c r="K1905" i="9" s="1"/>
  <c r="J1906" i="9"/>
  <c r="K1906" i="9" s="1"/>
  <c r="J1907" i="9"/>
  <c r="K1907" i="9" s="1"/>
  <c r="J1908" i="9"/>
  <c r="K1908" i="9" s="1"/>
  <c r="J1909" i="9"/>
  <c r="K1909" i="9" s="1"/>
  <c r="J1910" i="9"/>
  <c r="P1910" i="9" s="1"/>
  <c r="J1911" i="9"/>
  <c r="K1911" i="9" s="1"/>
  <c r="J1912" i="9"/>
  <c r="K1912" i="9" s="1"/>
  <c r="J1913" i="9"/>
  <c r="K1913" i="9" s="1"/>
  <c r="J1914" i="9"/>
  <c r="K1914" i="9" s="1"/>
  <c r="J1915" i="9"/>
  <c r="K1915" i="9" s="1"/>
  <c r="J1916" i="9"/>
  <c r="K1916" i="9" s="1"/>
  <c r="J1917" i="9"/>
  <c r="K1917" i="9" s="1"/>
  <c r="J1918" i="9"/>
  <c r="K1918" i="9" s="1"/>
  <c r="J1919" i="9"/>
  <c r="K1919" i="9" s="1"/>
  <c r="J1920" i="9"/>
  <c r="K1920" i="9" s="1"/>
  <c r="J1921" i="9"/>
  <c r="P1921" i="9" s="1"/>
  <c r="K1921" i="9"/>
  <c r="J1922" i="9"/>
  <c r="P1922" i="9" s="1"/>
  <c r="K1922" i="9"/>
  <c r="J1923" i="9"/>
  <c r="P1923" i="9" s="1"/>
  <c r="J1924" i="9"/>
  <c r="K1924" i="9" s="1"/>
  <c r="J1925" i="9"/>
  <c r="K1925" i="9" s="1"/>
  <c r="J1926" i="9"/>
  <c r="K1926" i="9" s="1"/>
  <c r="J1927" i="9"/>
  <c r="P1927" i="9" s="1"/>
  <c r="J1928" i="9"/>
  <c r="P1928" i="9" s="1"/>
  <c r="J1929" i="9"/>
  <c r="K1929" i="9" s="1"/>
  <c r="J1930" i="9"/>
  <c r="K1930" i="9" s="1"/>
  <c r="J1931" i="9"/>
  <c r="K1931" i="9" s="1"/>
  <c r="J1932" i="9"/>
  <c r="K1932" i="9" s="1"/>
  <c r="J1933" i="9"/>
  <c r="P1933" i="9" s="1"/>
  <c r="K1933" i="9"/>
  <c r="J1934" i="9"/>
  <c r="P1934" i="9" s="1"/>
  <c r="K1934" i="9"/>
  <c r="J1935" i="9"/>
  <c r="K1935" i="9" s="1"/>
  <c r="J1936" i="9"/>
  <c r="K1936" i="9" s="1"/>
  <c r="J1937" i="9"/>
  <c r="K1937" i="9" s="1"/>
  <c r="J1938" i="9"/>
  <c r="K1938" i="9" s="1"/>
  <c r="J1939" i="9"/>
  <c r="K1939" i="9" s="1"/>
  <c r="J1940" i="9"/>
  <c r="P1940" i="9" s="1"/>
  <c r="J1941" i="9"/>
  <c r="K1941" i="9" s="1"/>
  <c r="J1942" i="9"/>
  <c r="K1942" i="9" s="1"/>
  <c r="J1943" i="9"/>
  <c r="K1943" i="9" s="1"/>
  <c r="J1944" i="9"/>
  <c r="K1944" i="9" s="1"/>
  <c r="J1945" i="9"/>
  <c r="K1945" i="9" s="1"/>
  <c r="J1946" i="9"/>
  <c r="K1946" i="9" s="1"/>
  <c r="J1947" i="9"/>
  <c r="P1947" i="9" s="1"/>
  <c r="J1948" i="9"/>
  <c r="K1948" i="9" s="1"/>
  <c r="J1949" i="9"/>
  <c r="K1949" i="9" s="1"/>
  <c r="J1950" i="9"/>
  <c r="K1950" i="9" s="1"/>
  <c r="J1951" i="9"/>
  <c r="K1951" i="9" s="1"/>
  <c r="J1952" i="9"/>
  <c r="K1952" i="9" s="1"/>
  <c r="J1953" i="9"/>
  <c r="K1953" i="9" s="1"/>
  <c r="J1954" i="9"/>
  <c r="K1954" i="9" s="1"/>
  <c r="J1955" i="9"/>
  <c r="K1955" i="9" s="1"/>
  <c r="J1956" i="9"/>
  <c r="K1956" i="9" s="1"/>
  <c r="J1957" i="9"/>
  <c r="K1957" i="9" s="1"/>
  <c r="J1958" i="9"/>
  <c r="K1958" i="9" s="1"/>
  <c r="J1959" i="9"/>
  <c r="K1959" i="9" s="1"/>
  <c r="J1960" i="9"/>
  <c r="K1960" i="9" s="1"/>
  <c r="J1961" i="9"/>
  <c r="K1961" i="9" s="1"/>
  <c r="J1962" i="9"/>
  <c r="K1962" i="9" s="1"/>
  <c r="J1963" i="9"/>
  <c r="K1963" i="9" s="1"/>
  <c r="J1964" i="9"/>
  <c r="K1964" i="9" s="1"/>
  <c r="J1965" i="9"/>
  <c r="K1965" i="9" s="1"/>
  <c r="J1966" i="9"/>
  <c r="K1966" i="9" s="1"/>
  <c r="J1967" i="9"/>
  <c r="K1967" i="9" s="1"/>
  <c r="J1968" i="9"/>
  <c r="K1968" i="9" s="1"/>
  <c r="J1969" i="9"/>
  <c r="P1969" i="9" s="1"/>
  <c r="J1970" i="9"/>
  <c r="P1970" i="9" s="1"/>
  <c r="J1971" i="9"/>
  <c r="P1971" i="9" s="1"/>
  <c r="J1972" i="9"/>
  <c r="K1972" i="9" s="1"/>
  <c r="J1973" i="9"/>
  <c r="K1973" i="9" s="1"/>
  <c r="J1974" i="9"/>
  <c r="K1974" i="9" s="1"/>
  <c r="J1975" i="9"/>
  <c r="K1975" i="9" s="1"/>
  <c r="J1976" i="9"/>
  <c r="K1976" i="9" s="1"/>
  <c r="J1977" i="9"/>
  <c r="K1977" i="9" s="1"/>
  <c r="J1978" i="9"/>
  <c r="K1978" i="9" s="1"/>
  <c r="J1979" i="9"/>
  <c r="K1979" i="9" s="1"/>
  <c r="J1980" i="9"/>
  <c r="K1980" i="9" s="1"/>
  <c r="J1981" i="9"/>
  <c r="P1981" i="9" s="1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L1911" i="9"/>
  <c r="M1911" i="9" s="1"/>
  <c r="L1910" i="9"/>
  <c r="M1910" i="9" s="1"/>
  <c r="L1909" i="9"/>
  <c r="M1909" i="9" s="1"/>
  <c r="L1908" i="9"/>
  <c r="M1908" i="9" s="1"/>
  <c r="L1907" i="9"/>
  <c r="M1907" i="9" s="1"/>
  <c r="L1906" i="9"/>
  <c r="M1906" i="9" s="1"/>
  <c r="L1905" i="9"/>
  <c r="M1905" i="9" s="1"/>
  <c r="L1904" i="9"/>
  <c r="M1904" i="9" s="1"/>
  <c r="L1903" i="9"/>
  <c r="M1903" i="9" s="1"/>
  <c r="L1902" i="9"/>
  <c r="M1902" i="9" s="1"/>
  <c r="L1901" i="9"/>
  <c r="M1901" i="9" s="1"/>
  <c r="L1900" i="9"/>
  <c r="M1900" i="9" s="1"/>
  <c r="L1899" i="9"/>
  <c r="M1899" i="9" s="1"/>
  <c r="L1898" i="9"/>
  <c r="M1898" i="9" s="1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30" i="14"/>
  <c r="G114" i="10"/>
  <c r="H114" i="10" s="1"/>
  <c r="G115" i="10"/>
  <c r="H115" i="10" s="1"/>
  <c r="G116" i="10"/>
  <c r="H116" i="10" s="1"/>
  <c r="G117" i="10"/>
  <c r="H117" i="10" s="1"/>
  <c r="G118" i="10"/>
  <c r="H118" i="10"/>
  <c r="G119" i="10"/>
  <c r="H119" i="10"/>
  <c r="G120" i="10"/>
  <c r="H120" i="10" s="1"/>
  <c r="G121" i="10"/>
  <c r="H121" i="10"/>
  <c r="G122" i="10"/>
  <c r="H122" i="10" s="1"/>
  <c r="G123" i="10"/>
  <c r="H123" i="10"/>
  <c r="G124" i="10"/>
  <c r="H124" i="10"/>
  <c r="G125" i="10"/>
  <c r="H125" i="10" s="1"/>
  <c r="G126" i="10"/>
  <c r="H126" i="10" s="1"/>
  <c r="G127" i="10"/>
  <c r="H127" i="10" s="1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E1897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J1884" i="9"/>
  <c r="K1884" i="9" s="1"/>
  <c r="J1885" i="9"/>
  <c r="K1885" i="9" s="1"/>
  <c r="J1886" i="9"/>
  <c r="P1886" i="9" s="1"/>
  <c r="J1887" i="9"/>
  <c r="P1887" i="9" s="1"/>
  <c r="J1888" i="9"/>
  <c r="J1889" i="9"/>
  <c r="K1889" i="9" s="1"/>
  <c r="J1890" i="9"/>
  <c r="K1890" i="9" s="1"/>
  <c r="J1891" i="9"/>
  <c r="K1891" i="9" s="1"/>
  <c r="J1892" i="9"/>
  <c r="P1892" i="9" s="1"/>
  <c r="J1893" i="9"/>
  <c r="J1894" i="9"/>
  <c r="K1894" i="9" s="1"/>
  <c r="J1895" i="9"/>
  <c r="P1895" i="9" s="1"/>
  <c r="J1896" i="9"/>
  <c r="K1896" i="9" s="1"/>
  <c r="J1897" i="9"/>
  <c r="K1897" i="9" s="1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A1897" i="9"/>
  <c r="L1897" i="9"/>
  <c r="M1897" i="9" s="1"/>
  <c r="A1896" i="9"/>
  <c r="L1896" i="9"/>
  <c r="M1896" i="9" s="1"/>
  <c r="A1895" i="9"/>
  <c r="L1895" i="9"/>
  <c r="M1895" i="9" s="1"/>
  <c r="A1894" i="9"/>
  <c r="L1894" i="9"/>
  <c r="M1894" i="9" s="1"/>
  <c r="N1894" i="9" s="1"/>
  <c r="A1893" i="9"/>
  <c r="L1893" i="9"/>
  <c r="M1893" i="9" s="1"/>
  <c r="A1892" i="9"/>
  <c r="L1892" i="9"/>
  <c r="M1892" i="9" s="1"/>
  <c r="A1891" i="9"/>
  <c r="L1891" i="9"/>
  <c r="M1891" i="9" s="1"/>
  <c r="A1890" i="9"/>
  <c r="L1890" i="9"/>
  <c r="M1890" i="9" s="1"/>
  <c r="A1889" i="9"/>
  <c r="L1889" i="9"/>
  <c r="M1889" i="9" s="1"/>
  <c r="A1888" i="9"/>
  <c r="L1888" i="9"/>
  <c r="M1888" i="9" s="1"/>
  <c r="A1887" i="9"/>
  <c r="L1887" i="9"/>
  <c r="M1887" i="9" s="1"/>
  <c r="A1886" i="9"/>
  <c r="L1886" i="9"/>
  <c r="M1886" i="9" s="1"/>
  <c r="A1885" i="9"/>
  <c r="L1885" i="9"/>
  <c r="M1885" i="9" s="1"/>
  <c r="A1884" i="9"/>
  <c r="L1884" i="9"/>
  <c r="M1884" i="9" s="1"/>
  <c r="M20" i="23"/>
  <c r="N1903" i="9" l="1"/>
  <c r="N1969" i="9"/>
  <c r="P1909" i="9"/>
  <c r="N1905" i="9"/>
  <c r="P1951" i="9"/>
  <c r="P1907" i="9"/>
  <c r="P1901" i="9"/>
  <c r="P1917" i="9"/>
  <c r="K1903" i="9"/>
  <c r="K1886" i="9"/>
  <c r="P1953" i="9"/>
  <c r="P1952" i="9"/>
  <c r="P1946" i="9"/>
  <c r="N1906" i="9"/>
  <c r="P1905" i="9"/>
  <c r="N1901" i="9"/>
  <c r="P1899" i="9"/>
  <c r="N1886" i="9"/>
  <c r="N1909" i="9"/>
  <c r="N1898" i="9"/>
  <c r="N1910" i="9"/>
  <c r="K1904" i="9"/>
  <c r="P1926" i="9"/>
  <c r="N1902" i="9"/>
  <c r="N1907" i="9"/>
  <c r="P1911" i="9"/>
  <c r="P1980" i="9"/>
  <c r="P1948" i="9"/>
  <c r="N1915" i="9"/>
  <c r="K1971" i="9"/>
  <c r="P1908" i="9"/>
  <c r="P1900" i="9"/>
  <c r="K1970" i="9"/>
  <c r="K1910" i="9"/>
  <c r="P1977" i="9"/>
  <c r="N1908" i="9"/>
  <c r="N1904" i="9"/>
  <c r="N1900" i="9"/>
  <c r="K1947" i="9"/>
  <c r="P1976" i="9"/>
  <c r="N1899" i="9"/>
  <c r="P1916" i="9"/>
  <c r="N1911" i="9"/>
  <c r="P1906" i="9"/>
  <c r="P1902" i="9"/>
  <c r="P1898" i="9"/>
  <c r="N1912" i="9"/>
  <c r="K1981" i="9"/>
  <c r="P1979" i="9"/>
  <c r="P1978" i="9"/>
  <c r="P1975" i="9"/>
  <c r="P1974" i="9"/>
  <c r="P1973" i="9"/>
  <c r="P1972" i="9"/>
  <c r="P1968" i="9"/>
  <c r="K1969" i="9"/>
  <c r="N1980" i="9"/>
  <c r="N1981" i="9"/>
  <c r="N1978" i="9"/>
  <c r="N1979" i="9"/>
  <c r="N1976" i="9"/>
  <c r="N1977" i="9"/>
  <c r="N1974" i="9"/>
  <c r="N1975" i="9"/>
  <c r="N1972" i="9"/>
  <c r="N1973" i="9"/>
  <c r="N1970" i="9"/>
  <c r="N1971" i="9"/>
  <c r="N1968" i="9"/>
  <c r="P1967" i="9"/>
  <c r="P1966" i="9"/>
  <c r="P1965" i="9"/>
  <c r="P1964" i="9"/>
  <c r="P1963" i="9"/>
  <c r="P1962" i="9"/>
  <c r="P1960" i="9"/>
  <c r="P1961" i="9"/>
  <c r="P1958" i="9"/>
  <c r="P1959" i="9"/>
  <c r="P1957" i="9"/>
  <c r="P1956" i="9"/>
  <c r="P1955" i="9"/>
  <c r="P1954" i="9"/>
  <c r="N1966" i="9"/>
  <c r="N1967" i="9"/>
  <c r="N1964" i="9"/>
  <c r="N1965" i="9"/>
  <c r="N1962" i="9"/>
  <c r="N1963" i="9"/>
  <c r="N1960" i="9"/>
  <c r="N1961" i="9"/>
  <c r="N1958" i="9"/>
  <c r="N1959" i="9"/>
  <c r="N1956" i="9"/>
  <c r="N1957" i="9"/>
  <c r="N1954" i="9"/>
  <c r="N1955" i="9"/>
  <c r="P1950" i="9"/>
  <c r="P1949" i="9"/>
  <c r="P1944" i="9"/>
  <c r="P1945" i="9"/>
  <c r="P1943" i="9"/>
  <c r="P1942" i="9"/>
  <c r="K1940" i="9"/>
  <c r="P1941" i="9"/>
  <c r="N1952" i="9"/>
  <c r="N1953" i="9"/>
  <c r="N1950" i="9"/>
  <c r="N1951" i="9"/>
  <c r="N1948" i="9"/>
  <c r="N1949" i="9"/>
  <c r="N1946" i="9"/>
  <c r="N1947" i="9"/>
  <c r="N1944" i="9"/>
  <c r="N1945" i="9"/>
  <c r="N1942" i="9"/>
  <c r="N1943" i="9"/>
  <c r="N1940" i="9"/>
  <c r="N1941" i="9"/>
  <c r="P1939" i="9"/>
  <c r="P1938" i="9"/>
  <c r="P1937" i="9"/>
  <c r="P1936" i="9"/>
  <c r="P1935" i="9"/>
  <c r="P1932" i="9"/>
  <c r="P1931" i="9"/>
  <c r="P1930" i="9"/>
  <c r="K1928" i="9"/>
  <c r="P1929" i="9"/>
  <c r="K1927" i="9"/>
  <c r="N1938" i="9"/>
  <c r="N1939" i="9"/>
  <c r="N1936" i="9"/>
  <c r="N1937" i="9"/>
  <c r="N1934" i="9"/>
  <c r="N1935" i="9"/>
  <c r="N1932" i="9"/>
  <c r="N1933" i="9"/>
  <c r="N1930" i="9"/>
  <c r="N1931" i="9"/>
  <c r="N1928" i="9"/>
  <c r="N1929" i="9"/>
  <c r="N1926" i="9"/>
  <c r="N1927" i="9"/>
  <c r="P1925" i="9"/>
  <c r="P1924" i="9"/>
  <c r="K1923" i="9"/>
  <c r="P1920" i="9"/>
  <c r="P1919" i="9"/>
  <c r="P1918" i="9"/>
  <c r="P1914" i="9"/>
  <c r="P1915" i="9"/>
  <c r="P1912" i="9"/>
  <c r="P1913" i="9"/>
  <c r="N1924" i="9"/>
  <c r="N1925" i="9"/>
  <c r="N1922" i="9"/>
  <c r="N1923" i="9"/>
  <c r="N1920" i="9"/>
  <c r="N1921" i="9"/>
  <c r="N1918" i="9"/>
  <c r="N1919" i="9"/>
  <c r="N1916" i="9"/>
  <c r="N1917" i="9"/>
  <c r="N1914" i="9"/>
  <c r="N1913" i="9"/>
  <c r="N1892" i="9"/>
  <c r="N1890" i="9"/>
  <c r="N1891" i="9"/>
  <c r="P1891" i="9"/>
  <c r="N1888" i="9"/>
  <c r="K1895" i="9"/>
  <c r="P1890" i="9"/>
  <c r="N1885" i="9"/>
  <c r="N1897" i="9"/>
  <c r="K1892" i="9"/>
  <c r="N1893" i="9"/>
  <c r="N1889" i="9"/>
  <c r="N1895" i="9"/>
  <c r="N1884" i="9"/>
  <c r="N1896" i="9"/>
  <c r="N1887" i="9"/>
  <c r="P1894" i="9"/>
  <c r="P1897" i="9"/>
  <c r="P1893" i="9"/>
  <c r="P1889" i="9"/>
  <c r="P1885" i="9"/>
  <c r="P1896" i="9"/>
  <c r="P1888" i="9"/>
  <c r="P1884" i="9"/>
  <c r="K1888" i="9"/>
  <c r="K1893" i="9"/>
  <c r="K1887" i="9"/>
  <c r="E6" i="23" l="1"/>
  <c r="B6" i="23"/>
  <c r="G24" i="23"/>
  <c r="D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24" i="23"/>
  <c r="F24" i="23"/>
  <c r="E24" i="23"/>
  <c r="C24" i="23"/>
  <c r="B24" i="23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2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J1870" i="9"/>
  <c r="K1870" i="9" s="1"/>
  <c r="J1871" i="9"/>
  <c r="J1872" i="9"/>
  <c r="K1872" i="9" s="1"/>
  <c r="J1873" i="9"/>
  <c r="J1874" i="9"/>
  <c r="K1874" i="9" s="1"/>
  <c r="J1875" i="9"/>
  <c r="K1875" i="9" s="1"/>
  <c r="J1876" i="9"/>
  <c r="J1877" i="9"/>
  <c r="K1877" i="9" s="1"/>
  <c r="J1878" i="9"/>
  <c r="K1878" i="9" s="1"/>
  <c r="J1879" i="9"/>
  <c r="K1879" i="9" s="1"/>
  <c r="J1880" i="9"/>
  <c r="K1880" i="9" s="1"/>
  <c r="J1881" i="9"/>
  <c r="K1881" i="9" s="1"/>
  <c r="J1882" i="9"/>
  <c r="K1882" i="9" s="1"/>
  <c r="J1883" i="9"/>
  <c r="K1883" i="9" s="1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L1883" i="9"/>
  <c r="M1883" i="9" s="1"/>
  <c r="L1882" i="9"/>
  <c r="M1882" i="9" s="1"/>
  <c r="L1881" i="9"/>
  <c r="M1881" i="9" s="1"/>
  <c r="L1880" i="9"/>
  <c r="M1880" i="9" s="1"/>
  <c r="L1879" i="9"/>
  <c r="M1879" i="9" s="1"/>
  <c r="L1878" i="9"/>
  <c r="M1878" i="9" s="1"/>
  <c r="L1877" i="9"/>
  <c r="M1877" i="9" s="1"/>
  <c r="L1876" i="9"/>
  <c r="M1876" i="9" s="1"/>
  <c r="L1875" i="9"/>
  <c r="M1875" i="9" s="1"/>
  <c r="L1874" i="9"/>
  <c r="M1874" i="9" s="1"/>
  <c r="L1873" i="9"/>
  <c r="M1873" i="9" s="1"/>
  <c r="L1872" i="9"/>
  <c r="M1872" i="9" s="1"/>
  <c r="L1871" i="9"/>
  <c r="M1871" i="9" s="1"/>
  <c r="L1870" i="9"/>
  <c r="M1870" i="9" s="1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J1828" i="9"/>
  <c r="J1829" i="9"/>
  <c r="K1829" i="9" s="1"/>
  <c r="J1830" i="9"/>
  <c r="J1831" i="9"/>
  <c r="J1832" i="9"/>
  <c r="K1832" i="9" s="1"/>
  <c r="J1833" i="9"/>
  <c r="J1834" i="9"/>
  <c r="K1834" i="9" s="1"/>
  <c r="J1835" i="9"/>
  <c r="J1836" i="9"/>
  <c r="J1837" i="9"/>
  <c r="J1838" i="9"/>
  <c r="J1839" i="9"/>
  <c r="K1839" i="9" s="1"/>
  <c r="J1840" i="9"/>
  <c r="J1841" i="9"/>
  <c r="K1841" i="9" s="1"/>
  <c r="J1842" i="9"/>
  <c r="J1843" i="9"/>
  <c r="J1844" i="9"/>
  <c r="K1844" i="9" s="1"/>
  <c r="J1845" i="9"/>
  <c r="J1846" i="9"/>
  <c r="K1846" i="9" s="1"/>
  <c r="J1847" i="9"/>
  <c r="J1848" i="9"/>
  <c r="J1849" i="9"/>
  <c r="J1850" i="9"/>
  <c r="J1851" i="9"/>
  <c r="K1851" i="9" s="1"/>
  <c r="J1852" i="9"/>
  <c r="J1853" i="9"/>
  <c r="K1853" i="9" s="1"/>
  <c r="J1854" i="9"/>
  <c r="J1855" i="9"/>
  <c r="P1855" i="9" s="1"/>
  <c r="J1856" i="9"/>
  <c r="K1856" i="9" s="1"/>
  <c r="J1857" i="9"/>
  <c r="J1858" i="9"/>
  <c r="K1858" i="9" s="1"/>
  <c r="J1859" i="9"/>
  <c r="J1860" i="9"/>
  <c r="J1861" i="9"/>
  <c r="J1862" i="9"/>
  <c r="J1863" i="9"/>
  <c r="K1863" i="9" s="1"/>
  <c r="J1864" i="9"/>
  <c r="J1865" i="9"/>
  <c r="K1865" i="9" s="1"/>
  <c r="J1866" i="9"/>
  <c r="J1867" i="9"/>
  <c r="J1868" i="9"/>
  <c r="P1868" i="9" s="1"/>
  <c r="J1869" i="9"/>
  <c r="K1869" i="9" s="1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L1869" i="9"/>
  <c r="M1869" i="9" s="1"/>
  <c r="L1868" i="9"/>
  <c r="M1868" i="9" s="1"/>
  <c r="L1867" i="9"/>
  <c r="M1867" i="9" s="1"/>
  <c r="L1866" i="9"/>
  <c r="M1866" i="9" s="1"/>
  <c r="L1865" i="9"/>
  <c r="M1865" i="9" s="1"/>
  <c r="L1864" i="9"/>
  <c r="M1864" i="9" s="1"/>
  <c r="L1863" i="9"/>
  <c r="M1863" i="9" s="1"/>
  <c r="L1862" i="9"/>
  <c r="M1862" i="9" s="1"/>
  <c r="L1861" i="9"/>
  <c r="M1861" i="9" s="1"/>
  <c r="L1860" i="9"/>
  <c r="M1860" i="9" s="1"/>
  <c r="L1859" i="9"/>
  <c r="M1859" i="9" s="1"/>
  <c r="L1858" i="9"/>
  <c r="M1858" i="9" s="1"/>
  <c r="L1857" i="9"/>
  <c r="M1857" i="9" s="1"/>
  <c r="L1856" i="9"/>
  <c r="M1856" i="9" s="1"/>
  <c r="L1855" i="9"/>
  <c r="M1855" i="9" s="1"/>
  <c r="L1854" i="9"/>
  <c r="M1854" i="9" s="1"/>
  <c r="L1853" i="9"/>
  <c r="M1853" i="9" s="1"/>
  <c r="L1852" i="9"/>
  <c r="M1852" i="9" s="1"/>
  <c r="L1851" i="9"/>
  <c r="M1851" i="9" s="1"/>
  <c r="L1850" i="9"/>
  <c r="M1850" i="9" s="1"/>
  <c r="L1849" i="9"/>
  <c r="M1849" i="9" s="1"/>
  <c r="L1848" i="9"/>
  <c r="M1848" i="9" s="1"/>
  <c r="L1847" i="9"/>
  <c r="M1847" i="9" s="1"/>
  <c r="L1846" i="9"/>
  <c r="M1846" i="9" s="1"/>
  <c r="L1845" i="9"/>
  <c r="M1845" i="9" s="1"/>
  <c r="L1844" i="9"/>
  <c r="M1844" i="9" s="1"/>
  <c r="L1843" i="9"/>
  <c r="M1843" i="9" s="1"/>
  <c r="L1842" i="9"/>
  <c r="M1842" i="9" s="1"/>
  <c r="L1841" i="9"/>
  <c r="M1841" i="9" s="1"/>
  <c r="L1840" i="9"/>
  <c r="M1840" i="9" s="1"/>
  <c r="L1839" i="9"/>
  <c r="M1839" i="9" s="1"/>
  <c r="L1838" i="9"/>
  <c r="M1838" i="9" s="1"/>
  <c r="L1837" i="9"/>
  <c r="M1837" i="9" s="1"/>
  <c r="L1836" i="9"/>
  <c r="M1836" i="9" s="1"/>
  <c r="L1835" i="9"/>
  <c r="M1835" i="9" s="1"/>
  <c r="L1834" i="9"/>
  <c r="M1834" i="9" s="1"/>
  <c r="L1833" i="9"/>
  <c r="M1833" i="9" s="1"/>
  <c r="L1832" i="9"/>
  <c r="M1832" i="9" s="1"/>
  <c r="L1831" i="9"/>
  <c r="M1831" i="9" s="1"/>
  <c r="L1830" i="9"/>
  <c r="M1830" i="9" s="1"/>
  <c r="L1829" i="9"/>
  <c r="M1829" i="9" s="1"/>
  <c r="L1828" i="9"/>
  <c r="M1828" i="9" s="1"/>
  <c r="J1814" i="9"/>
  <c r="L1814" i="9"/>
  <c r="M1814" i="9" s="1"/>
  <c r="O1814" i="9"/>
  <c r="J1815" i="9"/>
  <c r="K1815" i="9" s="1"/>
  <c r="L1815" i="9"/>
  <c r="M1815" i="9" s="1"/>
  <c r="O1815" i="9"/>
  <c r="J1816" i="9"/>
  <c r="L1816" i="9"/>
  <c r="M1816" i="9" s="1"/>
  <c r="O1816" i="9"/>
  <c r="J1817" i="9"/>
  <c r="P1817" i="9" s="1"/>
  <c r="L1817" i="9"/>
  <c r="M1817" i="9" s="1"/>
  <c r="O1817" i="9"/>
  <c r="J1818" i="9"/>
  <c r="L1818" i="9"/>
  <c r="M1818" i="9" s="1"/>
  <c r="O1818" i="9"/>
  <c r="J1819" i="9"/>
  <c r="L1819" i="9"/>
  <c r="M1819" i="9" s="1"/>
  <c r="O1819" i="9"/>
  <c r="J1820" i="9"/>
  <c r="K1820" i="9" s="1"/>
  <c r="L1820" i="9"/>
  <c r="M1820" i="9" s="1"/>
  <c r="O1820" i="9"/>
  <c r="J1821" i="9"/>
  <c r="P1821" i="9" s="1"/>
  <c r="L1821" i="9"/>
  <c r="M1821" i="9" s="1"/>
  <c r="O1821" i="9"/>
  <c r="J1822" i="9"/>
  <c r="K1822" i="9" s="1"/>
  <c r="L1822" i="9"/>
  <c r="M1822" i="9" s="1"/>
  <c r="O1822" i="9"/>
  <c r="J1823" i="9"/>
  <c r="L1823" i="9"/>
  <c r="M1823" i="9" s="1"/>
  <c r="O1823" i="9"/>
  <c r="J1824" i="9"/>
  <c r="L1824" i="9"/>
  <c r="M1824" i="9" s="1"/>
  <c r="O1824" i="9"/>
  <c r="J1825" i="9"/>
  <c r="L1825" i="9"/>
  <c r="M1825" i="9" s="1"/>
  <c r="O1825" i="9"/>
  <c r="J1826" i="9"/>
  <c r="L1826" i="9"/>
  <c r="M1826" i="9" s="1"/>
  <c r="O1826" i="9"/>
  <c r="J1827" i="9"/>
  <c r="K1827" i="9" s="1"/>
  <c r="L1827" i="9"/>
  <c r="M1827" i="9" s="1"/>
  <c r="O1827" i="9"/>
  <c r="C1814" i="9"/>
  <c r="E1814" i="9"/>
  <c r="C1815" i="9"/>
  <c r="E1815" i="9"/>
  <c r="C1816" i="9"/>
  <c r="E1816" i="9"/>
  <c r="C1817" i="9"/>
  <c r="E1817" i="9"/>
  <c r="C1818" i="9"/>
  <c r="E1818" i="9"/>
  <c r="C1819" i="9"/>
  <c r="E1819" i="9"/>
  <c r="C1820" i="9"/>
  <c r="E1820" i="9"/>
  <c r="C1821" i="9"/>
  <c r="E1821" i="9"/>
  <c r="C1822" i="9"/>
  <c r="E1822" i="9"/>
  <c r="C1823" i="9"/>
  <c r="E1823" i="9"/>
  <c r="C1824" i="9"/>
  <c r="E1824" i="9"/>
  <c r="C1825" i="9"/>
  <c r="E1825" i="9"/>
  <c r="C1826" i="9"/>
  <c r="E1826" i="9"/>
  <c r="C1827" i="9"/>
  <c r="E1827" i="9"/>
  <c r="E11" i="23" l="1"/>
  <c r="E28" i="23" s="1"/>
  <c r="B9" i="23"/>
  <c r="B26" i="23" s="1"/>
  <c r="E14" i="23"/>
  <c r="E31" i="23" s="1"/>
  <c r="B21" i="23"/>
  <c r="B38" i="23" s="1"/>
  <c r="B18" i="23"/>
  <c r="B35" i="23" s="1"/>
  <c r="B15" i="23"/>
  <c r="B32" i="23" s="1"/>
  <c r="B12" i="23"/>
  <c r="B29" i="23" s="1"/>
  <c r="E20" i="23"/>
  <c r="E17" i="23"/>
  <c r="E34" i="23" s="1"/>
  <c r="B20" i="23"/>
  <c r="B37" i="23" s="1"/>
  <c r="B17" i="23"/>
  <c r="B34" i="23" s="1"/>
  <c r="B14" i="23"/>
  <c r="B31" i="23" s="1"/>
  <c r="B11" i="23"/>
  <c r="B28" i="23" s="1"/>
  <c r="B8" i="23"/>
  <c r="B25" i="23" s="1"/>
  <c r="E19" i="23"/>
  <c r="E36" i="23" s="1"/>
  <c r="E16" i="23"/>
  <c r="E33" i="23" s="1"/>
  <c r="E13" i="23"/>
  <c r="E30" i="23" s="1"/>
  <c r="E10" i="23"/>
  <c r="E27" i="23" s="1"/>
  <c r="E8" i="23"/>
  <c r="E25" i="23" s="1"/>
  <c r="B19" i="23"/>
  <c r="B36" i="23" s="1"/>
  <c r="B16" i="23"/>
  <c r="B33" i="23" s="1"/>
  <c r="B13" i="23"/>
  <c r="B30" i="23" s="1"/>
  <c r="B10" i="23"/>
  <c r="B27" i="23" s="1"/>
  <c r="F21" i="23"/>
  <c r="C38" i="23" s="1"/>
  <c r="E21" i="23"/>
  <c r="E38" i="23" s="1"/>
  <c r="E18" i="23"/>
  <c r="E15" i="23"/>
  <c r="E32" i="23" s="1"/>
  <c r="E12" i="23"/>
  <c r="E29" i="23" s="1"/>
  <c r="E9" i="23"/>
  <c r="E26" i="23" s="1"/>
  <c r="C21" i="23"/>
  <c r="F38" i="23" s="1"/>
  <c r="P1882" i="9"/>
  <c r="P1880" i="9"/>
  <c r="P1865" i="9"/>
  <c r="P1858" i="9"/>
  <c r="P1829" i="9"/>
  <c r="P1822" i="9"/>
  <c r="K1860" i="9"/>
  <c r="P1860" i="9"/>
  <c r="K1848" i="9"/>
  <c r="P1848" i="9"/>
  <c r="K1836" i="9"/>
  <c r="P1836" i="9"/>
  <c r="P1881" i="9"/>
  <c r="P1863" i="9"/>
  <c r="P1827" i="9"/>
  <c r="K1849" i="9"/>
  <c r="P1849" i="9"/>
  <c r="K1824" i="9"/>
  <c r="P1824" i="9"/>
  <c r="K1816" i="9"/>
  <c r="P1816" i="9"/>
  <c r="P1879" i="9"/>
  <c r="P1856" i="9"/>
  <c r="P1820" i="9"/>
  <c r="K1857" i="9"/>
  <c r="P1857" i="9"/>
  <c r="K1845" i="9"/>
  <c r="P1845" i="9"/>
  <c r="K1833" i="9"/>
  <c r="P1833" i="9"/>
  <c r="C17" i="23" s="1"/>
  <c r="P1878" i="9"/>
  <c r="P1853" i="9"/>
  <c r="K1825" i="9"/>
  <c r="P1825" i="9"/>
  <c r="P1877" i="9"/>
  <c r="P1851" i="9"/>
  <c r="P1815" i="9"/>
  <c r="K1823" i="9"/>
  <c r="P1823" i="9"/>
  <c r="K1819" i="9"/>
  <c r="P1819" i="9"/>
  <c r="K1867" i="9"/>
  <c r="P1867" i="9"/>
  <c r="K1843" i="9"/>
  <c r="P1843" i="9"/>
  <c r="K1831" i="9"/>
  <c r="P1831" i="9"/>
  <c r="P1875" i="9"/>
  <c r="P1846" i="9"/>
  <c r="K1871" i="9"/>
  <c r="P1871" i="9"/>
  <c r="K1847" i="9"/>
  <c r="P1847" i="9"/>
  <c r="K1866" i="9"/>
  <c r="P1866" i="9"/>
  <c r="K1854" i="9"/>
  <c r="P1854" i="9"/>
  <c r="K1842" i="9"/>
  <c r="P1842" i="9"/>
  <c r="K1830" i="9"/>
  <c r="P1830" i="9"/>
  <c r="K1876" i="9"/>
  <c r="P1876" i="9"/>
  <c r="P1874" i="9"/>
  <c r="P1844" i="9"/>
  <c r="K1837" i="9"/>
  <c r="P1837" i="9"/>
  <c r="K1859" i="9"/>
  <c r="P1859" i="9"/>
  <c r="P1872" i="9"/>
  <c r="P1841" i="9"/>
  <c r="K1864" i="9"/>
  <c r="P1864" i="9"/>
  <c r="K1852" i="9"/>
  <c r="P1852" i="9"/>
  <c r="K1840" i="9"/>
  <c r="P1840" i="9"/>
  <c r="K1828" i="9"/>
  <c r="P1828" i="9"/>
  <c r="P1870" i="9"/>
  <c r="P1839" i="9"/>
  <c r="K1861" i="9"/>
  <c r="P1861" i="9"/>
  <c r="K1826" i="9"/>
  <c r="P1826" i="9"/>
  <c r="K1818" i="9"/>
  <c r="P1818" i="9"/>
  <c r="K1814" i="9"/>
  <c r="P1814" i="9"/>
  <c r="K1873" i="9"/>
  <c r="P1873" i="9"/>
  <c r="P1869" i="9"/>
  <c r="P1834" i="9"/>
  <c r="K1835" i="9"/>
  <c r="P1835" i="9"/>
  <c r="K1862" i="9"/>
  <c r="P1862" i="9"/>
  <c r="K1850" i="9"/>
  <c r="P1850" i="9"/>
  <c r="K1838" i="9"/>
  <c r="P1838" i="9"/>
  <c r="P1883" i="9"/>
  <c r="P1832" i="9"/>
  <c r="N1880" i="9"/>
  <c r="N1871" i="9"/>
  <c r="N1883" i="9"/>
  <c r="N1874" i="9"/>
  <c r="N1878" i="9"/>
  <c r="N1876" i="9"/>
  <c r="N1877" i="9"/>
  <c r="N1870" i="9"/>
  <c r="N1882" i="9"/>
  <c r="N1872" i="9"/>
  <c r="N1873" i="9"/>
  <c r="N1879" i="9"/>
  <c r="N1875" i="9"/>
  <c r="N1881" i="9"/>
  <c r="N1844" i="9"/>
  <c r="N1856" i="9"/>
  <c r="N1868" i="9"/>
  <c r="N1849" i="9"/>
  <c r="N1828" i="9"/>
  <c r="N1840" i="9"/>
  <c r="N1860" i="9"/>
  <c r="N1859" i="9"/>
  <c r="N1832" i="9"/>
  <c r="N1836" i="9"/>
  <c r="N1852" i="9"/>
  <c r="N1864" i="9"/>
  <c r="N1843" i="9"/>
  <c r="N1845" i="9"/>
  <c r="N1861" i="9"/>
  <c r="N1851" i="9"/>
  <c r="N1838" i="9"/>
  <c r="N1839" i="9"/>
  <c r="N1862" i="9"/>
  <c r="N1863" i="9"/>
  <c r="N1869" i="9"/>
  <c r="N1834" i="9"/>
  <c r="N1835" i="9"/>
  <c r="N1829" i="9"/>
  <c r="N1841" i="9"/>
  <c r="N1867" i="9"/>
  <c r="N1857" i="9"/>
  <c r="N1846" i="9"/>
  <c r="N1847" i="9"/>
  <c r="N1830" i="9"/>
  <c r="N1831" i="9"/>
  <c r="N1854" i="9"/>
  <c r="N1855" i="9"/>
  <c r="N1858" i="9"/>
  <c r="N1848" i="9"/>
  <c r="N1842" i="9"/>
  <c r="N1853" i="9"/>
  <c r="N1837" i="9"/>
  <c r="N1865" i="9"/>
  <c r="N1833" i="9"/>
  <c r="N1850" i="9"/>
  <c r="N1866" i="9"/>
  <c r="K1868" i="9"/>
  <c r="K1855" i="9"/>
  <c r="K1821" i="9"/>
  <c r="K1817" i="9"/>
  <c r="N1826" i="9"/>
  <c r="N1827" i="9"/>
  <c r="N1824" i="9"/>
  <c r="N1825" i="9"/>
  <c r="N1822" i="9"/>
  <c r="N1823" i="9"/>
  <c r="N1820" i="9"/>
  <c r="N1821" i="9"/>
  <c r="N1818" i="9"/>
  <c r="N1819" i="9"/>
  <c r="N1816" i="9"/>
  <c r="N1817" i="9"/>
  <c r="N1814" i="9"/>
  <c r="N1815" i="9"/>
  <c r="J1786" i="9"/>
  <c r="L1786" i="9"/>
  <c r="M1786" i="9" s="1"/>
  <c r="O1786" i="9"/>
  <c r="J1787" i="9"/>
  <c r="L1787" i="9"/>
  <c r="M1787" i="9" s="1"/>
  <c r="O1787" i="9"/>
  <c r="J1788" i="9"/>
  <c r="L1788" i="9"/>
  <c r="M1788" i="9" s="1"/>
  <c r="O1788" i="9"/>
  <c r="J1789" i="9"/>
  <c r="L1789" i="9"/>
  <c r="M1789" i="9" s="1"/>
  <c r="O1789" i="9"/>
  <c r="J1790" i="9"/>
  <c r="L1790" i="9"/>
  <c r="M1790" i="9" s="1"/>
  <c r="O1790" i="9"/>
  <c r="J1791" i="9"/>
  <c r="L1791" i="9"/>
  <c r="M1791" i="9" s="1"/>
  <c r="O1791" i="9"/>
  <c r="J1792" i="9"/>
  <c r="L1792" i="9"/>
  <c r="M1792" i="9" s="1"/>
  <c r="O1792" i="9"/>
  <c r="J1793" i="9"/>
  <c r="L1793" i="9"/>
  <c r="M1793" i="9" s="1"/>
  <c r="O1793" i="9"/>
  <c r="J1794" i="9"/>
  <c r="L1794" i="9"/>
  <c r="M1794" i="9" s="1"/>
  <c r="O1794" i="9"/>
  <c r="J1795" i="9"/>
  <c r="L1795" i="9"/>
  <c r="M1795" i="9" s="1"/>
  <c r="O1795" i="9"/>
  <c r="J1796" i="9"/>
  <c r="L1796" i="9"/>
  <c r="M1796" i="9" s="1"/>
  <c r="O1796" i="9"/>
  <c r="J1797" i="9"/>
  <c r="L1797" i="9"/>
  <c r="M1797" i="9" s="1"/>
  <c r="O1797" i="9"/>
  <c r="J1798" i="9"/>
  <c r="L1798" i="9"/>
  <c r="M1798" i="9" s="1"/>
  <c r="O1798" i="9"/>
  <c r="J1799" i="9"/>
  <c r="L1799" i="9"/>
  <c r="M1799" i="9" s="1"/>
  <c r="O1799" i="9"/>
  <c r="J1800" i="9"/>
  <c r="L1800" i="9"/>
  <c r="M1800" i="9" s="1"/>
  <c r="O1800" i="9"/>
  <c r="J1801" i="9"/>
  <c r="L1801" i="9"/>
  <c r="M1801" i="9" s="1"/>
  <c r="O1801" i="9"/>
  <c r="J1802" i="9"/>
  <c r="L1802" i="9"/>
  <c r="M1802" i="9" s="1"/>
  <c r="O1802" i="9"/>
  <c r="J1803" i="9"/>
  <c r="L1803" i="9"/>
  <c r="M1803" i="9" s="1"/>
  <c r="O1803" i="9"/>
  <c r="J1804" i="9"/>
  <c r="L1804" i="9"/>
  <c r="M1804" i="9" s="1"/>
  <c r="O1804" i="9"/>
  <c r="J1805" i="9"/>
  <c r="L1805" i="9"/>
  <c r="M1805" i="9" s="1"/>
  <c r="O1805" i="9"/>
  <c r="J1806" i="9"/>
  <c r="L1806" i="9"/>
  <c r="M1806" i="9" s="1"/>
  <c r="O1806" i="9"/>
  <c r="J1807" i="9"/>
  <c r="L1807" i="9"/>
  <c r="M1807" i="9" s="1"/>
  <c r="O1807" i="9"/>
  <c r="J1808" i="9"/>
  <c r="L1808" i="9"/>
  <c r="M1808" i="9" s="1"/>
  <c r="O1808" i="9"/>
  <c r="J1809" i="9"/>
  <c r="L1809" i="9"/>
  <c r="M1809" i="9" s="1"/>
  <c r="O1809" i="9"/>
  <c r="J1810" i="9"/>
  <c r="L1810" i="9"/>
  <c r="M1810" i="9" s="1"/>
  <c r="O1810" i="9"/>
  <c r="J1811" i="9"/>
  <c r="L1811" i="9"/>
  <c r="M1811" i="9" s="1"/>
  <c r="O1811" i="9"/>
  <c r="J1812" i="9"/>
  <c r="L1812" i="9"/>
  <c r="M1812" i="9" s="1"/>
  <c r="O1812" i="9"/>
  <c r="J1813" i="9"/>
  <c r="L1813" i="9"/>
  <c r="M1813" i="9" s="1"/>
  <c r="O1813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F16" i="23" l="1"/>
  <c r="C33" i="23" s="1"/>
  <c r="D33" i="23" s="1"/>
  <c r="C16" i="23"/>
  <c r="F33" i="23" s="1"/>
  <c r="G33" i="23" s="1"/>
  <c r="D38" i="23"/>
  <c r="C18" i="23"/>
  <c r="F35" i="23" s="1"/>
  <c r="F19" i="23"/>
  <c r="C36" i="23" s="1"/>
  <c r="D36" i="23" s="1"/>
  <c r="C20" i="23"/>
  <c r="F37" i="23" s="1"/>
  <c r="F20" i="23"/>
  <c r="C37" i="23" s="1"/>
  <c r="D37" i="23" s="1"/>
  <c r="F17" i="23"/>
  <c r="C34" i="23" s="1"/>
  <c r="D34" i="23" s="1"/>
  <c r="G38" i="23"/>
  <c r="F18" i="23"/>
  <c r="C35" i="23" s="1"/>
  <c r="D35" i="23" s="1"/>
  <c r="C19" i="23"/>
  <c r="F36" i="23" s="1"/>
  <c r="G36" i="23" s="1"/>
  <c r="F34" i="23"/>
  <c r="G34" i="23" s="1"/>
  <c r="D17" i="23"/>
  <c r="G21" i="23"/>
  <c r="E37" i="23"/>
  <c r="E35" i="23"/>
  <c r="D21" i="23"/>
  <c r="K1812" i="9"/>
  <c r="P1812" i="9"/>
  <c r="K1808" i="9"/>
  <c r="P1808" i="9"/>
  <c r="K1804" i="9"/>
  <c r="P1804" i="9"/>
  <c r="K1800" i="9"/>
  <c r="P1800" i="9"/>
  <c r="F15" i="23" s="1"/>
  <c r="K1796" i="9"/>
  <c r="P1796" i="9"/>
  <c r="K1792" i="9"/>
  <c r="P1792" i="9"/>
  <c r="K1788" i="9"/>
  <c r="P1788" i="9"/>
  <c r="K1811" i="9"/>
  <c r="P1811" i="9"/>
  <c r="K1807" i="9"/>
  <c r="P1807" i="9"/>
  <c r="K1803" i="9"/>
  <c r="P1803" i="9"/>
  <c r="K1799" i="9"/>
  <c r="P1799" i="9"/>
  <c r="K1795" i="9"/>
  <c r="P1795" i="9"/>
  <c r="K1791" i="9"/>
  <c r="P1791" i="9"/>
  <c r="K1787" i="9"/>
  <c r="P1787" i="9"/>
  <c r="F14" i="23" s="1"/>
  <c r="K1810" i="9"/>
  <c r="P1810" i="9"/>
  <c r="K1806" i="9"/>
  <c r="P1806" i="9"/>
  <c r="K1802" i="9"/>
  <c r="P1802" i="9"/>
  <c r="K1798" i="9"/>
  <c r="P1798" i="9"/>
  <c r="K1794" i="9"/>
  <c r="P1794" i="9"/>
  <c r="K1790" i="9"/>
  <c r="P1790" i="9"/>
  <c r="K1786" i="9"/>
  <c r="P1786" i="9"/>
  <c r="K1813" i="9"/>
  <c r="P1813" i="9"/>
  <c r="K1809" i="9"/>
  <c r="P1809" i="9"/>
  <c r="K1805" i="9"/>
  <c r="P1805" i="9"/>
  <c r="C15" i="23" s="1"/>
  <c r="K1801" i="9"/>
  <c r="P1801" i="9"/>
  <c r="K1797" i="9"/>
  <c r="P1797" i="9"/>
  <c r="K1793" i="9"/>
  <c r="P1793" i="9"/>
  <c r="K1789" i="9"/>
  <c r="P1789" i="9"/>
  <c r="N1803" i="9"/>
  <c r="N1813" i="9"/>
  <c r="N1786" i="9"/>
  <c r="C14" i="23" l="1"/>
  <c r="D14" i="23" s="1"/>
  <c r="G16" i="23"/>
  <c r="D16" i="23"/>
  <c r="D18" i="23"/>
  <c r="G35" i="23"/>
  <c r="G17" i="23"/>
  <c r="D20" i="23"/>
  <c r="G19" i="23"/>
  <c r="G37" i="23"/>
  <c r="G20" i="23"/>
  <c r="D19" i="23"/>
  <c r="G18" i="23"/>
  <c r="F32" i="23"/>
  <c r="G32" i="23" s="1"/>
  <c r="D15" i="23"/>
  <c r="C32" i="23"/>
  <c r="D32" i="23" s="1"/>
  <c r="G15" i="23"/>
  <c r="C31" i="23"/>
  <c r="D31" i="23" s="1"/>
  <c r="G14" i="23"/>
  <c r="C1772" i="9"/>
  <c r="E1772" i="9"/>
  <c r="J1772" i="9"/>
  <c r="P1772" i="9" s="1"/>
  <c r="L1772" i="9"/>
  <c r="M1772" i="9" s="1"/>
  <c r="O1772" i="9"/>
  <c r="C1773" i="9"/>
  <c r="E1773" i="9"/>
  <c r="J1773" i="9"/>
  <c r="L1773" i="9"/>
  <c r="M1773" i="9" s="1"/>
  <c r="O1773" i="9"/>
  <c r="C1774" i="9"/>
  <c r="E1774" i="9"/>
  <c r="J1774" i="9"/>
  <c r="P1774" i="9" s="1"/>
  <c r="L1774" i="9"/>
  <c r="M1774" i="9" s="1"/>
  <c r="O1774" i="9"/>
  <c r="C1775" i="9"/>
  <c r="E1775" i="9"/>
  <c r="J1775" i="9"/>
  <c r="L1775" i="9"/>
  <c r="M1775" i="9" s="1"/>
  <c r="O1775" i="9"/>
  <c r="C1776" i="9"/>
  <c r="E1776" i="9"/>
  <c r="J1776" i="9"/>
  <c r="L1776" i="9"/>
  <c r="M1776" i="9" s="1"/>
  <c r="O1776" i="9"/>
  <c r="C1777" i="9"/>
  <c r="E1777" i="9"/>
  <c r="J1777" i="9"/>
  <c r="P1777" i="9" s="1"/>
  <c r="L1777" i="9"/>
  <c r="M1777" i="9" s="1"/>
  <c r="O1777" i="9"/>
  <c r="C1778" i="9"/>
  <c r="E1778" i="9"/>
  <c r="J1778" i="9"/>
  <c r="P1778" i="9" s="1"/>
  <c r="L1778" i="9"/>
  <c r="M1778" i="9" s="1"/>
  <c r="O1778" i="9"/>
  <c r="C1779" i="9"/>
  <c r="E1779" i="9"/>
  <c r="J1779" i="9"/>
  <c r="P1779" i="9" s="1"/>
  <c r="L1779" i="9"/>
  <c r="M1779" i="9" s="1"/>
  <c r="O1779" i="9"/>
  <c r="C1780" i="9"/>
  <c r="E1780" i="9"/>
  <c r="J1780" i="9"/>
  <c r="L1780" i="9"/>
  <c r="M1780" i="9" s="1"/>
  <c r="N1789" i="9" s="1"/>
  <c r="O1780" i="9"/>
  <c r="C1781" i="9"/>
  <c r="E1781" i="9"/>
  <c r="J1781" i="9"/>
  <c r="P1781" i="9" s="1"/>
  <c r="L1781" i="9"/>
  <c r="M1781" i="9" s="1"/>
  <c r="O1781" i="9"/>
  <c r="C1782" i="9"/>
  <c r="E1782" i="9"/>
  <c r="J1782" i="9"/>
  <c r="L1782" i="9"/>
  <c r="M1782" i="9" s="1"/>
  <c r="O1782" i="9"/>
  <c r="C1783" i="9"/>
  <c r="E1783" i="9"/>
  <c r="J1783" i="9"/>
  <c r="P1783" i="9" s="1"/>
  <c r="L1783" i="9"/>
  <c r="M1783" i="9" s="1"/>
  <c r="O1783" i="9"/>
  <c r="C1784" i="9"/>
  <c r="E1784" i="9"/>
  <c r="J1784" i="9"/>
  <c r="P1784" i="9" s="1"/>
  <c r="L1784" i="9"/>
  <c r="M1784" i="9" s="1"/>
  <c r="O1784" i="9"/>
  <c r="C1785" i="9"/>
  <c r="E1785" i="9"/>
  <c r="J1785" i="9"/>
  <c r="L1785" i="9"/>
  <c r="M1785" i="9" s="1"/>
  <c r="O1785" i="9"/>
  <c r="AJ6" i="13"/>
  <c r="AJ7" i="13"/>
  <c r="AJ8" i="13"/>
  <c r="AJ9" i="13"/>
  <c r="AJ10" i="13"/>
  <c r="AJ11" i="13"/>
  <c r="AJ12" i="13"/>
  <c r="AJ13" i="13"/>
  <c r="AJ14" i="13"/>
  <c r="AJ5" i="13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C1771" i="9"/>
  <c r="J1758" i="9"/>
  <c r="L1758" i="9"/>
  <c r="M1758" i="9" s="1"/>
  <c r="O1758" i="9"/>
  <c r="J1759" i="9"/>
  <c r="L1759" i="9"/>
  <c r="M1759" i="9" s="1"/>
  <c r="O1759" i="9"/>
  <c r="J1760" i="9"/>
  <c r="P1760" i="9" s="1"/>
  <c r="L1760" i="9"/>
  <c r="M1760" i="9" s="1"/>
  <c r="O1760" i="9"/>
  <c r="J1761" i="9"/>
  <c r="L1761" i="9"/>
  <c r="M1761" i="9" s="1"/>
  <c r="O1761" i="9"/>
  <c r="J1762" i="9"/>
  <c r="L1762" i="9"/>
  <c r="M1762" i="9" s="1"/>
  <c r="O1762" i="9"/>
  <c r="J1763" i="9"/>
  <c r="P1763" i="9" s="1"/>
  <c r="L1763" i="9"/>
  <c r="M1763" i="9" s="1"/>
  <c r="O1763" i="9"/>
  <c r="J1764" i="9"/>
  <c r="P1764" i="9" s="1"/>
  <c r="L1764" i="9"/>
  <c r="M1764" i="9" s="1"/>
  <c r="O1764" i="9"/>
  <c r="J1765" i="9"/>
  <c r="L1765" i="9"/>
  <c r="M1765" i="9" s="1"/>
  <c r="O1765" i="9"/>
  <c r="J1766" i="9"/>
  <c r="L1766" i="9"/>
  <c r="M1766" i="9" s="1"/>
  <c r="O1766" i="9"/>
  <c r="J1767" i="9"/>
  <c r="L1767" i="9"/>
  <c r="M1767" i="9" s="1"/>
  <c r="O1767" i="9"/>
  <c r="J1768" i="9"/>
  <c r="L1768" i="9"/>
  <c r="M1768" i="9" s="1"/>
  <c r="O1768" i="9"/>
  <c r="J1769" i="9"/>
  <c r="L1769" i="9"/>
  <c r="M1769" i="9" s="1"/>
  <c r="O1769" i="9"/>
  <c r="J1770" i="9"/>
  <c r="L1770" i="9"/>
  <c r="M1770" i="9" s="1"/>
  <c r="O1770" i="9"/>
  <c r="J1771" i="9"/>
  <c r="L1771" i="9"/>
  <c r="M1771" i="9" s="1"/>
  <c r="O1771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F31" i="23" l="1"/>
  <c r="G31" i="23" s="1"/>
  <c r="F13" i="23"/>
  <c r="C30" i="23" s="1"/>
  <c r="D30" i="23" s="1"/>
  <c r="K1776" i="9"/>
  <c r="P1776" i="9"/>
  <c r="K1769" i="9"/>
  <c r="P1769" i="9"/>
  <c r="K1761" i="9"/>
  <c r="P1761" i="9"/>
  <c r="K1785" i="9"/>
  <c r="P1785" i="9"/>
  <c r="K1773" i="9"/>
  <c r="P1773" i="9"/>
  <c r="K1768" i="9"/>
  <c r="P1768" i="9"/>
  <c r="C12" i="23" s="1"/>
  <c r="K1780" i="9"/>
  <c r="P1780" i="9"/>
  <c r="K1775" i="9"/>
  <c r="P1775" i="9"/>
  <c r="C13" i="23" s="1"/>
  <c r="K1782" i="9"/>
  <c r="P1782" i="9"/>
  <c r="K1765" i="9"/>
  <c r="P1765" i="9"/>
  <c r="K1771" i="9"/>
  <c r="P1771" i="9"/>
  <c r="K1767" i="9"/>
  <c r="P1767" i="9"/>
  <c r="K1759" i="9"/>
  <c r="P1759" i="9"/>
  <c r="F12" i="23" s="1"/>
  <c r="K1770" i="9"/>
  <c r="P1770" i="9"/>
  <c r="K1766" i="9"/>
  <c r="P1766" i="9"/>
  <c r="K1762" i="9"/>
  <c r="P1762" i="9"/>
  <c r="K1758" i="9"/>
  <c r="P1758" i="9"/>
  <c r="K1784" i="9"/>
  <c r="K1783" i="9"/>
  <c r="K1781" i="9"/>
  <c r="K1779" i="9"/>
  <c r="K1777" i="9"/>
  <c r="K1772" i="9"/>
  <c r="N1784" i="9"/>
  <c r="N1780" i="9"/>
  <c r="N1777" i="9"/>
  <c r="K1778" i="9"/>
  <c r="K1774" i="9"/>
  <c r="K1764" i="9"/>
  <c r="K1760" i="9"/>
  <c r="K1763" i="9"/>
  <c r="G13" i="23" l="1"/>
  <c r="F30" i="23"/>
  <c r="G30" i="23" s="1"/>
  <c r="D13" i="23"/>
  <c r="C29" i="23"/>
  <c r="D29" i="23" s="1"/>
  <c r="G12" i="23"/>
  <c r="F29" i="23"/>
  <c r="G29" i="23" s="1"/>
  <c r="D12" i="23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5" i="9"/>
  <c r="O4" i="9"/>
  <c r="O3" i="9"/>
  <c r="O2" i="9"/>
  <c r="AD16" i="13" l="1"/>
  <c r="AD6" i="13"/>
  <c r="AD7" i="13"/>
  <c r="AD8" i="13"/>
  <c r="AD9" i="13"/>
  <c r="AD10" i="13"/>
  <c r="AD11" i="13"/>
  <c r="AD12" i="13"/>
  <c r="AD13" i="13"/>
  <c r="AD14" i="13"/>
  <c r="AD15" i="13"/>
  <c r="AD5" i="13"/>
  <c r="AD17" i="13" l="1"/>
  <c r="AD18" i="13" s="1"/>
  <c r="J1716" i="9"/>
  <c r="L1716" i="9"/>
  <c r="M1716" i="9" s="1"/>
  <c r="J1717" i="9"/>
  <c r="L1717" i="9"/>
  <c r="M1717" i="9" s="1"/>
  <c r="J1718" i="9"/>
  <c r="L1718" i="9"/>
  <c r="M1718" i="9" s="1"/>
  <c r="J1719" i="9"/>
  <c r="L1719" i="9"/>
  <c r="M1719" i="9" s="1"/>
  <c r="J1720" i="9"/>
  <c r="L1720" i="9"/>
  <c r="M1720" i="9" s="1"/>
  <c r="J1721" i="9"/>
  <c r="L1721" i="9"/>
  <c r="M1721" i="9" s="1"/>
  <c r="J1722" i="9"/>
  <c r="L1722" i="9"/>
  <c r="M1722" i="9" s="1"/>
  <c r="N1797" i="9" s="1"/>
  <c r="J1723" i="9"/>
  <c r="L1723" i="9"/>
  <c r="M1723" i="9" s="1"/>
  <c r="J1724" i="9"/>
  <c r="L1724" i="9"/>
  <c r="M1724" i="9" s="1"/>
  <c r="N1791" i="9" s="1"/>
  <c r="J1725" i="9"/>
  <c r="L1725" i="9"/>
  <c r="M1725" i="9" s="1"/>
  <c r="J1726" i="9"/>
  <c r="L1726" i="9"/>
  <c r="M1726" i="9" s="1"/>
  <c r="J1727" i="9"/>
  <c r="L1727" i="9"/>
  <c r="M1727" i="9" s="1"/>
  <c r="J1728" i="9"/>
  <c r="L1728" i="9"/>
  <c r="M1728" i="9" s="1"/>
  <c r="J1729" i="9"/>
  <c r="L1729" i="9"/>
  <c r="M1729" i="9" s="1"/>
  <c r="J1730" i="9"/>
  <c r="P1730" i="9" s="1"/>
  <c r="L1730" i="9"/>
  <c r="M1730" i="9" s="1"/>
  <c r="J1731" i="9"/>
  <c r="L1731" i="9"/>
  <c r="M1731" i="9" s="1"/>
  <c r="J1732" i="9"/>
  <c r="L1732" i="9"/>
  <c r="M1732" i="9" s="1"/>
  <c r="J1733" i="9"/>
  <c r="L1733" i="9"/>
  <c r="M1733" i="9" s="1"/>
  <c r="J1734" i="9"/>
  <c r="L1734" i="9"/>
  <c r="M1734" i="9" s="1"/>
  <c r="N1809" i="9" s="1"/>
  <c r="J1735" i="9"/>
  <c r="L1735" i="9"/>
  <c r="M1735" i="9" s="1"/>
  <c r="J1736" i="9"/>
  <c r="L1736" i="9"/>
  <c r="M1736" i="9" s="1"/>
  <c r="J1737" i="9"/>
  <c r="L1737" i="9"/>
  <c r="M1737" i="9" s="1"/>
  <c r="J1738" i="9"/>
  <c r="L1738" i="9"/>
  <c r="M1738" i="9" s="1"/>
  <c r="J1739" i="9"/>
  <c r="L1739" i="9"/>
  <c r="M1739" i="9" s="1"/>
  <c r="J1740" i="9"/>
  <c r="L1740" i="9"/>
  <c r="M1740" i="9" s="1"/>
  <c r="J1741" i="9"/>
  <c r="L1741" i="9"/>
  <c r="M1741" i="9" s="1"/>
  <c r="J1742" i="9"/>
  <c r="L1742" i="9"/>
  <c r="M1742" i="9" s="1"/>
  <c r="J1743" i="9"/>
  <c r="L1743" i="9"/>
  <c r="M1743" i="9" s="1"/>
  <c r="J1744" i="9"/>
  <c r="L1744" i="9"/>
  <c r="M1744" i="9" s="1"/>
  <c r="J1745" i="9"/>
  <c r="L1745" i="9"/>
  <c r="M1745" i="9" s="1"/>
  <c r="J1746" i="9"/>
  <c r="L1746" i="9"/>
  <c r="M1746" i="9" s="1"/>
  <c r="J1747" i="9"/>
  <c r="L1747" i="9"/>
  <c r="M1747" i="9" s="1"/>
  <c r="J1748" i="9"/>
  <c r="L1748" i="9"/>
  <c r="M1748" i="9" s="1"/>
  <c r="J1749" i="9"/>
  <c r="L1749" i="9"/>
  <c r="M1749" i="9" s="1"/>
  <c r="J1750" i="9"/>
  <c r="L1750" i="9"/>
  <c r="M1750" i="9" s="1"/>
  <c r="J1751" i="9"/>
  <c r="L1751" i="9"/>
  <c r="M1751" i="9" s="1"/>
  <c r="J1752" i="9"/>
  <c r="L1752" i="9"/>
  <c r="M1752" i="9" s="1"/>
  <c r="J1753" i="9"/>
  <c r="L1753" i="9"/>
  <c r="M1753" i="9" s="1"/>
  <c r="J1754" i="9"/>
  <c r="L1754" i="9"/>
  <c r="M1754" i="9" s="1"/>
  <c r="J1755" i="9"/>
  <c r="L1755" i="9"/>
  <c r="M1755" i="9" s="1"/>
  <c r="J1756" i="9"/>
  <c r="L1756" i="9"/>
  <c r="M1756" i="9" s="1"/>
  <c r="J1757" i="9"/>
  <c r="L1757" i="9"/>
  <c r="M1757" i="9" s="1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O13" i="13"/>
  <c r="P13" i="13"/>
  <c r="R13" i="13"/>
  <c r="S13" i="13"/>
  <c r="T13" i="13"/>
  <c r="O14" i="13"/>
  <c r="P14" i="13"/>
  <c r="R14" i="13"/>
  <c r="S14" i="13"/>
  <c r="T14" i="13"/>
  <c r="H13" i="13"/>
  <c r="I13" i="13" s="1"/>
  <c r="L13" i="13"/>
  <c r="H14" i="13"/>
  <c r="I14" i="13" s="1"/>
  <c r="L14" i="13"/>
  <c r="J1714" i="9"/>
  <c r="P1714" i="9" s="1"/>
  <c r="J1715" i="9"/>
  <c r="J1702" i="9"/>
  <c r="J1703" i="9"/>
  <c r="J1704" i="9"/>
  <c r="J1705" i="9"/>
  <c r="J1706" i="9"/>
  <c r="J1707" i="9"/>
  <c r="J1708" i="9"/>
  <c r="J1709" i="9"/>
  <c r="P1709" i="9" s="1"/>
  <c r="J1710" i="9"/>
  <c r="J1711" i="9"/>
  <c r="J1712" i="9"/>
  <c r="J1713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L1715" i="9"/>
  <c r="M1715" i="9" s="1"/>
  <c r="L1714" i="9"/>
  <c r="M1714" i="9" s="1"/>
  <c r="L1713" i="9"/>
  <c r="M1713" i="9" s="1"/>
  <c r="L1712" i="9"/>
  <c r="M1712" i="9" s="1"/>
  <c r="L1711" i="9"/>
  <c r="M1711" i="9" s="1"/>
  <c r="L1710" i="9"/>
  <c r="M1710" i="9" s="1"/>
  <c r="L1709" i="9"/>
  <c r="M1709" i="9" s="1"/>
  <c r="L1708" i="9"/>
  <c r="M1708" i="9" s="1"/>
  <c r="L1707" i="9"/>
  <c r="M1707" i="9" s="1"/>
  <c r="L1706" i="9"/>
  <c r="M1706" i="9" s="1"/>
  <c r="L1705" i="9"/>
  <c r="M1705" i="9" s="1"/>
  <c r="L1704" i="9"/>
  <c r="M1704" i="9" s="1"/>
  <c r="L1703" i="9"/>
  <c r="M1703" i="9" s="1"/>
  <c r="L1702" i="9"/>
  <c r="M1702" i="9" s="1"/>
  <c r="G108" i="10"/>
  <c r="H108" i="10" s="1"/>
  <c r="G102" i="10"/>
  <c r="H102" i="10" s="1"/>
  <c r="G103" i="10"/>
  <c r="H103" i="10" s="1"/>
  <c r="G104" i="10"/>
  <c r="H104" i="10" s="1"/>
  <c r="G105" i="10"/>
  <c r="H105" i="10" s="1"/>
  <c r="G106" i="10"/>
  <c r="H106" i="10" s="1"/>
  <c r="G107" i="10"/>
  <c r="H107" i="10" s="1"/>
  <c r="G109" i="10"/>
  <c r="H109" i="10" s="1"/>
  <c r="G110" i="10"/>
  <c r="H110" i="10" s="1"/>
  <c r="G111" i="10"/>
  <c r="H111" i="10" s="1"/>
  <c r="G112" i="10"/>
  <c r="H112" i="10" s="1"/>
  <c r="G113" i="10"/>
  <c r="H113" i="10" s="1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K1757" i="9" l="1"/>
  <c r="P1757" i="9"/>
  <c r="K1751" i="9"/>
  <c r="P1751" i="9"/>
  <c r="K1745" i="9"/>
  <c r="P1745" i="9"/>
  <c r="K1739" i="9"/>
  <c r="X136" i="11" s="1"/>
  <c r="P1739" i="9"/>
  <c r="K1733" i="9"/>
  <c r="P1733" i="9"/>
  <c r="K1727" i="9"/>
  <c r="P1727" i="9"/>
  <c r="K1721" i="9"/>
  <c r="P1721" i="9"/>
  <c r="K1707" i="9"/>
  <c r="P1707" i="9"/>
  <c r="K1708" i="9"/>
  <c r="P1708" i="9"/>
  <c r="K1706" i="9"/>
  <c r="P1706" i="9"/>
  <c r="K1704" i="9"/>
  <c r="P1704" i="9"/>
  <c r="C8" i="23" s="1"/>
  <c r="K1755" i="9"/>
  <c r="P1755" i="9"/>
  <c r="K1749" i="9"/>
  <c r="P1749" i="9"/>
  <c r="K1743" i="9"/>
  <c r="P1743" i="9"/>
  <c r="K1737" i="9"/>
  <c r="P1737" i="9"/>
  <c r="K1731" i="9"/>
  <c r="P1731" i="9"/>
  <c r="K1725" i="9"/>
  <c r="P1725" i="9"/>
  <c r="C9" i="23" s="1"/>
  <c r="K1719" i="9"/>
  <c r="P1719" i="9"/>
  <c r="K1744" i="9"/>
  <c r="P1744" i="9"/>
  <c r="K1726" i="9"/>
  <c r="P1726" i="9"/>
  <c r="K1703" i="9"/>
  <c r="P1703" i="9"/>
  <c r="K1756" i="9"/>
  <c r="X139" i="11" s="1"/>
  <c r="P1756" i="9"/>
  <c r="K1750" i="9"/>
  <c r="P1750" i="9"/>
  <c r="K1738" i="9"/>
  <c r="P1738" i="9"/>
  <c r="K1732" i="9"/>
  <c r="P1732" i="9"/>
  <c r="K1720" i="9"/>
  <c r="P1720" i="9"/>
  <c r="K1705" i="9"/>
  <c r="P1705" i="9"/>
  <c r="K1702" i="9"/>
  <c r="P1702" i="9"/>
  <c r="K1754" i="9"/>
  <c r="P1754" i="9"/>
  <c r="K1748" i="9"/>
  <c r="P1748" i="9"/>
  <c r="K1742" i="9"/>
  <c r="P1742" i="9"/>
  <c r="K1736" i="9"/>
  <c r="P1736" i="9"/>
  <c r="K1724" i="9"/>
  <c r="P1724" i="9"/>
  <c r="K1718" i="9"/>
  <c r="P1718" i="9"/>
  <c r="K1712" i="9"/>
  <c r="P1712" i="9"/>
  <c r="K1753" i="9"/>
  <c r="P1753" i="9"/>
  <c r="K1747" i="9"/>
  <c r="P1747" i="9"/>
  <c r="K1741" i="9"/>
  <c r="P1741" i="9"/>
  <c r="K1735" i="9"/>
  <c r="P1735" i="9"/>
  <c r="K1729" i="9"/>
  <c r="P1729" i="9"/>
  <c r="K1723" i="9"/>
  <c r="X126" i="11" s="1"/>
  <c r="P1723" i="9"/>
  <c r="K1717" i="9"/>
  <c r="P1717" i="9"/>
  <c r="K1713" i="9"/>
  <c r="P1713" i="9"/>
  <c r="K1715" i="9"/>
  <c r="P1715" i="9"/>
  <c r="K1711" i="9"/>
  <c r="P1711" i="9"/>
  <c r="K1752" i="9"/>
  <c r="P1752" i="9"/>
  <c r="K1746" i="9"/>
  <c r="P1746" i="9"/>
  <c r="K1740" i="9"/>
  <c r="P1740" i="9"/>
  <c r="K1734" i="9"/>
  <c r="P1734" i="9"/>
  <c r="C10" i="23" s="1"/>
  <c r="K1728" i="9"/>
  <c r="P1728" i="9"/>
  <c r="K1722" i="9"/>
  <c r="P1722" i="9"/>
  <c r="K1716" i="9"/>
  <c r="P1716" i="9"/>
  <c r="F9" i="23" s="1"/>
  <c r="K1710" i="9"/>
  <c r="P1710" i="9"/>
  <c r="N1805" i="9"/>
  <c r="N1810" i="9"/>
  <c r="N1706" i="9"/>
  <c r="N1720" i="9"/>
  <c r="AG28" i="11"/>
  <c r="AD183" i="11"/>
  <c r="AI197" i="11"/>
  <c r="AI28" i="11"/>
  <c r="AF183" i="11"/>
  <c r="AD14" i="11"/>
  <c r="AD56" i="11"/>
  <c r="AD98" i="11"/>
  <c r="AD169" i="11"/>
  <c r="AG183" i="11"/>
  <c r="AF14" i="11"/>
  <c r="AF56" i="11"/>
  <c r="AF98" i="11"/>
  <c r="AF169" i="11"/>
  <c r="AI183" i="11"/>
  <c r="AG14" i="11"/>
  <c r="AG56" i="11"/>
  <c r="AG98" i="11"/>
  <c r="AG169" i="11"/>
  <c r="AI14" i="11"/>
  <c r="AI56" i="11"/>
  <c r="AI98" i="11"/>
  <c r="AD84" i="11"/>
  <c r="AD126" i="11"/>
  <c r="AF84" i="11"/>
  <c r="AF126" i="11"/>
  <c r="AG84" i="11"/>
  <c r="AG126" i="11"/>
  <c r="AI84" i="11"/>
  <c r="AI126" i="11"/>
  <c r="AD197" i="11"/>
  <c r="AD28" i="11"/>
  <c r="AF197" i="11"/>
  <c r="AA132" i="11"/>
  <c r="AA144" i="11"/>
  <c r="AF28" i="11"/>
  <c r="AF70" i="11"/>
  <c r="AG197" i="11"/>
  <c r="AA145" i="11"/>
  <c r="V142" i="11"/>
  <c r="AA133" i="11"/>
  <c r="Y142" i="11"/>
  <c r="X137" i="11"/>
  <c r="V143" i="11"/>
  <c r="Y143" i="11"/>
  <c r="X138" i="11"/>
  <c r="V132" i="11"/>
  <c r="V144" i="11"/>
  <c r="AA135" i="11"/>
  <c r="Y132" i="11"/>
  <c r="Y144" i="11"/>
  <c r="V133" i="11"/>
  <c r="V145" i="11"/>
  <c r="Y133" i="11"/>
  <c r="Y145" i="11"/>
  <c r="X140" i="11"/>
  <c r="AD211" i="11"/>
  <c r="AA137" i="11"/>
  <c r="V135" i="11"/>
  <c r="AI169" i="11"/>
  <c r="AF211" i="11"/>
  <c r="AA138" i="11"/>
  <c r="Y135" i="11"/>
  <c r="X142" i="11"/>
  <c r="AG211" i="11"/>
  <c r="AA139" i="11"/>
  <c r="X143" i="11"/>
  <c r="V137" i="11"/>
  <c r="AI211" i="11"/>
  <c r="AA140" i="11"/>
  <c r="Y137" i="11"/>
  <c r="X132" i="11"/>
  <c r="X144" i="11"/>
  <c r="V138" i="11"/>
  <c r="Y138" i="11"/>
  <c r="X133" i="11"/>
  <c r="X145" i="11"/>
  <c r="AA142" i="11"/>
  <c r="V140" i="11"/>
  <c r="AA143" i="11"/>
  <c r="Y140" i="11"/>
  <c r="X135" i="11"/>
  <c r="AG13" i="11"/>
  <c r="AG55" i="11"/>
  <c r="AG168" i="11"/>
  <c r="AA122" i="11"/>
  <c r="AI13" i="11"/>
  <c r="AI55" i="11"/>
  <c r="AI168" i="11"/>
  <c r="AD210" i="11"/>
  <c r="AD41" i="11"/>
  <c r="AD83" i="11"/>
  <c r="AD154" i="11"/>
  <c r="AF210" i="11"/>
  <c r="AF41" i="11"/>
  <c r="AF83" i="11"/>
  <c r="AF154" i="11"/>
  <c r="AG210" i="11"/>
  <c r="AG41" i="11"/>
  <c r="AG83" i="11"/>
  <c r="AG154" i="11"/>
  <c r="AI210" i="11"/>
  <c r="AA126" i="11"/>
  <c r="AI41" i="11"/>
  <c r="AI83" i="11"/>
  <c r="AI154" i="11"/>
  <c r="AD27" i="11"/>
  <c r="AD69" i="11"/>
  <c r="AF196" i="11"/>
  <c r="AF27" i="11"/>
  <c r="AF69" i="11"/>
  <c r="AG196" i="11"/>
  <c r="AG27" i="11"/>
  <c r="AG69" i="11"/>
  <c r="AD182" i="11"/>
  <c r="AI27" i="11"/>
  <c r="AI69" i="11"/>
  <c r="AF182" i="11"/>
  <c r="AD13" i="11"/>
  <c r="AD55" i="11"/>
  <c r="AD168" i="11"/>
  <c r="AG182" i="11"/>
  <c r="AA120" i="11"/>
  <c r="AF13" i="11"/>
  <c r="AF55" i="11"/>
  <c r="AF168" i="11"/>
  <c r="AI182" i="11"/>
  <c r="AA131" i="11"/>
  <c r="Y129" i="11"/>
  <c r="V118" i="11"/>
  <c r="V130" i="11"/>
  <c r="Y118" i="11"/>
  <c r="Y130" i="11"/>
  <c r="V119" i="11"/>
  <c r="V131" i="11"/>
  <c r="AA118" i="11"/>
  <c r="Y119" i="11"/>
  <c r="Y131" i="11"/>
  <c r="V120" i="11"/>
  <c r="AA119" i="11"/>
  <c r="Y120" i="11"/>
  <c r="X127" i="11"/>
  <c r="V121" i="11"/>
  <c r="AA121" i="11"/>
  <c r="Y121" i="11"/>
  <c r="X128" i="11"/>
  <c r="V122" i="11"/>
  <c r="AD196" i="11"/>
  <c r="AA123" i="11"/>
  <c r="Y122" i="11"/>
  <c r="X129" i="11"/>
  <c r="V123" i="11"/>
  <c r="AI196" i="11"/>
  <c r="Y123" i="11"/>
  <c r="X118" i="11"/>
  <c r="X130" i="11"/>
  <c r="X119" i="11"/>
  <c r="X131" i="11"/>
  <c r="AA127" i="11"/>
  <c r="X120" i="11"/>
  <c r="AA128" i="11"/>
  <c r="X121" i="11"/>
  <c r="V127" i="11"/>
  <c r="V129" i="11"/>
  <c r="AA129" i="11"/>
  <c r="Y127" i="11"/>
  <c r="X122" i="11"/>
  <c r="V128" i="11"/>
  <c r="AA130" i="11"/>
  <c r="Y128" i="11"/>
  <c r="X123" i="11"/>
  <c r="N1741" i="9"/>
  <c r="N1721" i="9"/>
  <c r="N1730" i="9"/>
  <c r="N1724" i="9"/>
  <c r="N1722" i="9"/>
  <c r="N1734" i="9"/>
  <c r="N1755" i="9"/>
  <c r="N1749" i="9"/>
  <c r="K1730" i="9"/>
  <c r="K1714" i="9"/>
  <c r="C13" i="13" s="1"/>
  <c r="G40" i="13"/>
  <c r="H40" i="13"/>
  <c r="N1747" i="9"/>
  <c r="G14" i="13"/>
  <c r="G41" i="13"/>
  <c r="H41" i="13"/>
  <c r="Q14" i="13"/>
  <c r="K1709" i="9"/>
  <c r="AD42" i="11" s="1"/>
  <c r="G13" i="13"/>
  <c r="Q13" i="13"/>
  <c r="V126" i="11" l="1"/>
  <c r="AI140" i="11"/>
  <c r="AD140" i="11"/>
  <c r="AG140" i="11"/>
  <c r="AF140" i="11"/>
  <c r="Y126" i="11"/>
  <c r="Y139" i="11"/>
  <c r="AF112" i="11"/>
  <c r="AI112" i="11"/>
  <c r="AI70" i="11"/>
  <c r="V139" i="11"/>
  <c r="Y136" i="11"/>
  <c r="V136" i="11"/>
  <c r="AA136" i="11"/>
  <c r="AG112" i="11"/>
  <c r="AD112" i="11"/>
  <c r="AG70" i="11"/>
  <c r="AD70" i="11"/>
  <c r="F8" i="23"/>
  <c r="C25" i="23" s="1"/>
  <c r="D25" i="23" s="1"/>
  <c r="F10" i="23"/>
  <c r="C27" i="23" s="1"/>
  <c r="D27" i="23" s="1"/>
  <c r="F11" i="23"/>
  <c r="C28" i="23" s="1"/>
  <c r="D28" i="23" s="1"/>
  <c r="C11" i="23"/>
  <c r="F28" i="23" s="1"/>
  <c r="G28" i="23" s="1"/>
  <c r="F26" i="23"/>
  <c r="G26" i="23" s="1"/>
  <c r="D9" i="23"/>
  <c r="F25" i="23"/>
  <c r="G25" i="23" s="1"/>
  <c r="D8" i="23"/>
  <c r="C26" i="23"/>
  <c r="D26" i="23" s="1"/>
  <c r="G9" i="23"/>
  <c r="F27" i="23"/>
  <c r="G27" i="23" s="1"/>
  <c r="D10" i="23"/>
  <c r="AA124" i="11"/>
  <c r="V134" i="11"/>
  <c r="AI42" i="11"/>
  <c r="Y124" i="11"/>
  <c r="AF97" i="11"/>
  <c r="AG97" i="11"/>
  <c r="V124" i="11"/>
  <c r="AA134" i="11"/>
  <c r="AG42" i="11"/>
  <c r="AF42" i="11"/>
  <c r="AD97" i="11"/>
  <c r="X124" i="11"/>
  <c r="AI97" i="11"/>
  <c r="X134" i="11"/>
  <c r="Y134" i="11"/>
  <c r="E13" i="13"/>
  <c r="D13" i="13"/>
  <c r="J13" i="13"/>
  <c r="W122" i="11" s="1"/>
  <c r="K13" i="13"/>
  <c r="Z119" i="11" s="1"/>
  <c r="AF16" i="13"/>
  <c r="AI111" i="11"/>
  <c r="AJ196" i="11"/>
  <c r="AK196" i="11" s="1"/>
  <c r="AB127" i="11"/>
  <c r="AC127" i="11" s="1"/>
  <c r="AA125" i="11"/>
  <c r="AB122" i="11"/>
  <c r="AC122" i="11" s="1"/>
  <c r="AB145" i="11"/>
  <c r="AC145" i="11" s="1"/>
  <c r="AJ98" i="11"/>
  <c r="AK98" i="11" s="1"/>
  <c r="AB131" i="11"/>
  <c r="AC131" i="11" s="1"/>
  <c r="AB135" i="11"/>
  <c r="AC135" i="11" s="1"/>
  <c r="AB133" i="11"/>
  <c r="AC133" i="11" s="1"/>
  <c r="AJ56" i="11"/>
  <c r="AK56" i="11" s="1"/>
  <c r="AB129" i="11"/>
  <c r="AC129" i="11" s="1"/>
  <c r="AB119" i="11"/>
  <c r="AC119" i="11" s="1"/>
  <c r="AJ182" i="11"/>
  <c r="AK182" i="11" s="1"/>
  <c r="AD111" i="11"/>
  <c r="AB137" i="11"/>
  <c r="AC137" i="11" s="1"/>
  <c r="X141" i="11"/>
  <c r="AF155" i="11"/>
  <c r="AJ14" i="11"/>
  <c r="AK14" i="11" s="1"/>
  <c r="AB140" i="11"/>
  <c r="AC140" i="11" s="1"/>
  <c r="X125" i="11"/>
  <c r="AJ69" i="11"/>
  <c r="AK69" i="11" s="1"/>
  <c r="AB142" i="11"/>
  <c r="AC142" i="11" s="1"/>
  <c r="AB121" i="11"/>
  <c r="AC121" i="11" s="1"/>
  <c r="AG111" i="11"/>
  <c r="AJ27" i="11"/>
  <c r="AK27" i="11" s="1"/>
  <c r="AJ28" i="11"/>
  <c r="AK28" i="11" s="1"/>
  <c r="AJ211" i="11"/>
  <c r="AK211" i="11" s="1"/>
  <c r="Y141" i="11"/>
  <c r="AJ197" i="11"/>
  <c r="AK197" i="11" s="1"/>
  <c r="Y125" i="11"/>
  <c r="AB130" i="11"/>
  <c r="AC130" i="11" s="1"/>
  <c r="AJ168" i="11"/>
  <c r="AK168" i="11" s="1"/>
  <c r="V141" i="11"/>
  <c r="AB144" i="11"/>
  <c r="AC144" i="11" s="1"/>
  <c r="AI155" i="11"/>
  <c r="AD155" i="11"/>
  <c r="AB128" i="11"/>
  <c r="AC128" i="11" s="1"/>
  <c r="AB123" i="11"/>
  <c r="AC123" i="11" s="1"/>
  <c r="AB118" i="11"/>
  <c r="AC118" i="11" s="1"/>
  <c r="AJ154" i="11"/>
  <c r="AK154" i="11" s="1"/>
  <c r="AA141" i="11"/>
  <c r="AB132" i="11"/>
  <c r="AC132" i="11" s="1"/>
  <c r="AJ126" i="11"/>
  <c r="AK126" i="11" s="1"/>
  <c r="V125" i="11"/>
  <c r="AB120" i="11"/>
  <c r="AC120" i="11" s="1"/>
  <c r="AJ55" i="11"/>
  <c r="AK55" i="11" s="1"/>
  <c r="AJ83" i="11"/>
  <c r="AK83" i="11" s="1"/>
  <c r="AB138" i="11"/>
  <c r="AC138" i="11" s="1"/>
  <c r="AJ84" i="11"/>
  <c r="AK84" i="11" s="1"/>
  <c r="AJ183" i="11"/>
  <c r="AK183" i="11" s="1"/>
  <c r="D14" i="13"/>
  <c r="AJ13" i="11"/>
  <c r="AK13" i="11" s="1"/>
  <c r="AF111" i="11"/>
  <c r="AJ41" i="11"/>
  <c r="AK41" i="11" s="1"/>
  <c r="AJ210" i="11"/>
  <c r="AK210" i="11" s="1"/>
  <c r="AG155" i="11"/>
  <c r="AB143" i="11"/>
  <c r="AC143" i="11" s="1"/>
  <c r="AJ169" i="11"/>
  <c r="AK169" i="11" s="1"/>
  <c r="AE16" i="13"/>
  <c r="I40" i="13"/>
  <c r="I41" i="13"/>
  <c r="C14" i="13"/>
  <c r="E14" i="13"/>
  <c r="J14" i="13"/>
  <c r="AE28" i="11" s="1"/>
  <c r="K14" i="13"/>
  <c r="AB126" i="11" l="1"/>
  <c r="AC126" i="11" s="1"/>
  <c r="AL126" i="11" s="1"/>
  <c r="AJ140" i="11"/>
  <c r="AK140" i="11" s="1"/>
  <c r="AL140" i="11" s="1"/>
  <c r="AB136" i="11"/>
  <c r="AC136" i="11" s="1"/>
  <c r="AJ112" i="11"/>
  <c r="AK112" i="11" s="1"/>
  <c r="AB139" i="11"/>
  <c r="AC139" i="11" s="1"/>
  <c r="AJ70" i="11"/>
  <c r="AK70" i="11" s="1"/>
  <c r="G10" i="23"/>
  <c r="B4" i="23"/>
  <c r="G8" i="23"/>
  <c r="D11" i="23"/>
  <c r="F4" i="23"/>
  <c r="G11" i="23"/>
  <c r="Z131" i="11"/>
  <c r="AH55" i="11"/>
  <c r="AH111" i="11"/>
  <c r="Z125" i="11"/>
  <c r="AJ42" i="11"/>
  <c r="AK42" i="11" s="1"/>
  <c r="AB124" i="11"/>
  <c r="AC124" i="11" s="1"/>
  <c r="AJ97" i="11"/>
  <c r="AK97" i="11" s="1"/>
  <c r="AB134" i="11"/>
  <c r="AC134" i="11" s="1"/>
  <c r="AH42" i="11"/>
  <c r="Z129" i="11"/>
  <c r="Z122" i="11"/>
  <c r="Z127" i="11"/>
  <c r="AH13" i="11"/>
  <c r="AE210" i="11"/>
  <c r="W121" i="11"/>
  <c r="AE83" i="11"/>
  <c r="AE41" i="11"/>
  <c r="AE55" i="11"/>
  <c r="AE13" i="11"/>
  <c r="AE27" i="11"/>
  <c r="F13" i="13"/>
  <c r="AH27" i="11"/>
  <c r="Z130" i="11"/>
  <c r="AH140" i="11"/>
  <c r="AE154" i="11"/>
  <c r="AH41" i="11"/>
  <c r="AH196" i="11"/>
  <c r="W120" i="11"/>
  <c r="AE97" i="11"/>
  <c r="W123" i="11"/>
  <c r="AE168" i="11"/>
  <c r="W130" i="11"/>
  <c r="W128" i="11"/>
  <c r="Z120" i="11"/>
  <c r="W126" i="11"/>
  <c r="AH210" i="11"/>
  <c r="Z126" i="11"/>
  <c r="AH83" i="11"/>
  <c r="Z121" i="11"/>
  <c r="W131" i="11"/>
  <c r="AE196" i="11"/>
  <c r="Z128" i="11"/>
  <c r="W118" i="11"/>
  <c r="AE140" i="11"/>
  <c r="AH168" i="11"/>
  <c r="AE182" i="11"/>
  <c r="W124" i="11"/>
  <c r="AH154" i="11"/>
  <c r="AE69" i="11"/>
  <c r="AH182" i="11"/>
  <c r="W119" i="11"/>
  <c r="Z118" i="11"/>
  <c r="W127" i="11"/>
  <c r="Z123" i="11"/>
  <c r="W129" i="11"/>
  <c r="AH69" i="11"/>
  <c r="Z124" i="11"/>
  <c r="AH97" i="11"/>
  <c r="AE183" i="11"/>
  <c r="AH183" i="11"/>
  <c r="Z140" i="11"/>
  <c r="Z136" i="11"/>
  <c r="W140" i="11"/>
  <c r="Z142" i="11"/>
  <c r="AE98" i="11"/>
  <c r="AH155" i="11"/>
  <c r="AE84" i="11"/>
  <c r="AE126" i="11"/>
  <c r="W144" i="11"/>
  <c r="AE70" i="11"/>
  <c r="W133" i="11"/>
  <c r="AH84" i="11"/>
  <c r="Z133" i="11"/>
  <c r="AH197" i="11"/>
  <c r="W141" i="11"/>
  <c r="AB141" i="11"/>
  <c r="AC141" i="11" s="1"/>
  <c r="W142" i="11"/>
  <c r="AE14" i="11"/>
  <c r="W145" i="11"/>
  <c r="W138" i="11"/>
  <c r="AH211" i="11"/>
  <c r="AH98" i="11"/>
  <c r="W135" i="11"/>
  <c r="AH28" i="11"/>
  <c r="W132" i="11"/>
  <c r="Z138" i="11"/>
  <c r="AE197" i="11"/>
  <c r="Z144" i="11"/>
  <c r="W134" i="11"/>
  <c r="Z141" i="11"/>
  <c r="Z134" i="11"/>
  <c r="Z139" i="11"/>
  <c r="AE169" i="11"/>
  <c r="AH112" i="11"/>
  <c r="W139" i="11"/>
  <c r="AE112" i="11"/>
  <c r="AH126" i="11"/>
  <c r="W136" i="11"/>
  <c r="AE211" i="11"/>
  <c r="AE42" i="11"/>
  <c r="AH14" i="11"/>
  <c r="W137" i="11"/>
  <c r="W143" i="11"/>
  <c r="Z143" i="11"/>
  <c r="AE56" i="11"/>
  <c r="Z137" i="11"/>
  <c r="Z145" i="11"/>
  <c r="AE155" i="11"/>
  <c r="AJ155" i="11"/>
  <c r="AK155" i="11" s="1"/>
  <c r="AH169" i="11"/>
  <c r="AH70" i="11"/>
  <c r="Z135" i="11"/>
  <c r="AB125" i="11"/>
  <c r="AC125" i="11" s="1"/>
  <c r="W125" i="11"/>
  <c r="Z132" i="11"/>
  <c r="AH56" i="11"/>
  <c r="AE111" i="11"/>
  <c r="AJ111" i="11"/>
  <c r="AK111" i="11" s="1"/>
  <c r="F14" i="13"/>
  <c r="D16" i="21" l="1"/>
  <c r="D5" i="21"/>
  <c r="D6" i="21"/>
  <c r="D7" i="21"/>
  <c r="D8" i="21"/>
  <c r="D9" i="21"/>
  <c r="D10" i="21"/>
  <c r="D11" i="21"/>
  <c r="D12" i="21"/>
  <c r="D13" i="21"/>
  <c r="D14" i="21"/>
  <c r="D15" i="21"/>
  <c r="D4" i="21"/>
  <c r="H4" i="21"/>
  <c r="D2" i="21"/>
  <c r="L8" i="13"/>
  <c r="L316" i="9"/>
  <c r="J316" i="9"/>
  <c r="P316" i="9" s="1"/>
  <c r="J325" i="9"/>
  <c r="L325" i="9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2" i="14"/>
  <c r="L1666" i="9"/>
  <c r="M1666" i="9" s="1"/>
  <c r="L1667" i="9"/>
  <c r="M1667" i="9" s="1"/>
  <c r="L1668" i="9"/>
  <c r="M1668" i="9" s="1"/>
  <c r="L1669" i="9"/>
  <c r="M1669" i="9" s="1"/>
  <c r="L1670" i="9"/>
  <c r="M1670" i="9" s="1"/>
  <c r="L1671" i="9"/>
  <c r="M1671" i="9" s="1"/>
  <c r="L1672" i="9"/>
  <c r="M1672" i="9" s="1"/>
  <c r="L1673" i="9"/>
  <c r="M1673" i="9" s="1"/>
  <c r="L1674" i="9"/>
  <c r="M1674" i="9" s="1"/>
  <c r="L1675" i="9"/>
  <c r="M1675" i="9" s="1"/>
  <c r="L1676" i="9"/>
  <c r="M1676" i="9" s="1"/>
  <c r="L1677" i="9"/>
  <c r="M1677" i="9" s="1"/>
  <c r="L1678" i="9"/>
  <c r="M1678" i="9" s="1"/>
  <c r="L1679" i="9"/>
  <c r="M1679" i="9" s="1"/>
  <c r="L1680" i="9"/>
  <c r="M1680" i="9" s="1"/>
  <c r="L1681" i="9"/>
  <c r="M1681" i="9" s="1"/>
  <c r="L1682" i="9"/>
  <c r="M1682" i="9" s="1"/>
  <c r="L1683" i="9"/>
  <c r="M1683" i="9" s="1"/>
  <c r="L1684" i="9"/>
  <c r="M1684" i="9" s="1"/>
  <c r="L1685" i="9"/>
  <c r="M1685" i="9" s="1"/>
  <c r="L1686" i="9"/>
  <c r="M1686" i="9" s="1"/>
  <c r="L1687" i="9"/>
  <c r="M1687" i="9" s="1"/>
  <c r="L1688" i="9"/>
  <c r="M1688" i="9" s="1"/>
  <c r="L1689" i="9"/>
  <c r="M1689" i="9" s="1"/>
  <c r="L1690" i="9"/>
  <c r="M1690" i="9" s="1"/>
  <c r="L1691" i="9"/>
  <c r="M1691" i="9" s="1"/>
  <c r="L1692" i="9"/>
  <c r="M1692" i="9" s="1"/>
  <c r="L1693" i="9"/>
  <c r="M1693" i="9" s="1"/>
  <c r="L1694" i="9"/>
  <c r="M1694" i="9" s="1"/>
  <c r="L1695" i="9"/>
  <c r="M1695" i="9" s="1"/>
  <c r="L1696" i="9"/>
  <c r="M1696" i="9" s="1"/>
  <c r="L1697" i="9"/>
  <c r="M1697" i="9" s="1"/>
  <c r="L1698" i="9"/>
  <c r="M1698" i="9" s="1"/>
  <c r="L1699" i="9"/>
  <c r="M1699" i="9" s="1"/>
  <c r="L1700" i="9"/>
  <c r="M1700" i="9" s="1"/>
  <c r="L1701" i="9"/>
  <c r="M1701" i="9" s="1"/>
  <c r="J1666" i="9"/>
  <c r="P1666" i="9" s="1"/>
  <c r="J1667" i="9"/>
  <c r="J1668" i="9"/>
  <c r="J1669" i="9"/>
  <c r="P1669" i="9" s="1"/>
  <c r="J1670" i="9"/>
  <c r="P1670" i="9" s="1"/>
  <c r="J1671" i="9"/>
  <c r="J1672" i="9"/>
  <c r="J1673" i="9"/>
  <c r="P1673" i="9" s="1"/>
  <c r="J1674" i="9"/>
  <c r="J1675" i="9"/>
  <c r="J1676" i="9"/>
  <c r="J1677" i="9"/>
  <c r="J1678" i="9"/>
  <c r="P1678" i="9" s="1"/>
  <c r="J1679" i="9"/>
  <c r="J1680" i="9"/>
  <c r="J1681" i="9"/>
  <c r="P1681" i="9" s="1"/>
  <c r="J1682" i="9"/>
  <c r="P1682" i="9" s="1"/>
  <c r="J1683" i="9"/>
  <c r="J1684" i="9"/>
  <c r="J1685" i="9"/>
  <c r="P1685" i="9" s="1"/>
  <c r="J1686" i="9"/>
  <c r="J1687" i="9"/>
  <c r="J1688" i="9"/>
  <c r="J1689" i="9"/>
  <c r="J1690" i="9"/>
  <c r="P1690" i="9" s="1"/>
  <c r="J1691" i="9"/>
  <c r="J1692" i="9"/>
  <c r="J1693" i="9"/>
  <c r="P1693" i="9" s="1"/>
  <c r="J1694" i="9"/>
  <c r="P1694" i="9" s="1"/>
  <c r="J1695" i="9"/>
  <c r="J1696" i="9"/>
  <c r="J1697" i="9"/>
  <c r="P1697" i="9" s="1"/>
  <c r="J1698" i="9"/>
  <c r="J1699" i="9"/>
  <c r="J1700" i="9"/>
  <c r="J1701" i="9"/>
  <c r="J1654" i="9"/>
  <c r="P1654" i="9" s="1"/>
  <c r="J2" i="9"/>
  <c r="J3" i="9"/>
  <c r="J4" i="9"/>
  <c r="J5" i="9"/>
  <c r="P5" i="9" s="1"/>
  <c r="J6" i="9"/>
  <c r="J7" i="9"/>
  <c r="P7" i="9" s="1"/>
  <c r="J8" i="9"/>
  <c r="J9" i="9"/>
  <c r="J10" i="9"/>
  <c r="J11" i="9"/>
  <c r="J12" i="9"/>
  <c r="J13" i="9"/>
  <c r="J14" i="9"/>
  <c r="J15" i="9"/>
  <c r="J16" i="9"/>
  <c r="J17" i="9"/>
  <c r="J18" i="9"/>
  <c r="J19" i="9"/>
  <c r="P19" i="9" s="1"/>
  <c r="J20" i="9"/>
  <c r="J21" i="9"/>
  <c r="J22" i="9"/>
  <c r="J23" i="9"/>
  <c r="J24" i="9"/>
  <c r="J25" i="9"/>
  <c r="J26" i="9"/>
  <c r="J27" i="9"/>
  <c r="J28" i="9"/>
  <c r="J29" i="9"/>
  <c r="J30" i="9"/>
  <c r="J31" i="9"/>
  <c r="P31" i="9" s="1"/>
  <c r="J32" i="9"/>
  <c r="J33" i="9"/>
  <c r="J34" i="9"/>
  <c r="J35" i="9"/>
  <c r="J36" i="9"/>
  <c r="J37" i="9"/>
  <c r="J38" i="9"/>
  <c r="J39" i="9"/>
  <c r="J40" i="9"/>
  <c r="J41" i="9"/>
  <c r="J42" i="9"/>
  <c r="J43" i="9"/>
  <c r="P43" i="9" s="1"/>
  <c r="J44" i="9"/>
  <c r="J45" i="9"/>
  <c r="J46" i="9"/>
  <c r="J47" i="9"/>
  <c r="J48" i="9"/>
  <c r="J49" i="9"/>
  <c r="J50" i="9"/>
  <c r="J51" i="9"/>
  <c r="J52" i="9"/>
  <c r="J53" i="9"/>
  <c r="J54" i="9"/>
  <c r="J55" i="9"/>
  <c r="P55" i="9" s="1"/>
  <c r="J56" i="9"/>
  <c r="J57" i="9"/>
  <c r="J58" i="9"/>
  <c r="J59" i="9"/>
  <c r="J60" i="9"/>
  <c r="J61" i="9"/>
  <c r="J62" i="9"/>
  <c r="J63" i="9"/>
  <c r="J64" i="9"/>
  <c r="J65" i="9"/>
  <c r="J66" i="9"/>
  <c r="J67" i="9"/>
  <c r="P67" i="9" s="1"/>
  <c r="J68" i="9"/>
  <c r="J69" i="9"/>
  <c r="J70" i="9"/>
  <c r="J71" i="9"/>
  <c r="J72" i="9"/>
  <c r="J73" i="9"/>
  <c r="J74" i="9"/>
  <c r="J75" i="9"/>
  <c r="J76" i="9"/>
  <c r="J77" i="9"/>
  <c r="J78" i="9"/>
  <c r="J79" i="9"/>
  <c r="P79" i="9" s="1"/>
  <c r="J80" i="9"/>
  <c r="J81" i="9"/>
  <c r="J82" i="9"/>
  <c r="J83" i="9"/>
  <c r="J84" i="9"/>
  <c r="J85" i="9"/>
  <c r="J86" i="9"/>
  <c r="J87" i="9"/>
  <c r="J88" i="9"/>
  <c r="J89" i="9"/>
  <c r="J90" i="9"/>
  <c r="J91" i="9"/>
  <c r="P91" i="9" s="1"/>
  <c r="J92" i="9"/>
  <c r="J93" i="9"/>
  <c r="J94" i="9"/>
  <c r="J95" i="9"/>
  <c r="J96" i="9"/>
  <c r="J97" i="9"/>
  <c r="J98" i="9"/>
  <c r="J99" i="9"/>
  <c r="J100" i="9"/>
  <c r="J101" i="9"/>
  <c r="J102" i="9"/>
  <c r="J103" i="9"/>
  <c r="P103" i="9" s="1"/>
  <c r="J104" i="9"/>
  <c r="J105" i="9"/>
  <c r="J106" i="9"/>
  <c r="J107" i="9"/>
  <c r="J108" i="9"/>
  <c r="J109" i="9"/>
  <c r="J110" i="9"/>
  <c r="J111" i="9"/>
  <c r="J112" i="9"/>
  <c r="J113" i="9"/>
  <c r="J114" i="9"/>
  <c r="J115" i="9"/>
  <c r="P115" i="9" s="1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P151" i="9" s="1"/>
  <c r="J152" i="9"/>
  <c r="J153" i="9"/>
  <c r="J154" i="9"/>
  <c r="J155" i="9"/>
  <c r="J156" i="9"/>
  <c r="J157" i="9"/>
  <c r="J158" i="9"/>
  <c r="J159" i="9"/>
  <c r="J160" i="9"/>
  <c r="J161" i="9"/>
  <c r="J162" i="9"/>
  <c r="J163" i="9"/>
  <c r="P163" i="9" s="1"/>
  <c r="J164" i="9"/>
  <c r="J165" i="9"/>
  <c r="J166" i="9"/>
  <c r="J167" i="9"/>
  <c r="J168" i="9"/>
  <c r="J169" i="9"/>
  <c r="J170" i="9"/>
  <c r="J171" i="9"/>
  <c r="J172" i="9"/>
  <c r="J173" i="9"/>
  <c r="J174" i="9"/>
  <c r="J175" i="9"/>
  <c r="P175" i="9" s="1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P199" i="9" s="1"/>
  <c r="J200" i="9"/>
  <c r="J201" i="9"/>
  <c r="J202" i="9"/>
  <c r="J203" i="9"/>
  <c r="J204" i="9"/>
  <c r="J205" i="9"/>
  <c r="J206" i="9"/>
  <c r="J207" i="9"/>
  <c r="J208" i="9"/>
  <c r="J209" i="9"/>
  <c r="J210" i="9"/>
  <c r="J211" i="9"/>
  <c r="P211" i="9" s="1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P235" i="9" s="1"/>
  <c r="J236" i="9"/>
  <c r="P236" i="9" s="1"/>
  <c r="J237" i="9"/>
  <c r="J238" i="9"/>
  <c r="J239" i="9"/>
  <c r="J240" i="9"/>
  <c r="J241" i="9"/>
  <c r="J242" i="9"/>
  <c r="J243" i="9"/>
  <c r="J244" i="9"/>
  <c r="J245" i="9"/>
  <c r="J246" i="9"/>
  <c r="J247" i="9"/>
  <c r="P247" i="9" s="1"/>
  <c r="J248" i="9"/>
  <c r="J249" i="9"/>
  <c r="J250" i="9"/>
  <c r="J251" i="9"/>
  <c r="J252" i="9"/>
  <c r="J253" i="9"/>
  <c r="J254" i="9"/>
  <c r="J255" i="9"/>
  <c r="J256" i="9"/>
  <c r="J257" i="9"/>
  <c r="J258" i="9"/>
  <c r="J259" i="9"/>
  <c r="P259" i="9" s="1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P283" i="9" s="1"/>
  <c r="J284" i="9"/>
  <c r="J285" i="9"/>
  <c r="J286" i="9"/>
  <c r="J287" i="9"/>
  <c r="J288" i="9"/>
  <c r="J289" i="9"/>
  <c r="J290" i="9"/>
  <c r="J291" i="9"/>
  <c r="J292" i="9"/>
  <c r="J293" i="9"/>
  <c r="J294" i="9"/>
  <c r="J295" i="9"/>
  <c r="P295" i="9" s="1"/>
  <c r="J296" i="9"/>
  <c r="J297" i="9"/>
  <c r="J298" i="9"/>
  <c r="J299" i="9"/>
  <c r="J300" i="9"/>
  <c r="J301" i="9"/>
  <c r="J302" i="9"/>
  <c r="J303" i="9"/>
  <c r="J304" i="9"/>
  <c r="J305" i="9"/>
  <c r="J306" i="9"/>
  <c r="J307" i="9"/>
  <c r="P307" i="9" s="1"/>
  <c r="J308" i="9"/>
  <c r="J309" i="9"/>
  <c r="J310" i="9"/>
  <c r="J311" i="9"/>
  <c r="J312" i="9"/>
  <c r="J313" i="9"/>
  <c r="J314" i="9"/>
  <c r="J315" i="9"/>
  <c r="J317" i="9"/>
  <c r="J318" i="9"/>
  <c r="J319" i="9"/>
  <c r="J320" i="9"/>
  <c r="P320" i="9" s="1"/>
  <c r="J321" i="9"/>
  <c r="J322" i="9"/>
  <c r="J323" i="9"/>
  <c r="J324" i="9"/>
  <c r="J326" i="9"/>
  <c r="J327" i="9"/>
  <c r="J328" i="9"/>
  <c r="J329" i="9"/>
  <c r="J330" i="9"/>
  <c r="J331" i="9"/>
  <c r="J332" i="9"/>
  <c r="J333" i="9"/>
  <c r="P333" i="9" s="1"/>
  <c r="J334" i="9"/>
  <c r="J335" i="9"/>
  <c r="J336" i="9"/>
  <c r="J337" i="9"/>
  <c r="J338" i="9"/>
  <c r="J339" i="9"/>
  <c r="J340" i="9"/>
  <c r="J341" i="9"/>
  <c r="J342" i="9"/>
  <c r="J343" i="9"/>
  <c r="J344" i="9"/>
  <c r="J345" i="9"/>
  <c r="P345" i="9" s="1"/>
  <c r="J346" i="9"/>
  <c r="J347" i="9"/>
  <c r="J348" i="9"/>
  <c r="J349" i="9"/>
  <c r="J350" i="9"/>
  <c r="J351" i="9"/>
  <c r="J352" i="9"/>
  <c r="J353" i="9"/>
  <c r="J354" i="9"/>
  <c r="J355" i="9"/>
  <c r="J356" i="9"/>
  <c r="J357" i="9"/>
  <c r="P357" i="9" s="1"/>
  <c r="J358" i="9"/>
  <c r="J359" i="9"/>
  <c r="J360" i="9"/>
  <c r="J361" i="9"/>
  <c r="J362" i="9"/>
  <c r="J363" i="9"/>
  <c r="J364" i="9"/>
  <c r="J365" i="9"/>
  <c r="J366" i="9"/>
  <c r="J367" i="9"/>
  <c r="J368" i="9"/>
  <c r="J369" i="9"/>
  <c r="P369" i="9" s="1"/>
  <c r="J370" i="9"/>
  <c r="J371" i="9"/>
  <c r="J372" i="9"/>
  <c r="J373" i="9"/>
  <c r="J374" i="9"/>
  <c r="J375" i="9"/>
  <c r="J376" i="9"/>
  <c r="J377" i="9"/>
  <c r="J378" i="9"/>
  <c r="J379" i="9"/>
  <c r="J380" i="9"/>
  <c r="J381" i="9"/>
  <c r="P381" i="9" s="1"/>
  <c r="J382" i="9"/>
  <c r="J383" i="9"/>
  <c r="J384" i="9"/>
  <c r="J385" i="9"/>
  <c r="J386" i="9"/>
  <c r="J387" i="9"/>
  <c r="J388" i="9"/>
  <c r="J389" i="9"/>
  <c r="J390" i="9"/>
  <c r="J391" i="9"/>
  <c r="J392" i="9"/>
  <c r="J393" i="9"/>
  <c r="P393" i="9" s="1"/>
  <c r="J394" i="9"/>
  <c r="J395" i="9"/>
  <c r="J396" i="9"/>
  <c r="J397" i="9"/>
  <c r="J398" i="9"/>
  <c r="J399" i="9"/>
  <c r="J400" i="9"/>
  <c r="J401" i="9"/>
  <c r="J402" i="9"/>
  <c r="J403" i="9"/>
  <c r="J404" i="9"/>
  <c r="J405" i="9"/>
  <c r="P405" i="9" s="1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P441" i="9" s="1"/>
  <c r="J442" i="9"/>
  <c r="J443" i="9"/>
  <c r="J444" i="9"/>
  <c r="J445" i="9"/>
  <c r="J446" i="9"/>
  <c r="J447" i="9"/>
  <c r="J448" i="9"/>
  <c r="J449" i="9"/>
  <c r="J450" i="9"/>
  <c r="J451" i="9"/>
  <c r="J452" i="9"/>
  <c r="J453" i="9"/>
  <c r="P453" i="9" s="1"/>
  <c r="J454" i="9"/>
  <c r="J455" i="9"/>
  <c r="J456" i="9"/>
  <c r="J457" i="9"/>
  <c r="J458" i="9"/>
  <c r="J459" i="9"/>
  <c r="J460" i="9"/>
  <c r="J461" i="9"/>
  <c r="J462" i="9"/>
  <c r="J463" i="9"/>
  <c r="J464" i="9"/>
  <c r="J465" i="9"/>
  <c r="P465" i="9" s="1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P489" i="9" s="1"/>
  <c r="J490" i="9"/>
  <c r="J491" i="9"/>
  <c r="J492" i="9"/>
  <c r="J493" i="9"/>
  <c r="J494" i="9"/>
  <c r="J495" i="9"/>
  <c r="J496" i="9"/>
  <c r="J497" i="9"/>
  <c r="J498" i="9"/>
  <c r="J499" i="9"/>
  <c r="J500" i="9"/>
  <c r="J501" i="9"/>
  <c r="P501" i="9" s="1"/>
  <c r="J502" i="9"/>
  <c r="J503" i="9"/>
  <c r="J504" i="9"/>
  <c r="J505" i="9"/>
  <c r="J506" i="9"/>
  <c r="J507" i="9"/>
  <c r="J508" i="9"/>
  <c r="J509" i="9"/>
  <c r="J510" i="9"/>
  <c r="J511" i="9"/>
  <c r="J512" i="9"/>
  <c r="J513" i="9"/>
  <c r="P513" i="9" s="1"/>
  <c r="J514" i="9"/>
  <c r="J515" i="9"/>
  <c r="J516" i="9"/>
  <c r="J517" i="9"/>
  <c r="J518" i="9"/>
  <c r="J519" i="9"/>
  <c r="J520" i="9"/>
  <c r="J521" i="9"/>
  <c r="J522" i="9"/>
  <c r="J523" i="9"/>
  <c r="J524" i="9"/>
  <c r="J525" i="9"/>
  <c r="P525" i="9" s="1"/>
  <c r="J526" i="9"/>
  <c r="J527" i="9"/>
  <c r="J528" i="9"/>
  <c r="J529" i="9"/>
  <c r="J530" i="9"/>
  <c r="J531" i="9"/>
  <c r="J532" i="9"/>
  <c r="J533" i="9"/>
  <c r="J534" i="9"/>
  <c r="J535" i="9"/>
  <c r="J536" i="9"/>
  <c r="J537" i="9"/>
  <c r="P537" i="9" s="1"/>
  <c r="J538" i="9"/>
  <c r="J539" i="9"/>
  <c r="J540" i="9"/>
  <c r="J541" i="9"/>
  <c r="J542" i="9"/>
  <c r="J543" i="9"/>
  <c r="J544" i="9"/>
  <c r="J545" i="9"/>
  <c r="J546" i="9"/>
  <c r="J547" i="9"/>
  <c r="J548" i="9"/>
  <c r="J549" i="9"/>
  <c r="P549" i="9" s="1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P585" i="9" s="1"/>
  <c r="J586" i="9"/>
  <c r="J587" i="9"/>
  <c r="J588" i="9"/>
  <c r="J589" i="9"/>
  <c r="J590" i="9"/>
  <c r="J591" i="9"/>
  <c r="J592" i="9"/>
  <c r="J593" i="9"/>
  <c r="J594" i="9"/>
  <c r="J595" i="9"/>
  <c r="J596" i="9"/>
  <c r="J597" i="9"/>
  <c r="P597" i="9" s="1"/>
  <c r="J598" i="9"/>
  <c r="J599" i="9"/>
  <c r="J600" i="9"/>
  <c r="J601" i="9"/>
  <c r="J602" i="9"/>
  <c r="P602" i="9" s="1"/>
  <c r="J603" i="9"/>
  <c r="J604" i="9"/>
  <c r="J605" i="9"/>
  <c r="J606" i="9"/>
  <c r="J607" i="9"/>
  <c r="J608" i="9"/>
  <c r="J609" i="9"/>
  <c r="P609" i="9" s="1"/>
  <c r="J610" i="9"/>
  <c r="J611" i="9"/>
  <c r="J612" i="9"/>
  <c r="J613" i="9"/>
  <c r="J614" i="9"/>
  <c r="J615" i="9"/>
  <c r="J616" i="9"/>
  <c r="J617" i="9"/>
  <c r="J618" i="9"/>
  <c r="J619" i="9"/>
  <c r="J620" i="9"/>
  <c r="J621" i="9"/>
  <c r="P621" i="9" s="1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P645" i="9" s="1"/>
  <c r="J646" i="9"/>
  <c r="J647" i="9"/>
  <c r="J648" i="9"/>
  <c r="J649" i="9"/>
  <c r="J650" i="9"/>
  <c r="J651" i="9"/>
  <c r="J652" i="9"/>
  <c r="J653" i="9"/>
  <c r="J654" i="9"/>
  <c r="J655" i="9"/>
  <c r="J656" i="9"/>
  <c r="J657" i="9"/>
  <c r="P657" i="9" s="1"/>
  <c r="J658" i="9"/>
  <c r="J659" i="9"/>
  <c r="J660" i="9"/>
  <c r="J661" i="9"/>
  <c r="J662" i="9"/>
  <c r="J663" i="9"/>
  <c r="J664" i="9"/>
  <c r="J665" i="9"/>
  <c r="J666" i="9"/>
  <c r="J667" i="9"/>
  <c r="J668" i="9"/>
  <c r="J669" i="9"/>
  <c r="P669" i="9" s="1"/>
  <c r="J670" i="9"/>
  <c r="J671" i="9"/>
  <c r="J672" i="9"/>
  <c r="J673" i="9"/>
  <c r="J674" i="9"/>
  <c r="J675" i="9"/>
  <c r="J676" i="9"/>
  <c r="J677" i="9"/>
  <c r="J678" i="9"/>
  <c r="J679" i="9"/>
  <c r="J680" i="9"/>
  <c r="J681" i="9"/>
  <c r="P681" i="9" s="1"/>
  <c r="J682" i="9"/>
  <c r="J683" i="9"/>
  <c r="J684" i="9"/>
  <c r="J685" i="9"/>
  <c r="J686" i="9"/>
  <c r="J687" i="9"/>
  <c r="J688" i="9"/>
  <c r="J689" i="9"/>
  <c r="J690" i="9"/>
  <c r="J691" i="9"/>
  <c r="J692" i="9"/>
  <c r="J693" i="9"/>
  <c r="P693" i="9" s="1"/>
  <c r="J694" i="9"/>
  <c r="J695" i="9"/>
  <c r="J696" i="9"/>
  <c r="J697" i="9"/>
  <c r="J698" i="9"/>
  <c r="J699" i="9"/>
  <c r="J700" i="9"/>
  <c r="J701" i="9"/>
  <c r="J702" i="9"/>
  <c r="J703" i="9"/>
  <c r="J704" i="9"/>
  <c r="J705" i="9"/>
  <c r="P705" i="9" s="1"/>
  <c r="J706" i="9"/>
  <c r="J707" i="9"/>
  <c r="J708" i="9"/>
  <c r="J709" i="9"/>
  <c r="J710" i="9"/>
  <c r="J711" i="9"/>
  <c r="J712" i="9"/>
  <c r="J713" i="9"/>
  <c r="J714" i="9"/>
  <c r="J715" i="9"/>
  <c r="J716" i="9"/>
  <c r="J717" i="9"/>
  <c r="P717" i="9" s="1"/>
  <c r="J718" i="9"/>
  <c r="J719" i="9"/>
  <c r="J720" i="9"/>
  <c r="J721" i="9"/>
  <c r="J722" i="9"/>
  <c r="J723" i="9"/>
  <c r="J724" i="9"/>
  <c r="J725" i="9"/>
  <c r="J726" i="9"/>
  <c r="J727" i="9"/>
  <c r="J728" i="9"/>
  <c r="J729" i="9"/>
  <c r="P729" i="9" s="1"/>
  <c r="J730" i="9"/>
  <c r="J731" i="9"/>
  <c r="J732" i="9"/>
  <c r="J733" i="9"/>
  <c r="J734" i="9"/>
  <c r="J735" i="9"/>
  <c r="J736" i="9"/>
  <c r="J737" i="9"/>
  <c r="J738" i="9"/>
  <c r="J739" i="9"/>
  <c r="J740" i="9"/>
  <c r="J741" i="9"/>
  <c r="P741" i="9" s="1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P777" i="9" s="1"/>
  <c r="J778" i="9"/>
  <c r="J779" i="9"/>
  <c r="J780" i="9"/>
  <c r="J781" i="9"/>
  <c r="J782" i="9"/>
  <c r="J783" i="9"/>
  <c r="J784" i="9"/>
  <c r="J785" i="9"/>
  <c r="J786" i="9"/>
  <c r="J787" i="9"/>
  <c r="J788" i="9"/>
  <c r="J789" i="9"/>
  <c r="P789" i="9" s="1"/>
  <c r="J790" i="9"/>
  <c r="J791" i="9"/>
  <c r="J792" i="9"/>
  <c r="J793" i="9"/>
  <c r="J794" i="9"/>
  <c r="J795" i="9"/>
  <c r="J796" i="9"/>
  <c r="J797" i="9"/>
  <c r="J798" i="9"/>
  <c r="J799" i="9"/>
  <c r="J800" i="9"/>
  <c r="J801" i="9"/>
  <c r="P801" i="9" s="1"/>
  <c r="J802" i="9"/>
  <c r="J803" i="9"/>
  <c r="J804" i="9"/>
  <c r="J805" i="9"/>
  <c r="J806" i="9"/>
  <c r="J807" i="9"/>
  <c r="J808" i="9"/>
  <c r="J809" i="9"/>
  <c r="J810" i="9"/>
  <c r="J811" i="9"/>
  <c r="J812" i="9"/>
  <c r="J813" i="9"/>
  <c r="P813" i="9" s="1"/>
  <c r="J814" i="9"/>
  <c r="J815" i="9"/>
  <c r="J816" i="9"/>
  <c r="J817" i="9"/>
  <c r="J818" i="9"/>
  <c r="J819" i="9"/>
  <c r="J820" i="9"/>
  <c r="J821" i="9"/>
  <c r="J822" i="9"/>
  <c r="J823" i="9"/>
  <c r="J824" i="9"/>
  <c r="J825" i="9"/>
  <c r="P825" i="9" s="1"/>
  <c r="J826" i="9"/>
  <c r="J827" i="9"/>
  <c r="J828" i="9"/>
  <c r="J829" i="9"/>
  <c r="J830" i="9"/>
  <c r="J831" i="9"/>
  <c r="J832" i="9"/>
  <c r="J833" i="9"/>
  <c r="J834" i="9"/>
  <c r="J835" i="9"/>
  <c r="J836" i="9"/>
  <c r="J837" i="9"/>
  <c r="P837" i="9" s="1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P861" i="9" s="1"/>
  <c r="J862" i="9"/>
  <c r="J863" i="9"/>
  <c r="J864" i="9"/>
  <c r="J865" i="9"/>
  <c r="J866" i="9"/>
  <c r="J867" i="9"/>
  <c r="J868" i="9"/>
  <c r="J869" i="9"/>
  <c r="J870" i="9"/>
  <c r="J871" i="9"/>
  <c r="J872" i="9"/>
  <c r="J873" i="9"/>
  <c r="P873" i="9" s="1"/>
  <c r="J874" i="9"/>
  <c r="J875" i="9"/>
  <c r="J876" i="9"/>
  <c r="J877" i="9"/>
  <c r="J878" i="9"/>
  <c r="J879" i="9"/>
  <c r="J880" i="9"/>
  <c r="J881" i="9"/>
  <c r="J882" i="9"/>
  <c r="J883" i="9"/>
  <c r="J884" i="9"/>
  <c r="J885" i="9"/>
  <c r="P885" i="9" s="1"/>
  <c r="J886" i="9"/>
  <c r="J887" i="9"/>
  <c r="J888" i="9"/>
  <c r="J889" i="9"/>
  <c r="J890" i="9"/>
  <c r="J891" i="9"/>
  <c r="J892" i="9"/>
  <c r="J893" i="9"/>
  <c r="J894" i="9"/>
  <c r="J895" i="9"/>
  <c r="J896" i="9"/>
  <c r="J897" i="9"/>
  <c r="P897" i="9" s="1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P921" i="9" s="1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P945" i="9" s="1"/>
  <c r="J946" i="9"/>
  <c r="J947" i="9"/>
  <c r="J948" i="9"/>
  <c r="J949" i="9"/>
  <c r="J950" i="9"/>
  <c r="J951" i="9"/>
  <c r="J952" i="9"/>
  <c r="J953" i="9"/>
  <c r="J954" i="9"/>
  <c r="J955" i="9"/>
  <c r="J956" i="9"/>
  <c r="J957" i="9"/>
  <c r="P957" i="9" s="1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P993" i="9" s="1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P1005" i="9" s="1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P1029" i="9" s="1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P1053" i="9" s="1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P1065" i="9" s="1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P1077" i="9" s="1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P1089" i="9" s="1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P1101" i="9" s="1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P1113" i="9" s="1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P1125" i="9" s="1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P1156" i="9" s="1"/>
  <c r="J1157" i="9"/>
  <c r="P1157" i="9" s="1"/>
  <c r="J1158" i="9"/>
  <c r="J1159" i="9"/>
  <c r="J1160" i="9"/>
  <c r="J1161" i="9"/>
  <c r="P1161" i="9" s="1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P1185" i="9" s="1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P1197" i="9" s="1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P1209" i="9" s="1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P1221" i="9" s="1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P1245" i="9" s="1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P1257" i="9" s="1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P1269" i="9" s="1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P1281" i="9" s="1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P1305" i="9" s="1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P1329" i="9" s="1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P1341" i="9" s="1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P1353" i="9" s="1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P1365" i="9" s="1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P1413" i="9" s="1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P1449" i="9" s="1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P1497" i="9" s="1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P1509" i="9" s="1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P1533" i="9" s="1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P1557" i="9" s="1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P1569" i="9" s="1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P1615" i="9" s="1"/>
  <c r="J1616" i="9"/>
  <c r="P1616" i="9" s="1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P1649" i="9" s="1"/>
  <c r="J1650" i="9"/>
  <c r="J1651" i="9"/>
  <c r="P1651" i="9" s="1"/>
  <c r="J1652" i="9"/>
  <c r="J1653" i="9"/>
  <c r="J1655" i="9"/>
  <c r="J1656" i="9"/>
  <c r="J1657" i="9"/>
  <c r="J1658" i="9"/>
  <c r="J1659" i="9"/>
  <c r="J1660" i="9"/>
  <c r="J1661" i="9"/>
  <c r="J1662" i="9"/>
  <c r="J1663" i="9"/>
  <c r="J1664" i="9"/>
  <c r="J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L1665" i="9"/>
  <c r="M1665" i="9" s="1"/>
  <c r="L1664" i="9"/>
  <c r="M1664" i="9" s="1"/>
  <c r="L1663" i="9"/>
  <c r="M1663" i="9" s="1"/>
  <c r="L1662" i="9"/>
  <c r="M1662" i="9" s="1"/>
  <c r="L1661" i="9"/>
  <c r="M1661" i="9" s="1"/>
  <c r="L1660" i="9"/>
  <c r="M1660" i="9" s="1"/>
  <c r="L1659" i="9"/>
  <c r="M1659" i="9" s="1"/>
  <c r="L1658" i="9"/>
  <c r="M1658" i="9" s="1"/>
  <c r="L1657" i="9"/>
  <c r="M1657" i="9" s="1"/>
  <c r="L1656" i="9"/>
  <c r="M1656" i="9" s="1"/>
  <c r="L1655" i="9"/>
  <c r="M1655" i="9" s="1"/>
  <c r="L1654" i="9"/>
  <c r="M1654" i="9" s="1"/>
  <c r="L1653" i="9"/>
  <c r="M1653" i="9" s="1"/>
  <c r="L1652" i="9"/>
  <c r="M1652" i="9" s="1"/>
  <c r="L1651" i="9"/>
  <c r="M1651" i="9" s="1"/>
  <c r="L1650" i="9"/>
  <c r="M1650" i="9" s="1"/>
  <c r="L1649" i="9"/>
  <c r="M1649" i="9" s="1"/>
  <c r="L1648" i="9"/>
  <c r="M1648" i="9" s="1"/>
  <c r="L1647" i="9"/>
  <c r="M1647" i="9" s="1"/>
  <c r="L1646" i="9"/>
  <c r="M1646" i="9" s="1"/>
  <c r="L1645" i="9"/>
  <c r="M1645" i="9" s="1"/>
  <c r="L1644" i="9"/>
  <c r="M1644" i="9" s="1"/>
  <c r="L1643" i="9"/>
  <c r="M1643" i="9" s="1"/>
  <c r="L1642" i="9"/>
  <c r="M1642" i="9" s="1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L1605" i="9"/>
  <c r="M1605" i="9" s="1"/>
  <c r="L1606" i="9"/>
  <c r="M1606" i="9" s="1"/>
  <c r="L1607" i="9"/>
  <c r="M1607" i="9" s="1"/>
  <c r="L1608" i="9"/>
  <c r="M1608" i="9" s="1"/>
  <c r="L1609" i="9"/>
  <c r="M1609" i="9" s="1"/>
  <c r="L1610" i="9"/>
  <c r="M1610" i="9" s="1"/>
  <c r="L1611" i="9"/>
  <c r="M1611" i="9" s="1"/>
  <c r="L1612" i="9"/>
  <c r="M1612" i="9" s="1"/>
  <c r="L1613" i="9"/>
  <c r="M1613" i="9" s="1"/>
  <c r="L1614" i="9"/>
  <c r="M1614" i="9" s="1"/>
  <c r="L1615" i="9"/>
  <c r="M1615" i="9" s="1"/>
  <c r="L1616" i="9"/>
  <c r="M1616" i="9" s="1"/>
  <c r="L1617" i="9"/>
  <c r="M1617" i="9" s="1"/>
  <c r="L1618" i="9"/>
  <c r="M1618" i="9" s="1"/>
  <c r="L1619" i="9"/>
  <c r="M1619" i="9" s="1"/>
  <c r="L1620" i="9"/>
  <c r="M1620" i="9" s="1"/>
  <c r="N1719" i="9" s="1"/>
  <c r="L1621" i="9"/>
  <c r="M1621" i="9" s="1"/>
  <c r="L1622" i="9"/>
  <c r="M1622" i="9" s="1"/>
  <c r="L1623" i="9"/>
  <c r="M1623" i="9" s="1"/>
  <c r="L1624" i="9"/>
  <c r="M1624" i="9" s="1"/>
  <c r="L1625" i="9"/>
  <c r="M1625" i="9" s="1"/>
  <c r="L1626" i="9"/>
  <c r="M1626" i="9" s="1"/>
  <c r="L1627" i="9"/>
  <c r="M1627" i="9" s="1"/>
  <c r="L1628" i="9"/>
  <c r="M1628" i="9" s="1"/>
  <c r="L1629" i="9"/>
  <c r="M1629" i="9" s="1"/>
  <c r="L1630" i="9"/>
  <c r="M1630" i="9" s="1"/>
  <c r="L1631" i="9"/>
  <c r="M1631" i="9" s="1"/>
  <c r="L1632" i="9"/>
  <c r="M1632" i="9" s="1"/>
  <c r="L1633" i="9"/>
  <c r="M1633" i="9" s="1"/>
  <c r="L1634" i="9"/>
  <c r="M1634" i="9" s="1"/>
  <c r="L1635" i="9"/>
  <c r="M1635" i="9" s="1"/>
  <c r="L1636" i="9"/>
  <c r="M1636" i="9" s="1"/>
  <c r="L1637" i="9"/>
  <c r="M1637" i="9" s="1"/>
  <c r="L1638" i="9"/>
  <c r="M1638" i="9" s="1"/>
  <c r="L1639" i="9"/>
  <c r="M1639" i="9" s="1"/>
  <c r="L1640" i="9"/>
  <c r="M1640" i="9" s="1"/>
  <c r="L1641" i="9"/>
  <c r="M1641" i="9" s="1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4" i="9"/>
  <c r="E19" i="9"/>
  <c r="E23" i="9"/>
  <c r="E40" i="9"/>
  <c r="E2" i="9"/>
  <c r="E3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20" i="9"/>
  <c r="E21" i="9"/>
  <c r="E22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K236" i="9"/>
  <c r="H19" i="13"/>
  <c r="I19" i="13" s="1"/>
  <c r="H17" i="13"/>
  <c r="I17" i="13" s="1"/>
  <c r="H10" i="13"/>
  <c r="I10" i="13" s="1"/>
  <c r="H6" i="13"/>
  <c r="I6" i="13" s="1"/>
  <c r="H7" i="13"/>
  <c r="I7" i="13" s="1"/>
  <c r="H8" i="13"/>
  <c r="I8" i="13" s="1"/>
  <c r="H9" i="13"/>
  <c r="I9" i="13" s="1"/>
  <c r="H11" i="13"/>
  <c r="I11" i="13" s="1"/>
  <c r="H12" i="13"/>
  <c r="I12" i="13" s="1"/>
  <c r="H15" i="13"/>
  <c r="I15" i="13" s="1"/>
  <c r="H16" i="13"/>
  <c r="I16" i="13" s="1"/>
  <c r="H18" i="13"/>
  <c r="I18" i="13" s="1"/>
  <c r="H5" i="13"/>
  <c r="I5" i="13" s="1"/>
  <c r="C35" i="10"/>
  <c r="C43" i="10"/>
  <c r="C74" i="10"/>
  <c r="C79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6" i="10"/>
  <c r="C37" i="10"/>
  <c r="C38" i="10"/>
  <c r="C39" i="10"/>
  <c r="C40" i="10"/>
  <c r="C41" i="10"/>
  <c r="C42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5" i="10"/>
  <c r="C76" i="10"/>
  <c r="C77" i="10"/>
  <c r="C78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G2" i="10"/>
  <c r="H2" i="10" s="1"/>
  <c r="G3" i="10"/>
  <c r="H3" i="10" s="1"/>
  <c r="G4" i="10"/>
  <c r="H4" i="10" s="1"/>
  <c r="G5" i="10"/>
  <c r="H5" i="10" s="1"/>
  <c r="G6" i="10"/>
  <c r="H6" i="10" s="1"/>
  <c r="G7" i="10"/>
  <c r="H7" i="10" s="1"/>
  <c r="G8" i="10"/>
  <c r="H8" i="10" s="1"/>
  <c r="G9" i="10"/>
  <c r="H9" i="10" s="1"/>
  <c r="G10" i="10"/>
  <c r="H10" i="10" s="1"/>
  <c r="G11" i="10"/>
  <c r="H11" i="10" s="1"/>
  <c r="G12" i="10"/>
  <c r="H12" i="10" s="1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H27" i="10" s="1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H67" i="10" s="1"/>
  <c r="G68" i="10"/>
  <c r="H68" i="10" s="1"/>
  <c r="G69" i="10"/>
  <c r="H69" i="10" s="1"/>
  <c r="G70" i="10"/>
  <c r="H70" i="10" s="1"/>
  <c r="G71" i="10"/>
  <c r="H71" i="10" s="1"/>
  <c r="G72" i="10"/>
  <c r="H72" i="10" s="1"/>
  <c r="G73" i="10"/>
  <c r="H73" i="10" s="1"/>
  <c r="G74" i="10"/>
  <c r="H74" i="10" s="1"/>
  <c r="G75" i="10"/>
  <c r="H75" i="10" s="1"/>
  <c r="G76" i="10"/>
  <c r="H76" i="10" s="1"/>
  <c r="G77" i="10"/>
  <c r="H77" i="10" s="1"/>
  <c r="G78" i="10"/>
  <c r="H78" i="10" s="1"/>
  <c r="G79" i="10"/>
  <c r="H79" i="10" s="1"/>
  <c r="G80" i="10"/>
  <c r="H80" i="10" s="1"/>
  <c r="G81" i="10"/>
  <c r="H81" i="10" s="1"/>
  <c r="G82" i="10"/>
  <c r="H82" i="10" s="1"/>
  <c r="G83" i="10"/>
  <c r="H83" i="10" s="1"/>
  <c r="G84" i="10"/>
  <c r="H84" i="10" s="1"/>
  <c r="G85" i="10"/>
  <c r="H85" i="10" s="1"/>
  <c r="G86" i="10"/>
  <c r="H86" i="10" s="1"/>
  <c r="G87" i="10"/>
  <c r="H87" i="10" s="1"/>
  <c r="G88" i="10"/>
  <c r="H88" i="10" s="1"/>
  <c r="G89" i="10"/>
  <c r="H89" i="10" s="1"/>
  <c r="G90" i="10"/>
  <c r="H90" i="10" s="1"/>
  <c r="G91" i="10"/>
  <c r="H91" i="10" s="1"/>
  <c r="G92" i="10"/>
  <c r="H92" i="10" s="1"/>
  <c r="G93" i="10"/>
  <c r="H93" i="10" s="1"/>
  <c r="G94" i="10"/>
  <c r="H94" i="10" s="1"/>
  <c r="G95" i="10"/>
  <c r="H95" i="10" s="1"/>
  <c r="G96" i="10"/>
  <c r="H96" i="10" s="1"/>
  <c r="G97" i="10"/>
  <c r="H97" i="10" s="1"/>
  <c r="G98" i="10"/>
  <c r="H98" i="10" s="1"/>
  <c r="G99" i="10"/>
  <c r="H99" i="10" s="1"/>
  <c r="G100" i="10"/>
  <c r="H100" i="10" s="1"/>
  <c r="G101" i="10"/>
  <c r="H101" i="10" s="1"/>
  <c r="L1604" i="9"/>
  <c r="M1604" i="9" s="1"/>
  <c r="L1603" i="9"/>
  <c r="M1603" i="9" s="1"/>
  <c r="L1602" i="9"/>
  <c r="M1602" i="9" s="1"/>
  <c r="L1601" i="9"/>
  <c r="M1601" i="9" s="1"/>
  <c r="L1600" i="9"/>
  <c r="M1600" i="9" s="1"/>
  <c r="L1599" i="9"/>
  <c r="M1599" i="9" s="1"/>
  <c r="L1598" i="9"/>
  <c r="M1598" i="9" s="1"/>
  <c r="L1597" i="9"/>
  <c r="M1597" i="9" s="1"/>
  <c r="N1717" i="9" s="1"/>
  <c r="L1596" i="9"/>
  <c r="M1596" i="9" s="1"/>
  <c r="L1595" i="9"/>
  <c r="M1595" i="9" s="1"/>
  <c r="L1594" i="9"/>
  <c r="M1594" i="9" s="1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L1593" i="9"/>
  <c r="M1593" i="9" s="1"/>
  <c r="L1592" i="9"/>
  <c r="M1592" i="9" s="1"/>
  <c r="L1591" i="9"/>
  <c r="M1591" i="9" s="1"/>
  <c r="L1590" i="9"/>
  <c r="M1590" i="9" s="1"/>
  <c r="L1589" i="9"/>
  <c r="M1589" i="9" s="1"/>
  <c r="L1588" i="9"/>
  <c r="M1588" i="9" s="1"/>
  <c r="L1587" i="9"/>
  <c r="M1587" i="9" s="1"/>
  <c r="L1586" i="9"/>
  <c r="M1586" i="9" s="1"/>
  <c r="L1585" i="9"/>
  <c r="M1585" i="9" s="1"/>
  <c r="N1715" i="9" s="1"/>
  <c r="L1584" i="9"/>
  <c r="M1584" i="9" s="1"/>
  <c r="L1583" i="9"/>
  <c r="M1583" i="9" s="1"/>
  <c r="L1582" i="9"/>
  <c r="M1582" i="9" s="1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L1581" i="9"/>
  <c r="M1581" i="9" s="1"/>
  <c r="L1580" i="9"/>
  <c r="M1580" i="9" s="1"/>
  <c r="L1579" i="9"/>
  <c r="M1579" i="9" s="1"/>
  <c r="L1578" i="9"/>
  <c r="M1578" i="9" s="1"/>
  <c r="L1577" i="9"/>
  <c r="M1577" i="9" s="1"/>
  <c r="L1576" i="9"/>
  <c r="M1576" i="9" s="1"/>
  <c r="L1575" i="9"/>
  <c r="M1575" i="9" s="1"/>
  <c r="L1574" i="9"/>
  <c r="M1574" i="9" s="1"/>
  <c r="L1573" i="9"/>
  <c r="M1573" i="9" s="1"/>
  <c r="L1572" i="9"/>
  <c r="M1572" i="9" s="1"/>
  <c r="L1571" i="9"/>
  <c r="M1571" i="9" s="1"/>
  <c r="L1570" i="9"/>
  <c r="M1570" i="9" s="1"/>
  <c r="L1569" i="9"/>
  <c r="M1569" i="9" s="1"/>
  <c r="L1568" i="9"/>
  <c r="M1568" i="9" s="1"/>
  <c r="L1567" i="9"/>
  <c r="M1567" i="9" s="1"/>
  <c r="L1566" i="9"/>
  <c r="M1566" i="9" s="1"/>
  <c r="L1565" i="9"/>
  <c r="M1565" i="9" s="1"/>
  <c r="L1564" i="9"/>
  <c r="M1564" i="9" s="1"/>
  <c r="L1563" i="9"/>
  <c r="M1563" i="9" s="1"/>
  <c r="L1562" i="9"/>
  <c r="M1562" i="9" s="1"/>
  <c r="L1561" i="9"/>
  <c r="M1561" i="9" s="1"/>
  <c r="N1712" i="9" s="1"/>
  <c r="L1560" i="9"/>
  <c r="M1560" i="9" s="1"/>
  <c r="L1559" i="9"/>
  <c r="M1559" i="9" s="1"/>
  <c r="N1806" i="9" s="1"/>
  <c r="L1558" i="9"/>
  <c r="M1558" i="9" s="1"/>
  <c r="L1557" i="9"/>
  <c r="M1557" i="9" s="1"/>
  <c r="L1556" i="9"/>
  <c r="M1556" i="9" s="1"/>
  <c r="L1555" i="9"/>
  <c r="M1555" i="9" s="1"/>
  <c r="L1554" i="9"/>
  <c r="M1554" i="9" s="1"/>
  <c r="N1804" i="9" s="1"/>
  <c r="L1553" i="9"/>
  <c r="M1553" i="9" s="1"/>
  <c r="N1800" i="9" s="1"/>
  <c r="L1552" i="9"/>
  <c r="M1552" i="9" s="1"/>
  <c r="L1551" i="9"/>
  <c r="M1551" i="9" s="1"/>
  <c r="L1550" i="9"/>
  <c r="M1550" i="9" s="1"/>
  <c r="L1549" i="9"/>
  <c r="M1549" i="9" s="1"/>
  <c r="L1548" i="9"/>
  <c r="M1548" i="9" s="1"/>
  <c r="N1710" i="9" s="1"/>
  <c r="L1547" i="9"/>
  <c r="M1547" i="9" s="1"/>
  <c r="L1546" i="9"/>
  <c r="M1546" i="9" s="1"/>
  <c r="J53" i="13"/>
  <c r="J54" i="13"/>
  <c r="J55" i="13"/>
  <c r="J56" i="13"/>
  <c r="J57" i="13"/>
  <c r="J58" i="13"/>
  <c r="J59" i="13"/>
  <c r="J60" i="13"/>
  <c r="J61" i="13"/>
  <c r="J62" i="13"/>
  <c r="J63" i="13"/>
  <c r="J64" i="13"/>
  <c r="J52" i="13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2" i="9"/>
  <c r="L6" i="13"/>
  <c r="L7" i="13"/>
  <c r="L9" i="13"/>
  <c r="L10" i="13"/>
  <c r="L11" i="13"/>
  <c r="L12" i="13"/>
  <c r="L15" i="13"/>
  <c r="L16" i="13"/>
  <c r="L17" i="13"/>
  <c r="L18" i="13"/>
  <c r="L19" i="13"/>
  <c r="L5" i="13"/>
  <c r="T6" i="13"/>
  <c r="T7" i="13"/>
  <c r="T8" i="13"/>
  <c r="T9" i="13"/>
  <c r="T10" i="13"/>
  <c r="T11" i="13"/>
  <c r="T12" i="13"/>
  <c r="T15" i="13"/>
  <c r="T16" i="13"/>
  <c r="T17" i="13"/>
  <c r="T18" i="13"/>
  <c r="T19" i="13"/>
  <c r="T5" i="13"/>
  <c r="S5" i="13"/>
  <c r="R6" i="13"/>
  <c r="R7" i="13"/>
  <c r="R8" i="13"/>
  <c r="R9" i="13"/>
  <c r="R10" i="13"/>
  <c r="R11" i="13"/>
  <c r="R12" i="13"/>
  <c r="R15" i="13"/>
  <c r="R16" i="13"/>
  <c r="R17" i="13"/>
  <c r="R18" i="13"/>
  <c r="R19" i="13"/>
  <c r="R5" i="13"/>
  <c r="S6" i="13"/>
  <c r="S7" i="13"/>
  <c r="S8" i="13"/>
  <c r="S9" i="13"/>
  <c r="S10" i="13"/>
  <c r="S11" i="13"/>
  <c r="S12" i="13"/>
  <c r="S15" i="13"/>
  <c r="S16" i="13"/>
  <c r="S17" i="13"/>
  <c r="S18" i="13"/>
  <c r="S19" i="13"/>
  <c r="L1545" i="9"/>
  <c r="M1545" i="9" s="1"/>
  <c r="L1544" i="9"/>
  <c r="M1544" i="9" s="1"/>
  <c r="L1543" i="9"/>
  <c r="M1543" i="9" s="1"/>
  <c r="L1542" i="9"/>
  <c r="M1542" i="9" s="1"/>
  <c r="L1541" i="9"/>
  <c r="M1541" i="9" s="1"/>
  <c r="N1802" i="9" s="1"/>
  <c r="L1540" i="9"/>
  <c r="M1540" i="9" s="1"/>
  <c r="L1539" i="9"/>
  <c r="M1539" i="9" s="1"/>
  <c r="L1538" i="9"/>
  <c r="M1538" i="9" s="1"/>
  <c r="L1537" i="9"/>
  <c r="M1537" i="9" s="1"/>
  <c r="L1536" i="9"/>
  <c r="M1536" i="9" s="1"/>
  <c r="L1535" i="9"/>
  <c r="M1535" i="9" s="1"/>
  <c r="L1534" i="9"/>
  <c r="M1534" i="9" s="1"/>
  <c r="O6" i="13"/>
  <c r="P6" i="13"/>
  <c r="L3" i="9"/>
  <c r="M3" i="9" s="1"/>
  <c r="L4" i="9"/>
  <c r="M4" i="9" s="1"/>
  <c r="N1725" i="9" s="1"/>
  <c r="L5" i="9"/>
  <c r="M5" i="9" s="1"/>
  <c r="L6" i="9"/>
  <c r="M6" i="9" s="1"/>
  <c r="L7" i="9"/>
  <c r="L8" i="9"/>
  <c r="M8" i="9" s="1"/>
  <c r="L9" i="9"/>
  <c r="M9" i="9" s="1"/>
  <c r="L10" i="9"/>
  <c r="M10" i="9" s="1"/>
  <c r="L11" i="9"/>
  <c r="M11" i="9" s="1"/>
  <c r="L12" i="9"/>
  <c r="M12" i="9" s="1"/>
  <c r="L13" i="9"/>
  <c r="M13" i="9" s="1"/>
  <c r="L14" i="9"/>
  <c r="M14" i="9" s="1"/>
  <c r="L15" i="9"/>
  <c r="M15" i="9" s="1"/>
  <c r="L16" i="9"/>
  <c r="M16" i="9" s="1"/>
  <c r="L17" i="9"/>
  <c r="M17" i="9" s="1"/>
  <c r="L18" i="9"/>
  <c r="M18" i="9" s="1"/>
  <c r="L19" i="9"/>
  <c r="M19" i="9" s="1"/>
  <c r="L20" i="9"/>
  <c r="M20" i="9" s="1"/>
  <c r="L21" i="9"/>
  <c r="M21" i="9" s="1"/>
  <c r="L22" i="9"/>
  <c r="M22" i="9" s="1"/>
  <c r="L23" i="9"/>
  <c r="M23" i="9" s="1"/>
  <c r="L24" i="9"/>
  <c r="M24" i="9" s="1"/>
  <c r="L25" i="9"/>
  <c r="M25" i="9" s="1"/>
  <c r="L26" i="9"/>
  <c r="M26" i="9" s="1"/>
  <c r="L27" i="9"/>
  <c r="M27" i="9" s="1"/>
  <c r="L28" i="9"/>
  <c r="M28" i="9" s="1"/>
  <c r="L29" i="9"/>
  <c r="M29" i="9" s="1"/>
  <c r="L30" i="9"/>
  <c r="M30" i="9" s="1"/>
  <c r="L31" i="9"/>
  <c r="M31" i="9" s="1"/>
  <c r="L32" i="9"/>
  <c r="M32" i="9" s="1"/>
  <c r="L33" i="9"/>
  <c r="M33" i="9" s="1"/>
  <c r="L34" i="9"/>
  <c r="M34" i="9" s="1"/>
  <c r="L35" i="9"/>
  <c r="M35" i="9" s="1"/>
  <c r="L36" i="9"/>
  <c r="M36" i="9" s="1"/>
  <c r="L37" i="9"/>
  <c r="M37" i="9" s="1"/>
  <c r="L38" i="9"/>
  <c r="M38" i="9" s="1"/>
  <c r="L39" i="9"/>
  <c r="M39" i="9" s="1"/>
  <c r="L40" i="9"/>
  <c r="M40" i="9" s="1"/>
  <c r="N1727" i="9" s="1"/>
  <c r="L41" i="9"/>
  <c r="M41" i="9" s="1"/>
  <c r="L42" i="9"/>
  <c r="M42" i="9" s="1"/>
  <c r="L43" i="9"/>
  <c r="M43" i="9" s="1"/>
  <c r="L44" i="9"/>
  <c r="M44" i="9" s="1"/>
  <c r="L45" i="9"/>
  <c r="M45" i="9" s="1"/>
  <c r="L46" i="9"/>
  <c r="M46" i="9" s="1"/>
  <c r="L47" i="9"/>
  <c r="M47" i="9" s="1"/>
  <c r="L48" i="9"/>
  <c r="M48" i="9" s="1"/>
  <c r="L49" i="9"/>
  <c r="M49" i="9" s="1"/>
  <c r="L50" i="9"/>
  <c r="M50" i="9" s="1"/>
  <c r="L51" i="9"/>
  <c r="M51" i="9" s="1"/>
  <c r="L52" i="9"/>
  <c r="M52" i="9" s="1"/>
  <c r="L53" i="9"/>
  <c r="M53" i="9" s="1"/>
  <c r="L54" i="9"/>
  <c r="M54" i="9" s="1"/>
  <c r="L55" i="9"/>
  <c r="M55" i="9" s="1"/>
  <c r="L56" i="9"/>
  <c r="M56" i="9" s="1"/>
  <c r="L57" i="9"/>
  <c r="M57" i="9" s="1"/>
  <c r="L58" i="9"/>
  <c r="L59" i="9"/>
  <c r="M59" i="9" s="1"/>
  <c r="L60" i="9"/>
  <c r="L61" i="9"/>
  <c r="M61" i="9" s="1"/>
  <c r="L62" i="9"/>
  <c r="M62" i="9" s="1"/>
  <c r="L63" i="9"/>
  <c r="M63" i="9" s="1"/>
  <c r="L64" i="9"/>
  <c r="M64" i="9" s="1"/>
  <c r="L65" i="9"/>
  <c r="M65" i="9" s="1"/>
  <c r="L66" i="9"/>
  <c r="M66" i="9" s="1"/>
  <c r="L67" i="9"/>
  <c r="M67" i="9" s="1"/>
  <c r="L68" i="9"/>
  <c r="M68" i="9" s="1"/>
  <c r="L69" i="9"/>
  <c r="M69" i="9" s="1"/>
  <c r="L70" i="9"/>
  <c r="M70" i="9" s="1"/>
  <c r="L71" i="9"/>
  <c r="M71" i="9" s="1"/>
  <c r="L72" i="9"/>
  <c r="M72" i="9" s="1"/>
  <c r="L73" i="9"/>
  <c r="M73" i="9" s="1"/>
  <c r="L74" i="9"/>
  <c r="M74" i="9" s="1"/>
  <c r="L75" i="9"/>
  <c r="M75" i="9" s="1"/>
  <c r="L76" i="9"/>
  <c r="M76" i="9" s="1"/>
  <c r="L77" i="9"/>
  <c r="M77" i="9" s="1"/>
  <c r="L78" i="9"/>
  <c r="M78" i="9" s="1"/>
  <c r="L79" i="9"/>
  <c r="M79" i="9" s="1"/>
  <c r="L80" i="9"/>
  <c r="M80" i="9" s="1"/>
  <c r="L81" i="9"/>
  <c r="M81" i="9" s="1"/>
  <c r="L82" i="9"/>
  <c r="M82" i="9" s="1"/>
  <c r="L83" i="9"/>
  <c r="M83" i="9" s="1"/>
  <c r="L84" i="9"/>
  <c r="M84" i="9" s="1"/>
  <c r="L85" i="9"/>
  <c r="M85" i="9" s="1"/>
  <c r="L86" i="9"/>
  <c r="M86" i="9" s="1"/>
  <c r="L87" i="9"/>
  <c r="M87" i="9" s="1"/>
  <c r="L88" i="9"/>
  <c r="M88" i="9" s="1"/>
  <c r="L89" i="9"/>
  <c r="M89" i="9" s="1"/>
  <c r="L90" i="9"/>
  <c r="M90" i="9" s="1"/>
  <c r="L91" i="9"/>
  <c r="M91" i="9" s="1"/>
  <c r="L92" i="9"/>
  <c r="M92" i="9" s="1"/>
  <c r="L93" i="9"/>
  <c r="M93" i="9" s="1"/>
  <c r="L94" i="9"/>
  <c r="M94" i="9" s="1"/>
  <c r="L95" i="9"/>
  <c r="M95" i="9" s="1"/>
  <c r="L96" i="9"/>
  <c r="M96" i="9" s="1"/>
  <c r="L97" i="9"/>
  <c r="M97" i="9" s="1"/>
  <c r="L98" i="9"/>
  <c r="M98" i="9" s="1"/>
  <c r="L99" i="9"/>
  <c r="M99" i="9" s="1"/>
  <c r="L100" i="9"/>
  <c r="M100" i="9" s="1"/>
  <c r="L101" i="9"/>
  <c r="M101" i="9" s="1"/>
  <c r="L102" i="9"/>
  <c r="M102" i="9" s="1"/>
  <c r="L103" i="9"/>
  <c r="M103" i="9" s="1"/>
  <c r="L104" i="9"/>
  <c r="M104" i="9" s="1"/>
  <c r="L105" i="9"/>
  <c r="M105" i="9" s="1"/>
  <c r="L106" i="9"/>
  <c r="M106" i="9" s="1"/>
  <c r="L107" i="9"/>
  <c r="M107" i="9" s="1"/>
  <c r="L108" i="9"/>
  <c r="M108" i="9" s="1"/>
  <c r="L109" i="9"/>
  <c r="M109" i="9" s="1"/>
  <c r="L110" i="9"/>
  <c r="M110" i="9" s="1"/>
  <c r="L111" i="9"/>
  <c r="M111" i="9" s="1"/>
  <c r="L112" i="9"/>
  <c r="M112" i="9" s="1"/>
  <c r="L113" i="9"/>
  <c r="M113" i="9" s="1"/>
  <c r="L114" i="9"/>
  <c r="M114" i="9" s="1"/>
  <c r="L115" i="9"/>
  <c r="M115" i="9" s="1"/>
  <c r="L116" i="9"/>
  <c r="M116" i="9" s="1"/>
  <c r="L117" i="9"/>
  <c r="M117" i="9" s="1"/>
  <c r="L118" i="9"/>
  <c r="M118" i="9" s="1"/>
  <c r="L119" i="9"/>
  <c r="M119" i="9" s="1"/>
  <c r="L120" i="9"/>
  <c r="M120" i="9" s="1"/>
  <c r="L121" i="9"/>
  <c r="M121" i="9" s="1"/>
  <c r="L122" i="9"/>
  <c r="M122" i="9" s="1"/>
  <c r="L123" i="9"/>
  <c r="M123" i="9" s="1"/>
  <c r="L124" i="9"/>
  <c r="M124" i="9" s="1"/>
  <c r="L125" i="9"/>
  <c r="M125" i="9" s="1"/>
  <c r="L126" i="9"/>
  <c r="M126" i="9" s="1"/>
  <c r="L127" i="9"/>
  <c r="M127" i="9" s="1"/>
  <c r="L128" i="9"/>
  <c r="M128" i="9" s="1"/>
  <c r="L129" i="9"/>
  <c r="M129" i="9" s="1"/>
  <c r="L130" i="9"/>
  <c r="M130" i="9" s="1"/>
  <c r="L131" i="9"/>
  <c r="M131" i="9" s="1"/>
  <c r="L132" i="9"/>
  <c r="M132" i="9" s="1"/>
  <c r="L133" i="9"/>
  <c r="M133" i="9" s="1"/>
  <c r="L134" i="9"/>
  <c r="M134" i="9" s="1"/>
  <c r="L135" i="9"/>
  <c r="M135" i="9" s="1"/>
  <c r="L136" i="9"/>
  <c r="M136" i="9" s="1"/>
  <c r="L137" i="9"/>
  <c r="M137" i="9" s="1"/>
  <c r="L138" i="9"/>
  <c r="M138" i="9" s="1"/>
  <c r="N1728" i="9" s="1"/>
  <c r="L139" i="9"/>
  <c r="M139" i="9" s="1"/>
  <c r="L140" i="9"/>
  <c r="M140" i="9" s="1"/>
  <c r="L141" i="9"/>
  <c r="M141" i="9" s="1"/>
  <c r="L142" i="9"/>
  <c r="M142" i="9" s="1"/>
  <c r="L143" i="9"/>
  <c r="M143" i="9" s="1"/>
  <c r="L144" i="9"/>
  <c r="M144" i="9" s="1"/>
  <c r="L145" i="9"/>
  <c r="M145" i="9" s="1"/>
  <c r="L146" i="9"/>
  <c r="M146" i="9" s="1"/>
  <c r="N1731" i="9" s="1"/>
  <c r="L147" i="9"/>
  <c r="M147" i="9" s="1"/>
  <c r="L148" i="9"/>
  <c r="M148" i="9" s="1"/>
  <c r="L149" i="9"/>
  <c r="M149" i="9" s="1"/>
  <c r="L150" i="9"/>
  <c r="M150" i="9" s="1"/>
  <c r="L151" i="9"/>
  <c r="M151" i="9" s="1"/>
  <c r="L152" i="9"/>
  <c r="M152" i="9" s="1"/>
  <c r="L153" i="9"/>
  <c r="M153" i="9" s="1"/>
  <c r="L154" i="9"/>
  <c r="M154" i="9" s="1"/>
  <c r="L155" i="9"/>
  <c r="M155" i="9" s="1"/>
  <c r="N1713" i="9" s="1"/>
  <c r="L156" i="9"/>
  <c r="M156" i="9" s="1"/>
  <c r="L157" i="9"/>
  <c r="M157" i="9" s="1"/>
  <c r="L158" i="9"/>
  <c r="M158" i="9" s="1"/>
  <c r="L159" i="9"/>
  <c r="M159" i="9" s="1"/>
  <c r="L160" i="9"/>
  <c r="M160" i="9" s="1"/>
  <c r="L161" i="9"/>
  <c r="M161" i="9" s="1"/>
  <c r="L162" i="9"/>
  <c r="M162" i="9" s="1"/>
  <c r="N1799" i="9" s="1"/>
  <c r="L163" i="9"/>
  <c r="M163" i="9" s="1"/>
  <c r="L164" i="9"/>
  <c r="M164" i="9" s="1"/>
  <c r="L165" i="9"/>
  <c r="M165" i="9" s="1"/>
  <c r="L166" i="9"/>
  <c r="M166" i="9" s="1"/>
  <c r="L167" i="9"/>
  <c r="M167" i="9" s="1"/>
  <c r="N1732" i="9" s="1"/>
  <c r="L168" i="9"/>
  <c r="L169" i="9"/>
  <c r="M169" i="9" s="1"/>
  <c r="L170" i="9"/>
  <c r="M170" i="9" s="1"/>
  <c r="L171" i="9"/>
  <c r="M171" i="9" s="1"/>
  <c r="L172" i="9"/>
  <c r="M172" i="9" s="1"/>
  <c r="L173" i="9"/>
  <c r="M173" i="9" s="1"/>
  <c r="L174" i="9"/>
  <c r="M174" i="9" s="1"/>
  <c r="L175" i="9"/>
  <c r="M175" i="9" s="1"/>
  <c r="L176" i="9"/>
  <c r="M176" i="9" s="1"/>
  <c r="L177" i="9"/>
  <c r="M177" i="9" s="1"/>
  <c r="L178" i="9"/>
  <c r="M178" i="9" s="1"/>
  <c r="L179" i="9"/>
  <c r="M179" i="9" s="1"/>
  <c r="L180" i="9"/>
  <c r="M180" i="9" s="1"/>
  <c r="L181" i="9"/>
  <c r="M181" i="9" s="1"/>
  <c r="L182" i="9"/>
  <c r="M182" i="9" s="1"/>
  <c r="L183" i="9"/>
  <c r="M183" i="9" s="1"/>
  <c r="L184" i="9"/>
  <c r="M184" i="9" s="1"/>
  <c r="L185" i="9"/>
  <c r="M185" i="9" s="1"/>
  <c r="L186" i="9"/>
  <c r="M186" i="9" s="1"/>
  <c r="L187" i="9"/>
  <c r="M187" i="9" s="1"/>
  <c r="L188" i="9"/>
  <c r="M188" i="9" s="1"/>
  <c r="L189" i="9"/>
  <c r="M189" i="9" s="1"/>
  <c r="L190" i="9"/>
  <c r="M190" i="9" s="1"/>
  <c r="L191" i="9"/>
  <c r="M191" i="9" s="1"/>
  <c r="L192" i="9"/>
  <c r="M192" i="9" s="1"/>
  <c r="L193" i="9"/>
  <c r="M193" i="9" s="1"/>
  <c r="L194" i="9"/>
  <c r="M194" i="9" s="1"/>
  <c r="L195" i="9"/>
  <c r="M195" i="9" s="1"/>
  <c r="L196" i="9"/>
  <c r="M196" i="9" s="1"/>
  <c r="L197" i="9"/>
  <c r="M197" i="9" s="1"/>
  <c r="L198" i="9"/>
  <c r="M198" i="9" s="1"/>
  <c r="N1735" i="9" s="1"/>
  <c r="L199" i="9"/>
  <c r="M199" i="9" s="1"/>
  <c r="L200" i="9"/>
  <c r="M200" i="9" s="1"/>
  <c r="L201" i="9"/>
  <c r="M201" i="9" s="1"/>
  <c r="L202" i="9"/>
  <c r="M202" i="9" s="1"/>
  <c r="L203" i="9"/>
  <c r="M203" i="9" s="1"/>
  <c r="L204" i="9"/>
  <c r="M204" i="9" s="1"/>
  <c r="L205" i="9"/>
  <c r="M205" i="9" s="1"/>
  <c r="L206" i="9"/>
  <c r="M206" i="9" s="1"/>
  <c r="L207" i="9"/>
  <c r="M207" i="9" s="1"/>
  <c r="L208" i="9"/>
  <c r="M208" i="9" s="1"/>
  <c r="L209" i="9"/>
  <c r="L210" i="9"/>
  <c r="M210" i="9" s="1"/>
  <c r="L211" i="9"/>
  <c r="M211" i="9" s="1"/>
  <c r="L212" i="9"/>
  <c r="M212" i="9" s="1"/>
  <c r="L213" i="9"/>
  <c r="M213" i="9" s="1"/>
  <c r="L214" i="9"/>
  <c r="M214" i="9" s="1"/>
  <c r="L215" i="9"/>
  <c r="M215" i="9" s="1"/>
  <c r="L216" i="9"/>
  <c r="M216" i="9" s="1"/>
  <c r="L217" i="9"/>
  <c r="M217" i="9" s="1"/>
  <c r="L218" i="9"/>
  <c r="M218" i="9" s="1"/>
  <c r="L219" i="9"/>
  <c r="M219" i="9" s="1"/>
  <c r="L220" i="9"/>
  <c r="M220" i="9" s="1"/>
  <c r="L221" i="9"/>
  <c r="M221" i="9" s="1"/>
  <c r="L222" i="9"/>
  <c r="M222" i="9" s="1"/>
  <c r="L223" i="9"/>
  <c r="M223" i="9" s="1"/>
  <c r="L224" i="9"/>
  <c r="M224" i="9" s="1"/>
  <c r="L225" i="9"/>
  <c r="M225" i="9" s="1"/>
  <c r="L226" i="9"/>
  <c r="M226" i="9" s="1"/>
  <c r="L227" i="9"/>
  <c r="M227" i="9" s="1"/>
  <c r="L228" i="9"/>
  <c r="M228" i="9" s="1"/>
  <c r="L229" i="9"/>
  <c r="M229" i="9" s="1"/>
  <c r="L230" i="9"/>
  <c r="M230" i="9" s="1"/>
  <c r="L231" i="9"/>
  <c r="M231" i="9" s="1"/>
  <c r="L232" i="9"/>
  <c r="M232" i="9" s="1"/>
  <c r="L233" i="9"/>
  <c r="M233" i="9" s="1"/>
  <c r="L234" i="9"/>
  <c r="M234" i="9" s="1"/>
  <c r="L235" i="9"/>
  <c r="M235" i="9" s="1"/>
  <c r="L236" i="9"/>
  <c r="M236" i="9" s="1"/>
  <c r="L237" i="9"/>
  <c r="M237" i="9" s="1"/>
  <c r="L238" i="9"/>
  <c r="M238" i="9" s="1"/>
  <c r="L239" i="9"/>
  <c r="M239" i="9" s="1"/>
  <c r="L240" i="9"/>
  <c r="M240" i="9" s="1"/>
  <c r="L241" i="9"/>
  <c r="M241" i="9" s="1"/>
  <c r="L242" i="9"/>
  <c r="M242" i="9" s="1"/>
  <c r="L243" i="9"/>
  <c r="M243" i="9" s="1"/>
  <c r="L244" i="9"/>
  <c r="M244" i="9" s="1"/>
  <c r="L245" i="9"/>
  <c r="M245" i="9" s="1"/>
  <c r="L246" i="9"/>
  <c r="M246" i="9" s="1"/>
  <c r="L247" i="9"/>
  <c r="M247" i="9" s="1"/>
  <c r="L248" i="9"/>
  <c r="M248" i="9" s="1"/>
  <c r="L249" i="9"/>
  <c r="M249" i="9" s="1"/>
  <c r="L250" i="9"/>
  <c r="M250" i="9" s="1"/>
  <c r="L251" i="9"/>
  <c r="M251" i="9" s="1"/>
  <c r="L252" i="9"/>
  <c r="M252" i="9" s="1"/>
  <c r="L253" i="9"/>
  <c r="M253" i="9" s="1"/>
  <c r="L254" i="9"/>
  <c r="M254" i="9" s="1"/>
  <c r="L255" i="9"/>
  <c r="M255" i="9" s="1"/>
  <c r="L256" i="9"/>
  <c r="M256" i="9" s="1"/>
  <c r="L257" i="9"/>
  <c r="M257" i="9" s="1"/>
  <c r="L258" i="9"/>
  <c r="M258" i="9" s="1"/>
  <c r="L259" i="9"/>
  <c r="M259" i="9" s="1"/>
  <c r="L260" i="9"/>
  <c r="M260" i="9" s="1"/>
  <c r="L261" i="9"/>
  <c r="M261" i="9" s="1"/>
  <c r="L262" i="9"/>
  <c r="M262" i="9" s="1"/>
  <c r="L263" i="9"/>
  <c r="M263" i="9" s="1"/>
  <c r="L264" i="9"/>
  <c r="M264" i="9" s="1"/>
  <c r="L265" i="9"/>
  <c r="M265" i="9" s="1"/>
  <c r="L266" i="9"/>
  <c r="M266" i="9" s="1"/>
  <c r="L267" i="9"/>
  <c r="M267" i="9" s="1"/>
  <c r="L268" i="9"/>
  <c r="M268" i="9" s="1"/>
  <c r="L269" i="9"/>
  <c r="M269" i="9" s="1"/>
  <c r="L270" i="9"/>
  <c r="M270" i="9" s="1"/>
  <c r="L271" i="9"/>
  <c r="M271" i="9" s="1"/>
  <c r="N1736" i="9" s="1"/>
  <c r="L272" i="9"/>
  <c r="M272" i="9" s="1"/>
  <c r="L273" i="9"/>
  <c r="M273" i="9" s="1"/>
  <c r="L274" i="9"/>
  <c r="M274" i="9" s="1"/>
  <c r="L275" i="9"/>
  <c r="M275" i="9" s="1"/>
  <c r="L276" i="9"/>
  <c r="M276" i="9" s="1"/>
  <c r="L277" i="9"/>
  <c r="M277" i="9" s="1"/>
  <c r="L278" i="9"/>
  <c r="M278" i="9" s="1"/>
  <c r="L279" i="9"/>
  <c r="M279" i="9" s="1"/>
  <c r="L280" i="9"/>
  <c r="M280" i="9" s="1"/>
  <c r="L281" i="9"/>
  <c r="M281" i="9" s="1"/>
  <c r="L282" i="9"/>
  <c r="M282" i="9" s="1"/>
  <c r="L283" i="9"/>
  <c r="M283" i="9" s="1"/>
  <c r="L284" i="9"/>
  <c r="M284" i="9" s="1"/>
  <c r="N1738" i="9" s="1"/>
  <c r="L285" i="9"/>
  <c r="M285" i="9" s="1"/>
  <c r="L286" i="9"/>
  <c r="M286" i="9" s="1"/>
  <c r="L287" i="9"/>
  <c r="L288" i="9"/>
  <c r="M288" i="9" s="1"/>
  <c r="L289" i="9"/>
  <c r="M289" i="9" s="1"/>
  <c r="L290" i="9"/>
  <c r="M290" i="9" s="1"/>
  <c r="L291" i="9"/>
  <c r="M291" i="9" s="1"/>
  <c r="L292" i="9"/>
  <c r="M292" i="9" s="1"/>
  <c r="L293" i="9"/>
  <c r="M293" i="9" s="1"/>
  <c r="L294" i="9"/>
  <c r="L295" i="9"/>
  <c r="M295" i="9" s="1"/>
  <c r="L296" i="9"/>
  <c r="M296" i="9" s="1"/>
  <c r="L297" i="9"/>
  <c r="M297" i="9" s="1"/>
  <c r="L298" i="9"/>
  <c r="M298" i="9" s="1"/>
  <c r="L299" i="9"/>
  <c r="M299" i="9" s="1"/>
  <c r="L300" i="9"/>
  <c r="M300" i="9" s="1"/>
  <c r="L301" i="9"/>
  <c r="M301" i="9" s="1"/>
  <c r="L302" i="9"/>
  <c r="M302" i="9" s="1"/>
  <c r="L303" i="9"/>
  <c r="M303" i="9" s="1"/>
  <c r="L304" i="9"/>
  <c r="M304" i="9" s="1"/>
  <c r="L305" i="9"/>
  <c r="M305" i="9" s="1"/>
  <c r="L306" i="9"/>
  <c r="M306" i="9" s="1"/>
  <c r="L307" i="9"/>
  <c r="M307" i="9" s="1"/>
  <c r="L308" i="9"/>
  <c r="M308" i="9" s="1"/>
  <c r="L309" i="9"/>
  <c r="M309" i="9" s="1"/>
  <c r="L310" i="9"/>
  <c r="M310" i="9" s="1"/>
  <c r="L311" i="9"/>
  <c r="M311" i="9" s="1"/>
  <c r="L312" i="9"/>
  <c r="M312" i="9" s="1"/>
  <c r="L313" i="9"/>
  <c r="M313" i="9" s="1"/>
  <c r="L314" i="9"/>
  <c r="M314" i="9" s="1"/>
  <c r="L315" i="9"/>
  <c r="M315" i="9" s="1"/>
  <c r="L317" i="9"/>
  <c r="M317" i="9" s="1"/>
  <c r="L318" i="9"/>
  <c r="M318" i="9" s="1"/>
  <c r="L319" i="9"/>
  <c r="M319" i="9" s="1"/>
  <c r="L320" i="9"/>
  <c r="M320" i="9" s="1"/>
  <c r="L321" i="9"/>
  <c r="M321" i="9" s="1"/>
  <c r="L322" i="9"/>
  <c r="M322" i="9" s="1"/>
  <c r="L323" i="9"/>
  <c r="M323" i="9" s="1"/>
  <c r="L324" i="9"/>
  <c r="M324" i="9" s="1"/>
  <c r="L326" i="9"/>
  <c r="M326" i="9" s="1"/>
  <c r="L327" i="9"/>
  <c r="M327" i="9" s="1"/>
  <c r="L328" i="9"/>
  <c r="M328" i="9" s="1"/>
  <c r="L329" i="9"/>
  <c r="M329" i="9" s="1"/>
  <c r="L330" i="9"/>
  <c r="M330" i="9" s="1"/>
  <c r="L331" i="9"/>
  <c r="M331" i="9" s="1"/>
  <c r="L332" i="9"/>
  <c r="M332" i="9" s="1"/>
  <c r="N1740" i="9" s="1"/>
  <c r="L333" i="9"/>
  <c r="M333" i="9" s="1"/>
  <c r="L334" i="9"/>
  <c r="M334" i="9" s="1"/>
  <c r="L335" i="9"/>
  <c r="M335" i="9" s="1"/>
  <c r="N1733" i="9" s="1"/>
  <c r="L336" i="9"/>
  <c r="M336" i="9" s="1"/>
  <c r="L337" i="9"/>
  <c r="M337" i="9" s="1"/>
  <c r="L338" i="9"/>
  <c r="M338" i="9" s="1"/>
  <c r="L339" i="9"/>
  <c r="M339" i="9" s="1"/>
  <c r="L340" i="9"/>
  <c r="M340" i="9" s="1"/>
  <c r="L341" i="9"/>
  <c r="M341" i="9" s="1"/>
  <c r="L342" i="9"/>
  <c r="M342" i="9" s="1"/>
  <c r="L343" i="9"/>
  <c r="M343" i="9" s="1"/>
  <c r="L344" i="9"/>
  <c r="M344" i="9" s="1"/>
  <c r="L345" i="9"/>
  <c r="M345" i="9" s="1"/>
  <c r="N1743" i="9" s="1"/>
  <c r="L346" i="9"/>
  <c r="M346" i="9" s="1"/>
  <c r="L347" i="9"/>
  <c r="M347" i="9" s="1"/>
  <c r="L348" i="9"/>
  <c r="M348" i="9" s="1"/>
  <c r="L349" i="9"/>
  <c r="M349" i="9" s="1"/>
  <c r="L350" i="9"/>
  <c r="M350" i="9" s="1"/>
  <c r="L351" i="9"/>
  <c r="M351" i="9" s="1"/>
  <c r="L352" i="9"/>
  <c r="M352" i="9" s="1"/>
  <c r="L353" i="9"/>
  <c r="M353" i="9" s="1"/>
  <c r="L354" i="9"/>
  <c r="M354" i="9" s="1"/>
  <c r="L355" i="9"/>
  <c r="M355" i="9" s="1"/>
  <c r="L356" i="9"/>
  <c r="M356" i="9" s="1"/>
  <c r="N1744" i="9" s="1"/>
  <c r="L357" i="9"/>
  <c r="M357" i="9" s="1"/>
  <c r="L358" i="9"/>
  <c r="M358" i="9" s="1"/>
  <c r="L359" i="9"/>
  <c r="M359" i="9" s="1"/>
  <c r="L360" i="9"/>
  <c r="M360" i="9" s="1"/>
  <c r="L361" i="9"/>
  <c r="M361" i="9" s="1"/>
  <c r="L362" i="9"/>
  <c r="M362" i="9" s="1"/>
  <c r="L363" i="9"/>
  <c r="M363" i="9" s="1"/>
  <c r="L364" i="9"/>
  <c r="M364" i="9" s="1"/>
  <c r="L365" i="9"/>
  <c r="M365" i="9" s="1"/>
  <c r="L366" i="9"/>
  <c r="M366" i="9" s="1"/>
  <c r="L367" i="9"/>
  <c r="M367" i="9" s="1"/>
  <c r="L368" i="9"/>
  <c r="M368" i="9" s="1"/>
  <c r="L369" i="9"/>
  <c r="M369" i="9" s="1"/>
  <c r="L370" i="9"/>
  <c r="M370" i="9" s="1"/>
  <c r="L371" i="9"/>
  <c r="L372" i="9"/>
  <c r="M372" i="9" s="1"/>
  <c r="L373" i="9"/>
  <c r="M373" i="9" s="1"/>
  <c r="L374" i="9"/>
  <c r="M374" i="9" s="1"/>
  <c r="L375" i="9"/>
  <c r="M375" i="9" s="1"/>
  <c r="L376" i="9"/>
  <c r="M376" i="9" s="1"/>
  <c r="L377" i="9"/>
  <c r="M377" i="9" s="1"/>
  <c r="L378" i="9"/>
  <c r="M378" i="9" s="1"/>
  <c r="L379" i="9"/>
  <c r="M379" i="9" s="1"/>
  <c r="L380" i="9"/>
  <c r="M380" i="9" s="1"/>
  <c r="L381" i="9"/>
  <c r="M381" i="9" s="1"/>
  <c r="L382" i="9"/>
  <c r="M382" i="9" s="1"/>
  <c r="L383" i="9"/>
  <c r="M383" i="9" s="1"/>
  <c r="L384" i="9"/>
  <c r="M384" i="9" s="1"/>
  <c r="L385" i="9"/>
  <c r="M385" i="9" s="1"/>
  <c r="L386" i="9"/>
  <c r="M386" i="9" s="1"/>
  <c r="L387" i="9"/>
  <c r="M387" i="9" s="1"/>
  <c r="L388" i="9"/>
  <c r="M388" i="9" s="1"/>
  <c r="L389" i="9"/>
  <c r="M389" i="9" s="1"/>
  <c r="L390" i="9"/>
  <c r="M390" i="9" s="1"/>
  <c r="L391" i="9"/>
  <c r="M391" i="9" s="1"/>
  <c r="L392" i="9"/>
  <c r="M392" i="9" s="1"/>
  <c r="L393" i="9"/>
  <c r="M393" i="9" s="1"/>
  <c r="L394" i="9"/>
  <c r="M394" i="9" s="1"/>
  <c r="L395" i="9"/>
  <c r="M395" i="9" s="1"/>
  <c r="L396" i="9"/>
  <c r="M396" i="9" s="1"/>
  <c r="L397" i="9"/>
  <c r="M397" i="9" s="1"/>
  <c r="L398" i="9"/>
  <c r="M398" i="9" s="1"/>
  <c r="L399" i="9"/>
  <c r="M399" i="9" s="1"/>
  <c r="L400" i="9"/>
  <c r="M400" i="9" s="1"/>
  <c r="L401" i="9"/>
  <c r="M401" i="9" s="1"/>
  <c r="L402" i="9"/>
  <c r="M402" i="9" s="1"/>
  <c r="L403" i="9"/>
  <c r="M403" i="9" s="1"/>
  <c r="L404" i="9"/>
  <c r="M404" i="9" s="1"/>
  <c r="L405" i="9"/>
  <c r="M405" i="9" s="1"/>
  <c r="L406" i="9"/>
  <c r="M406" i="9" s="1"/>
  <c r="L407" i="9"/>
  <c r="M407" i="9" s="1"/>
  <c r="L408" i="9"/>
  <c r="M408" i="9" s="1"/>
  <c r="L409" i="9"/>
  <c r="M409" i="9" s="1"/>
  <c r="L410" i="9"/>
  <c r="M410" i="9" s="1"/>
  <c r="L411" i="9"/>
  <c r="M411" i="9" s="1"/>
  <c r="L412" i="9"/>
  <c r="M412" i="9" s="1"/>
  <c r="L413" i="9"/>
  <c r="M413" i="9" s="1"/>
  <c r="L414" i="9"/>
  <c r="M414" i="9" s="1"/>
  <c r="L415" i="9"/>
  <c r="M415" i="9" s="1"/>
  <c r="L416" i="9"/>
  <c r="M416" i="9" s="1"/>
  <c r="L417" i="9"/>
  <c r="M417" i="9" s="1"/>
  <c r="L418" i="9"/>
  <c r="M418" i="9" s="1"/>
  <c r="L419" i="9"/>
  <c r="M419" i="9" s="1"/>
  <c r="L420" i="9"/>
  <c r="M420" i="9" s="1"/>
  <c r="L421" i="9"/>
  <c r="M421" i="9" s="1"/>
  <c r="L422" i="9"/>
  <c r="M422" i="9" s="1"/>
  <c r="L423" i="9"/>
  <c r="M423" i="9" s="1"/>
  <c r="N1746" i="9" s="1"/>
  <c r="L424" i="9"/>
  <c r="M424" i="9" s="1"/>
  <c r="L425" i="9"/>
  <c r="M425" i="9" s="1"/>
  <c r="L426" i="9"/>
  <c r="M426" i="9" s="1"/>
  <c r="L427" i="9"/>
  <c r="M427" i="9" s="1"/>
  <c r="L428" i="9"/>
  <c r="M428" i="9" s="1"/>
  <c r="L429" i="9"/>
  <c r="M429" i="9" s="1"/>
  <c r="L430" i="9"/>
  <c r="M430" i="9" s="1"/>
  <c r="L431" i="9"/>
  <c r="M431" i="9" s="1"/>
  <c r="L432" i="9"/>
  <c r="M432" i="9" s="1"/>
  <c r="L433" i="9"/>
  <c r="M433" i="9" s="1"/>
  <c r="L434" i="9"/>
  <c r="M434" i="9" s="1"/>
  <c r="L435" i="9"/>
  <c r="M435" i="9" s="1"/>
  <c r="L436" i="9"/>
  <c r="M436" i="9" s="1"/>
  <c r="L437" i="9"/>
  <c r="M437" i="9" s="1"/>
  <c r="L438" i="9"/>
  <c r="M438" i="9" s="1"/>
  <c r="L439" i="9"/>
  <c r="M439" i="9" s="1"/>
  <c r="L440" i="9"/>
  <c r="M440" i="9" s="1"/>
  <c r="N1748" i="9" s="1"/>
  <c r="L441" i="9"/>
  <c r="M441" i="9" s="1"/>
  <c r="L442" i="9"/>
  <c r="M442" i="9" s="1"/>
  <c r="L443" i="9"/>
  <c r="M443" i="9" s="1"/>
  <c r="L444" i="9"/>
  <c r="M444" i="9" s="1"/>
  <c r="L445" i="9"/>
  <c r="M445" i="9" s="1"/>
  <c r="L446" i="9"/>
  <c r="M446" i="9" s="1"/>
  <c r="L447" i="9"/>
  <c r="M447" i="9" s="1"/>
  <c r="L448" i="9"/>
  <c r="M448" i="9" s="1"/>
  <c r="L449" i="9"/>
  <c r="M449" i="9" s="1"/>
  <c r="L450" i="9"/>
  <c r="M450" i="9" s="1"/>
  <c r="L451" i="9"/>
  <c r="M451" i="9" s="1"/>
  <c r="L452" i="9"/>
  <c r="M452" i="9" s="1"/>
  <c r="N1751" i="9" s="1"/>
  <c r="L453" i="9"/>
  <c r="M453" i="9" s="1"/>
  <c r="L454" i="9"/>
  <c r="M454" i="9" s="1"/>
  <c r="L455" i="9"/>
  <c r="M455" i="9" s="1"/>
  <c r="L456" i="9"/>
  <c r="M456" i="9" s="1"/>
  <c r="L457" i="9"/>
  <c r="M457" i="9" s="1"/>
  <c r="L458" i="9"/>
  <c r="M458" i="9" s="1"/>
  <c r="L459" i="9"/>
  <c r="M459" i="9" s="1"/>
  <c r="L460" i="9"/>
  <c r="M460" i="9" s="1"/>
  <c r="L461" i="9"/>
  <c r="M461" i="9" s="1"/>
  <c r="L462" i="9"/>
  <c r="M462" i="9" s="1"/>
  <c r="L463" i="9"/>
  <c r="M463" i="9" s="1"/>
  <c r="L464" i="9"/>
  <c r="M464" i="9" s="1"/>
  <c r="L465" i="9"/>
  <c r="M465" i="9" s="1"/>
  <c r="L466" i="9"/>
  <c r="M466" i="9" s="1"/>
  <c r="L467" i="9"/>
  <c r="M467" i="9" s="1"/>
  <c r="L468" i="9"/>
  <c r="M468" i="9" s="1"/>
  <c r="L469" i="9"/>
  <c r="M469" i="9" s="1"/>
  <c r="L470" i="9"/>
  <c r="M470" i="9" s="1"/>
  <c r="L471" i="9"/>
  <c r="M471" i="9" s="1"/>
  <c r="L472" i="9"/>
  <c r="M472" i="9" s="1"/>
  <c r="L473" i="9"/>
  <c r="M473" i="9" s="1"/>
  <c r="L474" i="9"/>
  <c r="M474" i="9" s="1"/>
  <c r="L475" i="9"/>
  <c r="M475" i="9" s="1"/>
  <c r="L476" i="9"/>
  <c r="M476" i="9" s="1"/>
  <c r="L477" i="9"/>
  <c r="M477" i="9" s="1"/>
  <c r="L478" i="9"/>
  <c r="M478" i="9" s="1"/>
  <c r="L479" i="9"/>
  <c r="M479" i="9" s="1"/>
  <c r="L480" i="9"/>
  <c r="M480" i="9" s="1"/>
  <c r="L481" i="9"/>
  <c r="M481" i="9" s="1"/>
  <c r="L482" i="9"/>
  <c r="M482" i="9" s="1"/>
  <c r="L483" i="9"/>
  <c r="M483" i="9" s="1"/>
  <c r="L484" i="9"/>
  <c r="M484" i="9" s="1"/>
  <c r="L485" i="9"/>
  <c r="M485" i="9" s="1"/>
  <c r="L486" i="9"/>
  <c r="M486" i="9" s="1"/>
  <c r="L487" i="9"/>
  <c r="M487" i="9" s="1"/>
  <c r="L488" i="9"/>
  <c r="M488" i="9" s="1"/>
  <c r="N1753" i="9" s="1"/>
  <c r="L489" i="9"/>
  <c r="M489" i="9" s="1"/>
  <c r="N1705" i="9" s="1"/>
  <c r="L490" i="9"/>
  <c r="M490" i="9" s="1"/>
  <c r="L491" i="9"/>
  <c r="M491" i="9" s="1"/>
  <c r="L492" i="9"/>
  <c r="M492" i="9" s="1"/>
  <c r="N1729" i="9" s="1"/>
  <c r="L493" i="9"/>
  <c r="M493" i="9" s="1"/>
  <c r="L494" i="9"/>
  <c r="M494" i="9" s="1"/>
  <c r="L495" i="9"/>
  <c r="M495" i="9" s="1"/>
  <c r="L496" i="9"/>
  <c r="M496" i="9" s="1"/>
  <c r="L497" i="9"/>
  <c r="M497" i="9" s="1"/>
  <c r="L498" i="9"/>
  <c r="M498" i="9" s="1"/>
  <c r="L499" i="9"/>
  <c r="M499" i="9" s="1"/>
  <c r="L500" i="9"/>
  <c r="M500" i="9" s="1"/>
  <c r="L501" i="9"/>
  <c r="M501" i="9" s="1"/>
  <c r="L502" i="9"/>
  <c r="M502" i="9" s="1"/>
  <c r="L503" i="9"/>
  <c r="M503" i="9" s="1"/>
  <c r="L504" i="9"/>
  <c r="M504" i="9" s="1"/>
  <c r="L505" i="9"/>
  <c r="M505" i="9" s="1"/>
  <c r="L506" i="9"/>
  <c r="M506" i="9" s="1"/>
  <c r="L507" i="9"/>
  <c r="M507" i="9" s="1"/>
  <c r="L508" i="9"/>
  <c r="M508" i="9" s="1"/>
  <c r="L509" i="9"/>
  <c r="M509" i="9" s="1"/>
  <c r="L510" i="9"/>
  <c r="M510" i="9" s="1"/>
  <c r="L511" i="9"/>
  <c r="M511" i="9" s="1"/>
  <c r="L512" i="9"/>
  <c r="M512" i="9" s="1"/>
  <c r="L513" i="9"/>
  <c r="M513" i="9" s="1"/>
  <c r="L514" i="9"/>
  <c r="M514" i="9" s="1"/>
  <c r="L515" i="9"/>
  <c r="M515" i="9" s="1"/>
  <c r="L516" i="9"/>
  <c r="M516" i="9" s="1"/>
  <c r="L517" i="9"/>
  <c r="M517" i="9" s="1"/>
  <c r="L518" i="9"/>
  <c r="M518" i="9" s="1"/>
  <c r="L519" i="9"/>
  <c r="M519" i="9" s="1"/>
  <c r="L520" i="9"/>
  <c r="M520" i="9" s="1"/>
  <c r="L521" i="9"/>
  <c r="M521" i="9" s="1"/>
  <c r="L522" i="9"/>
  <c r="M522" i="9" s="1"/>
  <c r="L523" i="9"/>
  <c r="M523" i="9" s="1"/>
  <c r="L524" i="9"/>
  <c r="M524" i="9" s="1"/>
  <c r="L525" i="9"/>
  <c r="M525" i="9" s="1"/>
  <c r="L526" i="9"/>
  <c r="M526" i="9" s="1"/>
  <c r="L527" i="9"/>
  <c r="M527" i="9" s="1"/>
  <c r="L528" i="9"/>
  <c r="M528" i="9" s="1"/>
  <c r="L529" i="9"/>
  <c r="M529" i="9" s="1"/>
  <c r="L530" i="9"/>
  <c r="M530" i="9" s="1"/>
  <c r="L531" i="9"/>
  <c r="M531" i="9" s="1"/>
  <c r="L532" i="9"/>
  <c r="M532" i="9" s="1"/>
  <c r="L533" i="9"/>
  <c r="M533" i="9" s="1"/>
  <c r="L534" i="9"/>
  <c r="M534" i="9" s="1"/>
  <c r="L535" i="9"/>
  <c r="M535" i="9" s="1"/>
  <c r="L536" i="9"/>
  <c r="M536" i="9" s="1"/>
  <c r="L537" i="9"/>
  <c r="M537" i="9" s="1"/>
  <c r="L538" i="9"/>
  <c r="M538" i="9" s="1"/>
  <c r="L539" i="9"/>
  <c r="M539" i="9" s="1"/>
  <c r="L540" i="9"/>
  <c r="M540" i="9" s="1"/>
  <c r="L541" i="9"/>
  <c r="M541" i="9" s="1"/>
  <c r="L542" i="9"/>
  <c r="M542" i="9" s="1"/>
  <c r="L543" i="9"/>
  <c r="M543" i="9" s="1"/>
  <c r="L544" i="9"/>
  <c r="M544" i="9" s="1"/>
  <c r="L545" i="9"/>
  <c r="M545" i="9" s="1"/>
  <c r="L546" i="9"/>
  <c r="M546" i="9" s="1"/>
  <c r="L547" i="9"/>
  <c r="M547" i="9" s="1"/>
  <c r="L548" i="9"/>
  <c r="M548" i="9" s="1"/>
  <c r="L549" i="9"/>
  <c r="M549" i="9" s="1"/>
  <c r="L550" i="9"/>
  <c r="M550" i="9" s="1"/>
  <c r="L551" i="9"/>
  <c r="M551" i="9" s="1"/>
  <c r="L552" i="9"/>
  <c r="M552" i="9" s="1"/>
  <c r="L553" i="9"/>
  <c r="M553" i="9" s="1"/>
  <c r="L554" i="9"/>
  <c r="M554" i="9" s="1"/>
  <c r="L555" i="9"/>
  <c r="M555" i="9" s="1"/>
  <c r="L556" i="9"/>
  <c r="M556" i="9" s="1"/>
  <c r="L557" i="9"/>
  <c r="M557" i="9" s="1"/>
  <c r="L558" i="9"/>
  <c r="M558" i="9" s="1"/>
  <c r="L559" i="9"/>
  <c r="M559" i="9" s="1"/>
  <c r="L560" i="9"/>
  <c r="M560" i="9" s="1"/>
  <c r="L561" i="9"/>
  <c r="M561" i="9" s="1"/>
  <c r="L562" i="9"/>
  <c r="M562" i="9" s="1"/>
  <c r="L563" i="9"/>
  <c r="M563" i="9" s="1"/>
  <c r="L564" i="9"/>
  <c r="M564" i="9" s="1"/>
  <c r="L565" i="9"/>
  <c r="M565" i="9" s="1"/>
  <c r="L566" i="9"/>
  <c r="M566" i="9" s="1"/>
  <c r="L567" i="9"/>
  <c r="M567" i="9" s="1"/>
  <c r="L568" i="9"/>
  <c r="M568" i="9" s="1"/>
  <c r="L569" i="9"/>
  <c r="M569" i="9" s="1"/>
  <c r="L570" i="9"/>
  <c r="M570" i="9" s="1"/>
  <c r="L571" i="9"/>
  <c r="M571" i="9" s="1"/>
  <c r="L572" i="9"/>
  <c r="M572" i="9" s="1"/>
  <c r="L573" i="9"/>
  <c r="M573" i="9" s="1"/>
  <c r="L574" i="9"/>
  <c r="M574" i="9" s="1"/>
  <c r="L575" i="9"/>
  <c r="M575" i="9" s="1"/>
  <c r="L576" i="9"/>
  <c r="M576" i="9" s="1"/>
  <c r="L577" i="9"/>
  <c r="M577" i="9" s="1"/>
  <c r="L578" i="9"/>
  <c r="M578" i="9" s="1"/>
  <c r="L579" i="9"/>
  <c r="M579" i="9" s="1"/>
  <c r="L580" i="9"/>
  <c r="M580" i="9" s="1"/>
  <c r="L581" i="9"/>
  <c r="M581" i="9" s="1"/>
  <c r="L582" i="9"/>
  <c r="M582" i="9" s="1"/>
  <c r="L583" i="9"/>
  <c r="L584" i="9"/>
  <c r="M584" i="9" s="1"/>
  <c r="L585" i="9"/>
  <c r="M585" i="9" s="1"/>
  <c r="L586" i="9"/>
  <c r="M586" i="9" s="1"/>
  <c r="L587" i="9"/>
  <c r="M587" i="9" s="1"/>
  <c r="L588" i="9"/>
  <c r="M588" i="9" s="1"/>
  <c r="L589" i="9"/>
  <c r="M589" i="9" s="1"/>
  <c r="L590" i="9"/>
  <c r="M590" i="9" s="1"/>
  <c r="L591" i="9"/>
  <c r="M591" i="9" s="1"/>
  <c r="L592" i="9"/>
  <c r="M592" i="9" s="1"/>
  <c r="L593" i="9"/>
  <c r="M593" i="9" s="1"/>
  <c r="L594" i="9"/>
  <c r="M594" i="9" s="1"/>
  <c r="L595" i="9"/>
  <c r="M595" i="9" s="1"/>
  <c r="L596" i="9"/>
  <c r="M596" i="9" s="1"/>
  <c r="N1754" i="9" s="1"/>
  <c r="L597" i="9"/>
  <c r="M597" i="9" s="1"/>
  <c r="L598" i="9"/>
  <c r="M598" i="9" s="1"/>
  <c r="L599" i="9"/>
  <c r="M599" i="9" s="1"/>
  <c r="L600" i="9"/>
  <c r="M600" i="9" s="1"/>
  <c r="L601" i="9"/>
  <c r="M601" i="9" s="1"/>
  <c r="L602" i="9"/>
  <c r="M602" i="9" s="1"/>
  <c r="L603" i="9"/>
  <c r="M603" i="9" s="1"/>
  <c r="L604" i="9"/>
  <c r="M604" i="9" s="1"/>
  <c r="L605" i="9"/>
  <c r="M605" i="9" s="1"/>
  <c r="L606" i="9"/>
  <c r="M606" i="9" s="1"/>
  <c r="L607" i="9"/>
  <c r="M607" i="9" s="1"/>
  <c r="L608" i="9"/>
  <c r="M608" i="9" s="1"/>
  <c r="L609" i="9"/>
  <c r="M609" i="9" s="1"/>
  <c r="L610" i="9"/>
  <c r="M610" i="9" s="1"/>
  <c r="L611" i="9"/>
  <c r="M611" i="9" s="1"/>
  <c r="L612" i="9"/>
  <c r="M612" i="9" s="1"/>
  <c r="L613" i="9"/>
  <c r="M613" i="9" s="1"/>
  <c r="L614" i="9"/>
  <c r="M614" i="9" s="1"/>
  <c r="L615" i="9"/>
  <c r="M615" i="9" s="1"/>
  <c r="L616" i="9"/>
  <c r="M616" i="9" s="1"/>
  <c r="L617" i="9"/>
  <c r="M617" i="9" s="1"/>
  <c r="L618" i="9"/>
  <c r="M618" i="9" s="1"/>
  <c r="L619" i="9"/>
  <c r="M619" i="9" s="1"/>
  <c r="L620" i="9"/>
  <c r="M620" i="9" s="1"/>
  <c r="L621" i="9"/>
  <c r="M621" i="9" s="1"/>
  <c r="L622" i="9"/>
  <c r="M622" i="9" s="1"/>
  <c r="L623" i="9"/>
  <c r="M623" i="9" s="1"/>
  <c r="L624" i="9"/>
  <c r="M624" i="9" s="1"/>
  <c r="L625" i="9"/>
  <c r="M625" i="9" s="1"/>
  <c r="L626" i="9"/>
  <c r="M626" i="9" s="1"/>
  <c r="L627" i="9"/>
  <c r="M627" i="9" s="1"/>
  <c r="L628" i="9"/>
  <c r="M628" i="9" s="1"/>
  <c r="L629" i="9"/>
  <c r="M629" i="9" s="1"/>
  <c r="L630" i="9"/>
  <c r="M630" i="9" s="1"/>
  <c r="N1752" i="9" s="1"/>
  <c r="L631" i="9"/>
  <c r="M631" i="9" s="1"/>
  <c r="N1756" i="9" s="1"/>
  <c r="L632" i="9"/>
  <c r="M632" i="9" s="1"/>
  <c r="L633" i="9"/>
  <c r="M633" i="9" s="1"/>
  <c r="N1808" i="9" s="1"/>
  <c r="L634" i="9"/>
  <c r="M634" i="9" s="1"/>
  <c r="L635" i="9"/>
  <c r="M635" i="9" s="1"/>
  <c r="L636" i="9"/>
  <c r="M636" i="9" s="1"/>
  <c r="L637" i="9"/>
  <c r="M637" i="9" s="1"/>
  <c r="L638" i="9"/>
  <c r="M638" i="9" s="1"/>
  <c r="L639" i="9"/>
  <c r="M639" i="9" s="1"/>
  <c r="L640" i="9"/>
  <c r="M640" i="9" s="1"/>
  <c r="L641" i="9"/>
  <c r="M641" i="9" s="1"/>
  <c r="L642" i="9"/>
  <c r="M642" i="9" s="1"/>
  <c r="L643" i="9"/>
  <c r="M643" i="9" s="1"/>
  <c r="L644" i="9"/>
  <c r="M644" i="9" s="1"/>
  <c r="L645" i="9"/>
  <c r="M645" i="9" s="1"/>
  <c r="L646" i="9"/>
  <c r="M646" i="9" s="1"/>
  <c r="L647" i="9"/>
  <c r="M647" i="9" s="1"/>
  <c r="L648" i="9"/>
  <c r="M648" i="9" s="1"/>
  <c r="L649" i="9"/>
  <c r="M649" i="9" s="1"/>
  <c r="L650" i="9"/>
  <c r="M650" i="9" s="1"/>
  <c r="L651" i="9"/>
  <c r="M651" i="9" s="1"/>
  <c r="L652" i="9"/>
  <c r="M652" i="9" s="1"/>
  <c r="L653" i="9"/>
  <c r="M653" i="9" s="1"/>
  <c r="L654" i="9"/>
  <c r="M654" i="9" s="1"/>
  <c r="L655" i="9"/>
  <c r="M655" i="9" s="1"/>
  <c r="L656" i="9"/>
  <c r="M656" i="9" s="1"/>
  <c r="L657" i="9"/>
  <c r="M657" i="9" s="1"/>
  <c r="L658" i="9"/>
  <c r="M658" i="9" s="1"/>
  <c r="L659" i="9"/>
  <c r="M659" i="9" s="1"/>
  <c r="L660" i="9"/>
  <c r="M660" i="9" s="1"/>
  <c r="L661" i="9"/>
  <c r="M661" i="9" s="1"/>
  <c r="L662" i="9"/>
  <c r="M662" i="9" s="1"/>
  <c r="L663" i="9"/>
  <c r="M663" i="9" s="1"/>
  <c r="L664" i="9"/>
  <c r="M664" i="9" s="1"/>
  <c r="L665" i="9"/>
  <c r="M665" i="9" s="1"/>
  <c r="L666" i="9"/>
  <c r="M666" i="9" s="1"/>
  <c r="L667" i="9"/>
  <c r="M667" i="9" s="1"/>
  <c r="L668" i="9"/>
  <c r="M668" i="9" s="1"/>
  <c r="N1758" i="9" s="1"/>
  <c r="L669" i="9"/>
  <c r="M669" i="9" s="1"/>
  <c r="L670" i="9"/>
  <c r="M670" i="9" s="1"/>
  <c r="L671" i="9"/>
  <c r="M671" i="9" s="1"/>
  <c r="L672" i="9"/>
  <c r="M672" i="9" s="1"/>
  <c r="L673" i="9"/>
  <c r="M673" i="9" s="1"/>
  <c r="L674" i="9"/>
  <c r="M674" i="9" s="1"/>
  <c r="L675" i="9"/>
  <c r="M675" i="9" s="1"/>
  <c r="L676" i="9"/>
  <c r="M676" i="9" s="1"/>
  <c r="L677" i="9"/>
  <c r="M677" i="9" s="1"/>
  <c r="L678" i="9"/>
  <c r="M678" i="9" s="1"/>
  <c r="L679" i="9"/>
  <c r="M679" i="9" s="1"/>
  <c r="L680" i="9"/>
  <c r="M680" i="9" s="1"/>
  <c r="L681" i="9"/>
  <c r="M681" i="9" s="1"/>
  <c r="L682" i="9"/>
  <c r="M682" i="9" s="1"/>
  <c r="L683" i="9"/>
  <c r="M683" i="9" s="1"/>
  <c r="L684" i="9"/>
  <c r="M684" i="9" s="1"/>
  <c r="L685" i="9"/>
  <c r="M685" i="9" s="1"/>
  <c r="L686" i="9"/>
  <c r="M686" i="9" s="1"/>
  <c r="L687" i="9"/>
  <c r="M687" i="9" s="1"/>
  <c r="L688" i="9"/>
  <c r="M688" i="9" s="1"/>
  <c r="L689" i="9"/>
  <c r="M689" i="9" s="1"/>
  <c r="L690" i="9"/>
  <c r="M690" i="9" s="1"/>
  <c r="L691" i="9"/>
  <c r="M691" i="9" s="1"/>
  <c r="L692" i="9"/>
  <c r="M692" i="9" s="1"/>
  <c r="L693" i="9"/>
  <c r="M693" i="9" s="1"/>
  <c r="L694" i="9"/>
  <c r="M694" i="9" s="1"/>
  <c r="L695" i="9"/>
  <c r="M695" i="9" s="1"/>
  <c r="L696" i="9"/>
  <c r="M696" i="9" s="1"/>
  <c r="L697" i="9"/>
  <c r="M697" i="9" s="1"/>
  <c r="L698" i="9"/>
  <c r="M698" i="9" s="1"/>
  <c r="L699" i="9"/>
  <c r="M699" i="9" s="1"/>
  <c r="L700" i="9"/>
  <c r="M700" i="9" s="1"/>
  <c r="L701" i="9"/>
  <c r="M701" i="9" s="1"/>
  <c r="L702" i="9"/>
  <c r="M702" i="9" s="1"/>
  <c r="L703" i="9"/>
  <c r="M703" i="9" s="1"/>
  <c r="L704" i="9"/>
  <c r="M704" i="9" s="1"/>
  <c r="L705" i="9"/>
  <c r="M705" i="9" s="1"/>
  <c r="L706" i="9"/>
  <c r="M706" i="9" s="1"/>
  <c r="L707" i="9"/>
  <c r="M707" i="9" s="1"/>
  <c r="L708" i="9"/>
  <c r="M708" i="9" s="1"/>
  <c r="L709" i="9"/>
  <c r="M709" i="9" s="1"/>
  <c r="L710" i="9"/>
  <c r="M710" i="9" s="1"/>
  <c r="L711" i="9"/>
  <c r="M711" i="9" s="1"/>
  <c r="L712" i="9"/>
  <c r="M712" i="9" s="1"/>
  <c r="L713" i="9"/>
  <c r="M713" i="9" s="1"/>
  <c r="L714" i="9"/>
  <c r="M714" i="9" s="1"/>
  <c r="L715" i="9"/>
  <c r="M715" i="9" s="1"/>
  <c r="L716" i="9"/>
  <c r="M716" i="9" s="1"/>
  <c r="L717" i="9"/>
  <c r="M717" i="9" s="1"/>
  <c r="L718" i="9"/>
  <c r="M718" i="9" s="1"/>
  <c r="L719" i="9"/>
  <c r="M719" i="9" s="1"/>
  <c r="L720" i="9"/>
  <c r="M720" i="9" s="1"/>
  <c r="L721" i="9"/>
  <c r="M721" i="9" s="1"/>
  <c r="L722" i="9"/>
  <c r="M722" i="9" s="1"/>
  <c r="L723" i="9"/>
  <c r="M723" i="9" s="1"/>
  <c r="L724" i="9"/>
  <c r="M724" i="9" s="1"/>
  <c r="L725" i="9"/>
  <c r="M725" i="9" s="1"/>
  <c r="L726" i="9"/>
  <c r="M726" i="9" s="1"/>
  <c r="L727" i="9"/>
  <c r="M727" i="9" s="1"/>
  <c r="L728" i="9"/>
  <c r="M728" i="9" s="1"/>
  <c r="L729" i="9"/>
  <c r="M729" i="9" s="1"/>
  <c r="L730" i="9"/>
  <c r="M730" i="9" s="1"/>
  <c r="L731" i="9"/>
  <c r="M731" i="9" s="1"/>
  <c r="L732" i="9"/>
  <c r="M732" i="9" s="1"/>
  <c r="L733" i="9"/>
  <c r="M733" i="9" s="1"/>
  <c r="L734" i="9"/>
  <c r="M734" i="9" s="1"/>
  <c r="L735" i="9"/>
  <c r="M735" i="9" s="1"/>
  <c r="N1760" i="9" s="1"/>
  <c r="L736" i="9"/>
  <c r="M736" i="9" s="1"/>
  <c r="L737" i="9"/>
  <c r="M737" i="9" s="1"/>
  <c r="L738" i="9"/>
  <c r="M738" i="9" s="1"/>
  <c r="L739" i="9"/>
  <c r="M739" i="9" s="1"/>
  <c r="L740" i="9"/>
  <c r="M740" i="9" s="1"/>
  <c r="L741" i="9"/>
  <c r="M741" i="9" s="1"/>
  <c r="L742" i="9"/>
  <c r="M742" i="9" s="1"/>
  <c r="L743" i="9"/>
  <c r="M743" i="9" s="1"/>
  <c r="L744" i="9"/>
  <c r="M744" i="9" s="1"/>
  <c r="L745" i="9"/>
  <c r="M745" i="9" s="1"/>
  <c r="L746" i="9"/>
  <c r="M746" i="9" s="1"/>
  <c r="L747" i="9"/>
  <c r="M747" i="9" s="1"/>
  <c r="L748" i="9"/>
  <c r="M748" i="9" s="1"/>
  <c r="L749" i="9"/>
  <c r="M749" i="9" s="1"/>
  <c r="L750" i="9"/>
  <c r="M750" i="9" s="1"/>
  <c r="L751" i="9"/>
  <c r="M751" i="9" s="1"/>
  <c r="L752" i="9"/>
  <c r="M752" i="9" s="1"/>
  <c r="L753" i="9"/>
  <c r="M753" i="9" s="1"/>
  <c r="L754" i="9"/>
  <c r="M754" i="9" s="1"/>
  <c r="L755" i="9"/>
  <c r="M755" i="9" s="1"/>
  <c r="L756" i="9"/>
  <c r="M756" i="9" s="1"/>
  <c r="L757" i="9"/>
  <c r="M757" i="9" s="1"/>
  <c r="L758" i="9"/>
  <c r="M758" i="9" s="1"/>
  <c r="L759" i="9"/>
  <c r="M759" i="9" s="1"/>
  <c r="L760" i="9"/>
  <c r="M760" i="9" s="1"/>
  <c r="L761" i="9"/>
  <c r="M761" i="9" s="1"/>
  <c r="L762" i="9"/>
  <c r="M762" i="9" s="1"/>
  <c r="L763" i="9"/>
  <c r="M763" i="9" s="1"/>
  <c r="L764" i="9"/>
  <c r="M764" i="9" s="1"/>
  <c r="N1763" i="9" s="1"/>
  <c r="L765" i="9"/>
  <c r="M765" i="9" s="1"/>
  <c r="L766" i="9"/>
  <c r="M766" i="9" s="1"/>
  <c r="L767" i="9"/>
  <c r="M767" i="9" s="1"/>
  <c r="L768" i="9"/>
  <c r="L769" i="9"/>
  <c r="M769" i="9" s="1"/>
  <c r="L770" i="9"/>
  <c r="M770" i="9" s="1"/>
  <c r="L771" i="9"/>
  <c r="M771" i="9" s="1"/>
  <c r="N1765" i="9" s="1"/>
  <c r="L772" i="9"/>
  <c r="M772" i="9" s="1"/>
  <c r="L773" i="9"/>
  <c r="M773" i="9" s="1"/>
  <c r="L774" i="9"/>
  <c r="M774" i="9" s="1"/>
  <c r="L775" i="9"/>
  <c r="M775" i="9" s="1"/>
  <c r="L776" i="9"/>
  <c r="M776" i="9" s="1"/>
  <c r="L777" i="9"/>
  <c r="M777" i="9" s="1"/>
  <c r="L778" i="9"/>
  <c r="M778" i="9" s="1"/>
  <c r="L779" i="9"/>
  <c r="M779" i="9" s="1"/>
  <c r="L780" i="9"/>
  <c r="M780" i="9" s="1"/>
  <c r="L781" i="9"/>
  <c r="M781" i="9" s="1"/>
  <c r="L782" i="9"/>
  <c r="M782" i="9" s="1"/>
  <c r="L783" i="9"/>
  <c r="M783" i="9" s="1"/>
  <c r="L784" i="9"/>
  <c r="M784" i="9" s="1"/>
  <c r="L785" i="9"/>
  <c r="M785" i="9" s="1"/>
  <c r="L786" i="9"/>
  <c r="M786" i="9" s="1"/>
  <c r="L787" i="9"/>
  <c r="M787" i="9" s="1"/>
  <c r="L788" i="9"/>
  <c r="M788" i="9" s="1"/>
  <c r="L789" i="9"/>
  <c r="M789" i="9" s="1"/>
  <c r="L790" i="9"/>
  <c r="M790" i="9" s="1"/>
  <c r="L791" i="9"/>
  <c r="M791" i="9" s="1"/>
  <c r="N1766" i="9" s="1"/>
  <c r="L792" i="9"/>
  <c r="M792" i="9" s="1"/>
  <c r="N1779" i="9" s="1"/>
  <c r="L793" i="9"/>
  <c r="M793" i="9" s="1"/>
  <c r="L794" i="9"/>
  <c r="M794" i="9" s="1"/>
  <c r="L795" i="9"/>
  <c r="M795" i="9" s="1"/>
  <c r="L796" i="9"/>
  <c r="M796" i="9" s="1"/>
  <c r="L797" i="9"/>
  <c r="M797" i="9" s="1"/>
  <c r="L798" i="9"/>
  <c r="M798" i="9" s="1"/>
  <c r="L799" i="9"/>
  <c r="M799" i="9" s="1"/>
  <c r="L800" i="9"/>
  <c r="M800" i="9" s="1"/>
  <c r="L801" i="9"/>
  <c r="L802" i="9"/>
  <c r="M802" i="9" s="1"/>
  <c r="L803" i="9"/>
  <c r="M803" i="9" s="1"/>
  <c r="L804" i="9"/>
  <c r="M804" i="9" s="1"/>
  <c r="L805" i="9"/>
  <c r="M805" i="9" s="1"/>
  <c r="L806" i="9"/>
  <c r="M806" i="9" s="1"/>
  <c r="L807" i="9"/>
  <c r="M807" i="9" s="1"/>
  <c r="L808" i="9"/>
  <c r="M808" i="9" s="1"/>
  <c r="L809" i="9"/>
  <c r="M809" i="9" s="1"/>
  <c r="L810" i="9"/>
  <c r="M810" i="9" s="1"/>
  <c r="L811" i="9"/>
  <c r="M811" i="9" s="1"/>
  <c r="L812" i="9"/>
  <c r="M812" i="9" s="1"/>
  <c r="L813" i="9"/>
  <c r="M813" i="9" s="1"/>
  <c r="L814" i="9"/>
  <c r="M814" i="9" s="1"/>
  <c r="L815" i="9"/>
  <c r="M815" i="9" s="1"/>
  <c r="L816" i="9"/>
  <c r="M816" i="9" s="1"/>
  <c r="L817" i="9"/>
  <c r="M817" i="9" s="1"/>
  <c r="L818" i="9"/>
  <c r="M818" i="9" s="1"/>
  <c r="L819" i="9"/>
  <c r="M819" i="9" s="1"/>
  <c r="L820" i="9"/>
  <c r="M820" i="9" s="1"/>
  <c r="L821" i="9"/>
  <c r="M821" i="9" s="1"/>
  <c r="L822" i="9"/>
  <c r="M822" i="9" s="1"/>
  <c r="L823" i="9"/>
  <c r="M823" i="9" s="1"/>
  <c r="L824" i="9"/>
  <c r="M824" i="9" s="1"/>
  <c r="N1767" i="9" s="1"/>
  <c r="L825" i="9"/>
  <c r="M825" i="9" s="1"/>
  <c r="L826" i="9"/>
  <c r="M826" i="9" s="1"/>
  <c r="L827" i="9"/>
  <c r="M827" i="9" s="1"/>
  <c r="L828" i="9"/>
  <c r="M828" i="9" s="1"/>
  <c r="L829" i="9"/>
  <c r="M829" i="9" s="1"/>
  <c r="L830" i="9"/>
  <c r="M830" i="9" s="1"/>
  <c r="L831" i="9"/>
  <c r="M831" i="9" s="1"/>
  <c r="L832" i="9"/>
  <c r="M832" i="9" s="1"/>
  <c r="L833" i="9"/>
  <c r="M833" i="9" s="1"/>
  <c r="L834" i="9"/>
  <c r="M834" i="9" s="1"/>
  <c r="L835" i="9"/>
  <c r="M835" i="9" s="1"/>
  <c r="L836" i="9"/>
  <c r="M836" i="9" s="1"/>
  <c r="L837" i="9"/>
  <c r="M837" i="9" s="1"/>
  <c r="L838" i="9"/>
  <c r="M838" i="9" s="1"/>
  <c r="L839" i="9"/>
  <c r="M839" i="9" s="1"/>
  <c r="L840" i="9"/>
  <c r="M840" i="9" s="1"/>
  <c r="L841" i="9"/>
  <c r="M841" i="9" s="1"/>
  <c r="L842" i="9"/>
  <c r="M842" i="9" s="1"/>
  <c r="L843" i="9"/>
  <c r="M843" i="9" s="1"/>
  <c r="L844" i="9"/>
  <c r="M844" i="9" s="1"/>
  <c r="L845" i="9"/>
  <c r="M845" i="9" s="1"/>
  <c r="L846" i="9"/>
  <c r="M846" i="9" s="1"/>
  <c r="L847" i="9"/>
  <c r="M847" i="9" s="1"/>
  <c r="L848" i="9"/>
  <c r="M848" i="9" s="1"/>
  <c r="L849" i="9"/>
  <c r="M849" i="9" s="1"/>
  <c r="L850" i="9"/>
  <c r="M850" i="9" s="1"/>
  <c r="L851" i="9"/>
  <c r="M851" i="9" s="1"/>
  <c r="L852" i="9"/>
  <c r="M852" i="9" s="1"/>
  <c r="L853" i="9"/>
  <c r="M853" i="9" s="1"/>
  <c r="L854" i="9"/>
  <c r="M854" i="9" s="1"/>
  <c r="L855" i="9"/>
  <c r="M855" i="9" s="1"/>
  <c r="L856" i="9"/>
  <c r="M856" i="9" s="1"/>
  <c r="L857" i="9"/>
  <c r="M857" i="9" s="1"/>
  <c r="L858" i="9"/>
  <c r="M858" i="9" s="1"/>
  <c r="L859" i="9"/>
  <c r="M859" i="9" s="1"/>
  <c r="L860" i="9"/>
  <c r="M860" i="9" s="1"/>
  <c r="L861" i="9"/>
  <c r="M861" i="9" s="1"/>
  <c r="L862" i="9"/>
  <c r="M862" i="9" s="1"/>
  <c r="L863" i="9"/>
  <c r="M863" i="9" s="1"/>
  <c r="L864" i="9"/>
  <c r="M864" i="9" s="1"/>
  <c r="L865" i="9"/>
  <c r="M865" i="9" s="1"/>
  <c r="L866" i="9"/>
  <c r="M866" i="9" s="1"/>
  <c r="L867" i="9"/>
  <c r="M867" i="9" s="1"/>
  <c r="L868" i="9"/>
  <c r="M868" i="9" s="1"/>
  <c r="L869" i="9"/>
  <c r="M869" i="9" s="1"/>
  <c r="L870" i="9"/>
  <c r="M870" i="9" s="1"/>
  <c r="L871" i="9"/>
  <c r="M871" i="9" s="1"/>
  <c r="L872" i="9"/>
  <c r="M872" i="9" s="1"/>
  <c r="L873" i="9"/>
  <c r="M873" i="9" s="1"/>
  <c r="L874" i="9"/>
  <c r="M874" i="9" s="1"/>
  <c r="L875" i="9"/>
  <c r="M875" i="9" s="1"/>
  <c r="L876" i="9"/>
  <c r="M876" i="9" s="1"/>
  <c r="L877" i="9"/>
  <c r="M877" i="9" s="1"/>
  <c r="L878" i="9"/>
  <c r="M878" i="9" s="1"/>
  <c r="L879" i="9"/>
  <c r="M879" i="9" s="1"/>
  <c r="L880" i="9"/>
  <c r="M880" i="9" s="1"/>
  <c r="L881" i="9"/>
  <c r="M881" i="9" s="1"/>
  <c r="L882" i="9"/>
  <c r="M882" i="9" s="1"/>
  <c r="L883" i="9"/>
  <c r="M883" i="9" s="1"/>
  <c r="L884" i="9"/>
  <c r="M884" i="9" s="1"/>
  <c r="L885" i="9"/>
  <c r="M885" i="9" s="1"/>
  <c r="L886" i="9"/>
  <c r="M886" i="9" s="1"/>
  <c r="L887" i="9"/>
  <c r="M887" i="9" s="1"/>
  <c r="L888" i="9"/>
  <c r="M888" i="9" s="1"/>
  <c r="L889" i="9"/>
  <c r="M889" i="9" s="1"/>
  <c r="L890" i="9"/>
  <c r="M890" i="9" s="1"/>
  <c r="L891" i="9"/>
  <c r="M891" i="9" s="1"/>
  <c r="L892" i="9"/>
  <c r="M892" i="9" s="1"/>
  <c r="L893" i="9"/>
  <c r="M893" i="9" s="1"/>
  <c r="L894" i="9"/>
  <c r="M894" i="9" s="1"/>
  <c r="L895" i="9"/>
  <c r="M895" i="9" s="1"/>
  <c r="L896" i="9"/>
  <c r="M896" i="9" s="1"/>
  <c r="L897" i="9"/>
  <c r="M897" i="9" s="1"/>
  <c r="L898" i="9"/>
  <c r="M898" i="9" s="1"/>
  <c r="L899" i="9"/>
  <c r="M899" i="9" s="1"/>
  <c r="L900" i="9"/>
  <c r="M900" i="9" s="1"/>
  <c r="L901" i="9"/>
  <c r="M901" i="9" s="1"/>
  <c r="L902" i="9"/>
  <c r="M902" i="9" s="1"/>
  <c r="L903" i="9"/>
  <c r="M903" i="9" s="1"/>
  <c r="L904" i="9"/>
  <c r="M904" i="9" s="1"/>
  <c r="L905" i="9"/>
  <c r="M905" i="9" s="1"/>
  <c r="L906" i="9"/>
  <c r="M906" i="9" s="1"/>
  <c r="L907" i="9"/>
  <c r="M907" i="9" s="1"/>
  <c r="L908" i="9"/>
  <c r="M908" i="9" s="1"/>
  <c r="L909" i="9"/>
  <c r="M909" i="9" s="1"/>
  <c r="L910" i="9"/>
  <c r="M910" i="9" s="1"/>
  <c r="L911" i="9"/>
  <c r="M911" i="9" s="1"/>
  <c r="L912" i="9"/>
  <c r="M912" i="9" s="1"/>
  <c r="L913" i="9"/>
  <c r="M913" i="9" s="1"/>
  <c r="L914" i="9"/>
  <c r="M914" i="9" s="1"/>
  <c r="L915" i="9"/>
  <c r="M915" i="9" s="1"/>
  <c r="L916" i="9"/>
  <c r="M916" i="9" s="1"/>
  <c r="L917" i="9"/>
  <c r="M917" i="9" s="1"/>
  <c r="L918" i="9"/>
  <c r="M918" i="9" s="1"/>
  <c r="L919" i="9"/>
  <c r="M919" i="9" s="1"/>
  <c r="L920" i="9"/>
  <c r="M920" i="9" s="1"/>
  <c r="L921" i="9"/>
  <c r="M921" i="9" s="1"/>
  <c r="L922" i="9"/>
  <c r="M922" i="9" s="1"/>
  <c r="L923" i="9"/>
  <c r="M923" i="9" s="1"/>
  <c r="L924" i="9"/>
  <c r="M924" i="9" s="1"/>
  <c r="L925" i="9"/>
  <c r="M925" i="9" s="1"/>
  <c r="L926" i="9"/>
  <c r="M926" i="9" s="1"/>
  <c r="L927" i="9"/>
  <c r="M927" i="9" s="1"/>
  <c r="L928" i="9"/>
  <c r="M928" i="9" s="1"/>
  <c r="L929" i="9"/>
  <c r="M929" i="9" s="1"/>
  <c r="L930" i="9"/>
  <c r="M930" i="9" s="1"/>
  <c r="L931" i="9"/>
  <c r="M931" i="9" s="1"/>
  <c r="L932" i="9"/>
  <c r="M932" i="9" s="1"/>
  <c r="L933" i="9"/>
  <c r="M933" i="9" s="1"/>
  <c r="L934" i="9"/>
  <c r="M934" i="9" s="1"/>
  <c r="L935" i="9"/>
  <c r="M935" i="9" s="1"/>
  <c r="L936" i="9"/>
  <c r="M936" i="9" s="1"/>
  <c r="L937" i="9"/>
  <c r="L938" i="9"/>
  <c r="M938" i="9" s="1"/>
  <c r="L939" i="9"/>
  <c r="M939" i="9" s="1"/>
  <c r="L940" i="9"/>
  <c r="M940" i="9" s="1"/>
  <c r="L941" i="9"/>
  <c r="M941" i="9" s="1"/>
  <c r="L942" i="9"/>
  <c r="M942" i="9" s="1"/>
  <c r="L943" i="9"/>
  <c r="M943" i="9" s="1"/>
  <c r="N1768" i="9" s="1"/>
  <c r="L944" i="9"/>
  <c r="M944" i="9" s="1"/>
  <c r="L945" i="9"/>
  <c r="M945" i="9" s="1"/>
  <c r="L946" i="9"/>
  <c r="M946" i="9" s="1"/>
  <c r="L947" i="9"/>
  <c r="M947" i="9" s="1"/>
  <c r="L948" i="9"/>
  <c r="M948" i="9" s="1"/>
  <c r="L949" i="9"/>
  <c r="M949" i="9" s="1"/>
  <c r="L950" i="9"/>
  <c r="M950" i="9" s="1"/>
  <c r="L951" i="9"/>
  <c r="M951" i="9" s="1"/>
  <c r="L952" i="9"/>
  <c r="M952" i="9" s="1"/>
  <c r="N1757" i="9" s="1"/>
  <c r="L953" i="9"/>
  <c r="M953" i="9" s="1"/>
  <c r="L954" i="9"/>
  <c r="M954" i="9" s="1"/>
  <c r="N1773" i="9" s="1"/>
  <c r="L955" i="9"/>
  <c r="M955" i="9" s="1"/>
  <c r="L956" i="9"/>
  <c r="M956" i="9" s="1"/>
  <c r="N1770" i="9" s="1"/>
  <c r="L957" i="9"/>
  <c r="M957" i="9" s="1"/>
  <c r="N1714" i="9" s="1"/>
  <c r="L958" i="9"/>
  <c r="M958" i="9" s="1"/>
  <c r="N1723" i="9" s="1"/>
  <c r="L959" i="9"/>
  <c r="M959" i="9" s="1"/>
  <c r="N1772" i="9" s="1"/>
  <c r="L960" i="9"/>
  <c r="M960" i="9" s="1"/>
  <c r="L961" i="9"/>
  <c r="M961" i="9" s="1"/>
  <c r="N1742" i="9" s="1"/>
  <c r="L962" i="9"/>
  <c r="M962" i="9" s="1"/>
  <c r="N1745" i="9" s="1"/>
  <c r="L963" i="9"/>
  <c r="M963" i="9" s="1"/>
  <c r="L964" i="9"/>
  <c r="M964" i="9" s="1"/>
  <c r="L965" i="9"/>
  <c r="M965" i="9" s="1"/>
  <c r="L966" i="9"/>
  <c r="M966" i="9" s="1"/>
  <c r="L967" i="9"/>
  <c r="M967" i="9" s="1"/>
  <c r="N1709" i="9" s="1"/>
  <c r="L968" i="9"/>
  <c r="M968" i="9" s="1"/>
  <c r="L969" i="9"/>
  <c r="M969" i="9" s="1"/>
  <c r="L970" i="9"/>
  <c r="M970" i="9" s="1"/>
  <c r="N1739" i="9" s="1"/>
  <c r="L971" i="9"/>
  <c r="M971" i="9" s="1"/>
  <c r="L972" i="9"/>
  <c r="M972" i="9" s="1"/>
  <c r="N1769" i="9" s="1"/>
  <c r="L973" i="9"/>
  <c r="M973" i="9" s="1"/>
  <c r="L974" i="9"/>
  <c r="M974" i="9" s="1"/>
  <c r="L975" i="9"/>
  <c r="M975" i="9" s="1"/>
  <c r="L976" i="9"/>
  <c r="M976" i="9" s="1"/>
  <c r="L977" i="9"/>
  <c r="M977" i="9" s="1"/>
  <c r="L978" i="9"/>
  <c r="M978" i="9" s="1"/>
  <c r="L979" i="9"/>
  <c r="M979" i="9" s="1"/>
  <c r="L980" i="9"/>
  <c r="M980" i="9" s="1"/>
  <c r="N1775" i="9" s="1"/>
  <c r="L981" i="9"/>
  <c r="M981" i="9" s="1"/>
  <c r="L982" i="9"/>
  <c r="M982" i="9" s="1"/>
  <c r="L983" i="9"/>
  <c r="M983" i="9" s="1"/>
  <c r="L984" i="9"/>
  <c r="M984" i="9" s="1"/>
  <c r="L985" i="9"/>
  <c r="M985" i="9" s="1"/>
  <c r="L986" i="9"/>
  <c r="M986" i="9" s="1"/>
  <c r="L987" i="9"/>
  <c r="M987" i="9" s="1"/>
  <c r="L988" i="9"/>
  <c r="M988" i="9" s="1"/>
  <c r="L989" i="9"/>
  <c r="M989" i="9" s="1"/>
  <c r="L990" i="9"/>
  <c r="M990" i="9" s="1"/>
  <c r="L991" i="9"/>
  <c r="M991" i="9" s="1"/>
  <c r="L992" i="9"/>
  <c r="M992" i="9" s="1"/>
  <c r="L993" i="9"/>
  <c r="M993" i="9" s="1"/>
  <c r="L994" i="9"/>
  <c r="M994" i="9" s="1"/>
  <c r="L995" i="9"/>
  <c r="M995" i="9" s="1"/>
  <c r="L996" i="9"/>
  <c r="M996" i="9" s="1"/>
  <c r="L997" i="9"/>
  <c r="M997" i="9" s="1"/>
  <c r="L998" i="9"/>
  <c r="M998" i="9" s="1"/>
  <c r="L999" i="9"/>
  <c r="M999" i="9" s="1"/>
  <c r="L1000" i="9"/>
  <c r="M1000" i="9" s="1"/>
  <c r="L1001" i="9"/>
  <c r="M1001" i="9" s="1"/>
  <c r="L1002" i="9"/>
  <c r="M1002" i="9" s="1"/>
  <c r="L1003" i="9"/>
  <c r="M1003" i="9" s="1"/>
  <c r="L1004" i="9"/>
  <c r="M1004" i="9" s="1"/>
  <c r="L1005" i="9"/>
  <c r="M1005" i="9" s="1"/>
  <c r="L1006" i="9"/>
  <c r="M1006" i="9" s="1"/>
  <c r="L1007" i="9"/>
  <c r="M1007" i="9" s="1"/>
  <c r="L1008" i="9"/>
  <c r="M1008" i="9" s="1"/>
  <c r="L1009" i="9"/>
  <c r="M1009" i="9" s="1"/>
  <c r="L1010" i="9"/>
  <c r="M1010" i="9" s="1"/>
  <c r="L1011" i="9"/>
  <c r="M1011" i="9" s="1"/>
  <c r="L1012" i="9"/>
  <c r="M1012" i="9" s="1"/>
  <c r="L1013" i="9"/>
  <c r="M1013" i="9" s="1"/>
  <c r="L1014" i="9"/>
  <c r="M1014" i="9" s="1"/>
  <c r="L1015" i="9"/>
  <c r="M1015" i="9" s="1"/>
  <c r="L1016" i="9"/>
  <c r="M1016" i="9" s="1"/>
  <c r="L1017" i="9"/>
  <c r="M1017" i="9" s="1"/>
  <c r="L1018" i="9"/>
  <c r="M1018" i="9" s="1"/>
  <c r="L1019" i="9"/>
  <c r="M1019" i="9" s="1"/>
  <c r="L1020" i="9"/>
  <c r="M1020" i="9" s="1"/>
  <c r="L1021" i="9"/>
  <c r="M1021" i="9" s="1"/>
  <c r="L1022" i="9"/>
  <c r="M1022" i="9" s="1"/>
  <c r="L1023" i="9"/>
  <c r="M1023" i="9" s="1"/>
  <c r="L1024" i="9"/>
  <c r="M1024" i="9" s="1"/>
  <c r="L1025" i="9"/>
  <c r="M1025" i="9" s="1"/>
  <c r="L1026" i="9"/>
  <c r="M1026" i="9" s="1"/>
  <c r="L1027" i="9"/>
  <c r="M1027" i="9" s="1"/>
  <c r="L1028" i="9"/>
  <c r="M1028" i="9" s="1"/>
  <c r="L1029" i="9"/>
  <c r="M1029" i="9" s="1"/>
  <c r="L1030" i="9"/>
  <c r="M1030" i="9" s="1"/>
  <c r="L1031" i="9"/>
  <c r="M1031" i="9" s="1"/>
  <c r="L1032" i="9"/>
  <c r="M1032" i="9" s="1"/>
  <c r="L1033" i="9"/>
  <c r="M1033" i="9" s="1"/>
  <c r="L1034" i="9"/>
  <c r="M1034" i="9" s="1"/>
  <c r="L1035" i="9"/>
  <c r="M1035" i="9" s="1"/>
  <c r="L1036" i="9"/>
  <c r="M1036" i="9" s="1"/>
  <c r="L1037" i="9"/>
  <c r="M1037" i="9" s="1"/>
  <c r="L1038" i="9"/>
  <c r="M1038" i="9" s="1"/>
  <c r="L1039" i="9"/>
  <c r="M1039" i="9" s="1"/>
  <c r="L1040" i="9"/>
  <c r="M1040" i="9" s="1"/>
  <c r="L1041" i="9"/>
  <c r="M1041" i="9" s="1"/>
  <c r="L1042" i="9"/>
  <c r="M1042" i="9" s="1"/>
  <c r="L1043" i="9"/>
  <c r="M1043" i="9" s="1"/>
  <c r="L1044" i="9"/>
  <c r="M1044" i="9" s="1"/>
  <c r="L1045" i="9"/>
  <c r="M1045" i="9" s="1"/>
  <c r="L1046" i="9"/>
  <c r="M1046" i="9" s="1"/>
  <c r="L1047" i="9"/>
  <c r="M1047" i="9" s="1"/>
  <c r="L1048" i="9"/>
  <c r="M1048" i="9" s="1"/>
  <c r="L1049" i="9"/>
  <c r="M1049" i="9" s="1"/>
  <c r="L1050" i="9"/>
  <c r="M1050" i="9" s="1"/>
  <c r="L1051" i="9"/>
  <c r="M1051" i="9" s="1"/>
  <c r="N1776" i="9" s="1"/>
  <c r="L1052" i="9"/>
  <c r="M1052" i="9" s="1"/>
  <c r="L1053" i="9"/>
  <c r="M1053" i="9" s="1"/>
  <c r="L1054" i="9"/>
  <c r="M1054" i="9" s="1"/>
  <c r="L1055" i="9"/>
  <c r="M1055" i="9" s="1"/>
  <c r="L1056" i="9"/>
  <c r="M1056" i="9" s="1"/>
  <c r="L1057" i="9"/>
  <c r="M1057" i="9" s="1"/>
  <c r="L1058" i="9"/>
  <c r="M1058" i="9" s="1"/>
  <c r="L1059" i="9"/>
  <c r="M1059" i="9" s="1"/>
  <c r="L1060" i="9"/>
  <c r="M1060" i="9" s="1"/>
  <c r="L1061" i="9"/>
  <c r="M1061" i="9" s="1"/>
  <c r="L1062" i="9"/>
  <c r="M1062" i="9" s="1"/>
  <c r="L1063" i="9"/>
  <c r="L1064" i="9"/>
  <c r="M1064" i="9" s="1"/>
  <c r="L1065" i="9"/>
  <c r="M1065" i="9" s="1"/>
  <c r="L1066" i="9"/>
  <c r="M1066" i="9" s="1"/>
  <c r="L1067" i="9"/>
  <c r="M1067" i="9" s="1"/>
  <c r="L1068" i="9"/>
  <c r="M1068" i="9" s="1"/>
  <c r="L1069" i="9"/>
  <c r="M1069" i="9" s="1"/>
  <c r="L1070" i="9"/>
  <c r="M1070" i="9" s="1"/>
  <c r="L1071" i="9"/>
  <c r="M1071" i="9" s="1"/>
  <c r="L1072" i="9"/>
  <c r="M1072" i="9" s="1"/>
  <c r="L1073" i="9"/>
  <c r="M1073" i="9" s="1"/>
  <c r="L1074" i="9"/>
  <c r="M1074" i="9" s="1"/>
  <c r="L1075" i="9"/>
  <c r="M1075" i="9" s="1"/>
  <c r="L1076" i="9"/>
  <c r="M1076" i="9" s="1"/>
  <c r="L1077" i="9"/>
  <c r="M1077" i="9" s="1"/>
  <c r="L1078" i="9"/>
  <c r="M1078" i="9" s="1"/>
  <c r="L1079" i="9"/>
  <c r="M1079" i="9" s="1"/>
  <c r="L1080" i="9"/>
  <c r="M1080" i="9" s="1"/>
  <c r="L1081" i="9"/>
  <c r="M1081" i="9" s="1"/>
  <c r="L1082" i="9"/>
  <c r="M1082" i="9" s="1"/>
  <c r="L1083" i="9"/>
  <c r="M1083" i="9" s="1"/>
  <c r="L1084" i="9"/>
  <c r="M1084" i="9" s="1"/>
  <c r="L1085" i="9"/>
  <c r="M1085" i="9" s="1"/>
  <c r="L1086" i="9"/>
  <c r="M1086" i="9" s="1"/>
  <c r="L1087" i="9"/>
  <c r="M1087" i="9" s="1"/>
  <c r="N1778" i="9" s="1"/>
  <c r="L1088" i="9"/>
  <c r="M1088" i="9" s="1"/>
  <c r="L1089" i="9"/>
  <c r="M1089" i="9" s="1"/>
  <c r="L1090" i="9"/>
  <c r="M1090" i="9" s="1"/>
  <c r="L1091" i="9"/>
  <c r="M1091" i="9" s="1"/>
  <c r="L1092" i="9"/>
  <c r="M1092" i="9" s="1"/>
  <c r="L1093" i="9"/>
  <c r="M1093" i="9" s="1"/>
  <c r="L1094" i="9"/>
  <c r="M1094" i="9" s="1"/>
  <c r="L1095" i="9"/>
  <c r="M1095" i="9" s="1"/>
  <c r="L1096" i="9"/>
  <c r="M1096" i="9" s="1"/>
  <c r="L1097" i="9"/>
  <c r="M1097" i="9" s="1"/>
  <c r="L1098" i="9"/>
  <c r="M1098" i="9" s="1"/>
  <c r="L1099" i="9"/>
  <c r="M1099" i="9" s="1"/>
  <c r="L1100" i="9"/>
  <c r="M1100" i="9" s="1"/>
  <c r="L1101" i="9"/>
  <c r="M1101" i="9" s="1"/>
  <c r="L1102" i="9"/>
  <c r="M1102" i="9" s="1"/>
  <c r="L1103" i="9"/>
  <c r="M1103" i="9" s="1"/>
  <c r="L1104" i="9"/>
  <c r="M1104" i="9" s="1"/>
  <c r="L1105" i="9"/>
  <c r="M1105" i="9" s="1"/>
  <c r="L1106" i="9"/>
  <c r="M1106" i="9" s="1"/>
  <c r="L1107" i="9"/>
  <c r="M1107" i="9" s="1"/>
  <c r="L1108" i="9"/>
  <c r="M1108" i="9" s="1"/>
  <c r="L1109" i="9"/>
  <c r="M1109" i="9" s="1"/>
  <c r="L1110" i="9"/>
  <c r="M1110" i="9" s="1"/>
  <c r="L1111" i="9"/>
  <c r="M1111" i="9" s="1"/>
  <c r="L1112" i="9"/>
  <c r="M1112" i="9" s="1"/>
  <c r="N1781" i="9" s="1"/>
  <c r="L1113" i="9"/>
  <c r="M1113" i="9" s="1"/>
  <c r="L1114" i="9"/>
  <c r="M1114" i="9" s="1"/>
  <c r="L1115" i="9"/>
  <c r="M1115" i="9" s="1"/>
  <c r="N1782" i="9" s="1"/>
  <c r="L1116" i="9"/>
  <c r="M1116" i="9" s="1"/>
  <c r="L1117" i="9"/>
  <c r="M1117" i="9" s="1"/>
  <c r="L1118" i="9"/>
  <c r="M1118" i="9" s="1"/>
  <c r="L1119" i="9"/>
  <c r="M1119" i="9" s="1"/>
  <c r="L1120" i="9"/>
  <c r="M1120" i="9" s="1"/>
  <c r="L1121" i="9"/>
  <c r="M1121" i="9" s="1"/>
  <c r="L1122" i="9"/>
  <c r="M1122" i="9" s="1"/>
  <c r="L1123" i="9"/>
  <c r="M1123" i="9" s="1"/>
  <c r="L1124" i="9"/>
  <c r="M1124" i="9" s="1"/>
  <c r="L1125" i="9"/>
  <c r="M1125" i="9" s="1"/>
  <c r="L1126" i="9"/>
  <c r="M1126" i="9" s="1"/>
  <c r="L1127" i="9"/>
  <c r="M1127" i="9" s="1"/>
  <c r="L1128" i="9"/>
  <c r="M1128" i="9" s="1"/>
  <c r="L1129" i="9"/>
  <c r="M1129" i="9" s="1"/>
  <c r="L1130" i="9"/>
  <c r="M1130" i="9" s="1"/>
  <c r="L1131" i="9"/>
  <c r="M1131" i="9" s="1"/>
  <c r="L1132" i="9"/>
  <c r="M1132" i="9" s="1"/>
  <c r="L1133" i="9"/>
  <c r="M1133" i="9" s="1"/>
  <c r="L1134" i="9"/>
  <c r="M1134" i="9" s="1"/>
  <c r="L1135" i="9"/>
  <c r="M1135" i="9" s="1"/>
  <c r="L1136" i="9"/>
  <c r="M1136" i="9" s="1"/>
  <c r="L1137" i="9"/>
  <c r="M1137" i="9" s="1"/>
  <c r="L1138" i="9"/>
  <c r="M1138" i="9" s="1"/>
  <c r="L1139" i="9"/>
  <c r="M1139" i="9" s="1"/>
  <c r="L1140" i="9"/>
  <c r="M1140" i="9" s="1"/>
  <c r="L1141" i="9"/>
  <c r="M1141" i="9" s="1"/>
  <c r="L1142" i="9"/>
  <c r="M1142" i="9" s="1"/>
  <c r="L1143" i="9"/>
  <c r="M1143" i="9" s="1"/>
  <c r="L1144" i="9"/>
  <c r="M1144" i="9" s="1"/>
  <c r="L1145" i="9"/>
  <c r="M1145" i="9" s="1"/>
  <c r="L1146" i="9"/>
  <c r="M1146" i="9" s="1"/>
  <c r="L1147" i="9"/>
  <c r="M1147" i="9" s="1"/>
  <c r="L1148" i="9"/>
  <c r="M1148" i="9" s="1"/>
  <c r="L1149" i="9"/>
  <c r="M1149" i="9" s="1"/>
  <c r="L1150" i="9"/>
  <c r="M1150" i="9" s="1"/>
  <c r="L1151" i="9"/>
  <c r="M1151" i="9" s="1"/>
  <c r="L1152" i="9"/>
  <c r="M1152" i="9" s="1"/>
  <c r="L1153" i="9"/>
  <c r="M1153" i="9" s="1"/>
  <c r="L1154" i="9"/>
  <c r="M1154" i="9" s="1"/>
  <c r="L1155" i="9"/>
  <c r="M1155" i="9" s="1"/>
  <c r="L1156" i="9"/>
  <c r="M1156" i="9" s="1"/>
  <c r="L1157" i="9"/>
  <c r="M1157" i="9" s="1"/>
  <c r="L1158" i="9"/>
  <c r="M1158" i="9" s="1"/>
  <c r="L1159" i="9"/>
  <c r="M1159" i="9" s="1"/>
  <c r="L1160" i="9"/>
  <c r="M1160" i="9" s="1"/>
  <c r="L1161" i="9"/>
  <c r="M1161" i="9" s="1"/>
  <c r="L1162" i="9"/>
  <c r="M1162" i="9" s="1"/>
  <c r="L1163" i="9"/>
  <c r="M1163" i="9" s="1"/>
  <c r="L1164" i="9"/>
  <c r="M1164" i="9" s="1"/>
  <c r="L1165" i="9"/>
  <c r="M1165" i="9" s="1"/>
  <c r="L1166" i="9"/>
  <c r="M1166" i="9" s="1"/>
  <c r="L1167" i="9"/>
  <c r="M1167" i="9" s="1"/>
  <c r="L1168" i="9"/>
  <c r="M1168" i="9" s="1"/>
  <c r="L1169" i="9"/>
  <c r="M1169" i="9" s="1"/>
  <c r="L1170" i="9"/>
  <c r="M1170" i="9" s="1"/>
  <c r="L1171" i="9"/>
  <c r="M1171" i="9" s="1"/>
  <c r="L1172" i="9"/>
  <c r="M1172" i="9" s="1"/>
  <c r="L1173" i="9"/>
  <c r="M1173" i="9" s="1"/>
  <c r="L1174" i="9"/>
  <c r="M1174" i="9" s="1"/>
  <c r="L1175" i="9"/>
  <c r="M1175" i="9" s="1"/>
  <c r="L1176" i="9"/>
  <c r="M1176" i="9" s="1"/>
  <c r="L1177" i="9"/>
  <c r="M1177" i="9" s="1"/>
  <c r="L1178" i="9"/>
  <c r="M1178" i="9" s="1"/>
  <c r="L1179" i="9"/>
  <c r="M1179" i="9" s="1"/>
  <c r="L1180" i="9"/>
  <c r="M1180" i="9" s="1"/>
  <c r="L1181" i="9"/>
  <c r="M1181" i="9" s="1"/>
  <c r="L1182" i="9"/>
  <c r="M1182" i="9" s="1"/>
  <c r="L1183" i="9"/>
  <c r="M1183" i="9" s="1"/>
  <c r="L1184" i="9"/>
  <c r="M1184" i="9" s="1"/>
  <c r="L1185" i="9"/>
  <c r="M1185" i="9" s="1"/>
  <c r="L1186" i="9"/>
  <c r="M1186" i="9" s="1"/>
  <c r="L1187" i="9"/>
  <c r="M1187" i="9" s="1"/>
  <c r="L1188" i="9"/>
  <c r="M1188" i="9" s="1"/>
  <c r="L1189" i="9"/>
  <c r="M1189" i="9" s="1"/>
  <c r="L1190" i="9"/>
  <c r="M1190" i="9" s="1"/>
  <c r="L1191" i="9"/>
  <c r="M1191" i="9" s="1"/>
  <c r="L1192" i="9"/>
  <c r="M1192" i="9" s="1"/>
  <c r="L1193" i="9"/>
  <c r="M1193" i="9" s="1"/>
  <c r="L1194" i="9"/>
  <c r="M1194" i="9" s="1"/>
  <c r="L1195" i="9"/>
  <c r="M1195" i="9" s="1"/>
  <c r="L1196" i="9"/>
  <c r="M1196" i="9" s="1"/>
  <c r="L1197" i="9"/>
  <c r="M1197" i="9" s="1"/>
  <c r="L1198" i="9"/>
  <c r="M1198" i="9" s="1"/>
  <c r="N1785" i="9" s="1"/>
  <c r="L1199" i="9"/>
  <c r="M1199" i="9" s="1"/>
  <c r="L1200" i="9"/>
  <c r="M1200" i="9" s="1"/>
  <c r="L1201" i="9"/>
  <c r="M1201" i="9" s="1"/>
  <c r="L1202" i="9"/>
  <c r="M1202" i="9" s="1"/>
  <c r="L1203" i="9"/>
  <c r="M1203" i="9" s="1"/>
  <c r="L1204" i="9"/>
  <c r="M1204" i="9" s="1"/>
  <c r="L1205" i="9"/>
  <c r="M1205" i="9" s="1"/>
  <c r="L1206" i="9"/>
  <c r="M1206" i="9" s="1"/>
  <c r="L1207" i="9"/>
  <c r="M1207" i="9" s="1"/>
  <c r="L1208" i="9"/>
  <c r="M1208" i="9" s="1"/>
  <c r="L1209" i="9"/>
  <c r="M1209" i="9" s="1"/>
  <c r="L1210" i="9"/>
  <c r="M1210" i="9" s="1"/>
  <c r="L1211" i="9"/>
  <c r="M1211" i="9" s="1"/>
  <c r="L1212" i="9"/>
  <c r="M1212" i="9" s="1"/>
  <c r="L1213" i="9"/>
  <c r="M1213" i="9" s="1"/>
  <c r="L1214" i="9"/>
  <c r="M1214" i="9" s="1"/>
  <c r="L1215" i="9"/>
  <c r="M1215" i="9" s="1"/>
  <c r="L1216" i="9"/>
  <c r="M1216" i="9" s="1"/>
  <c r="L1217" i="9"/>
  <c r="M1217" i="9" s="1"/>
  <c r="L1218" i="9"/>
  <c r="M1218" i="9" s="1"/>
  <c r="L1219" i="9"/>
  <c r="M1219" i="9" s="1"/>
  <c r="L1220" i="9"/>
  <c r="M1220" i="9" s="1"/>
  <c r="L1221" i="9"/>
  <c r="M1221" i="9" s="1"/>
  <c r="L1222" i="9"/>
  <c r="M1222" i="9" s="1"/>
  <c r="L1223" i="9"/>
  <c r="M1223" i="9" s="1"/>
  <c r="L1224" i="9"/>
  <c r="M1224" i="9" s="1"/>
  <c r="L1225" i="9"/>
  <c r="M1225" i="9" s="1"/>
  <c r="L1226" i="9"/>
  <c r="M1226" i="9" s="1"/>
  <c r="L1227" i="9"/>
  <c r="M1227" i="9" s="1"/>
  <c r="L1228" i="9"/>
  <c r="M1228" i="9" s="1"/>
  <c r="N1787" i="9" s="1"/>
  <c r="L1229" i="9"/>
  <c r="M1229" i="9" s="1"/>
  <c r="L1230" i="9"/>
  <c r="M1230" i="9" s="1"/>
  <c r="L1231" i="9"/>
  <c r="M1231" i="9" s="1"/>
  <c r="L1232" i="9"/>
  <c r="M1232" i="9" s="1"/>
  <c r="L1233" i="9"/>
  <c r="M1233" i="9" s="1"/>
  <c r="L1234" i="9"/>
  <c r="M1234" i="9" s="1"/>
  <c r="L1235" i="9"/>
  <c r="M1235" i="9" s="1"/>
  <c r="L1236" i="9"/>
  <c r="M1236" i="9" s="1"/>
  <c r="L1237" i="9"/>
  <c r="M1237" i="9" s="1"/>
  <c r="L1238" i="9"/>
  <c r="M1238" i="9" s="1"/>
  <c r="L1239" i="9"/>
  <c r="M1239" i="9" s="1"/>
  <c r="L1240" i="9"/>
  <c r="M1240" i="9" s="1"/>
  <c r="L1241" i="9"/>
  <c r="M1241" i="9" s="1"/>
  <c r="L1242" i="9"/>
  <c r="M1242" i="9" s="1"/>
  <c r="L1243" i="9"/>
  <c r="M1243" i="9" s="1"/>
  <c r="L1244" i="9"/>
  <c r="M1244" i="9" s="1"/>
  <c r="L1245" i="9"/>
  <c r="M1245" i="9" s="1"/>
  <c r="L1246" i="9"/>
  <c r="M1246" i="9" s="1"/>
  <c r="L1247" i="9"/>
  <c r="M1247" i="9" s="1"/>
  <c r="L1248" i="9"/>
  <c r="M1248" i="9" s="1"/>
  <c r="L1249" i="9"/>
  <c r="M1249" i="9" s="1"/>
  <c r="L1250" i="9"/>
  <c r="M1250" i="9" s="1"/>
  <c r="L1251" i="9"/>
  <c r="M1251" i="9" s="1"/>
  <c r="L1252" i="9"/>
  <c r="M1252" i="9" s="1"/>
  <c r="L1253" i="9"/>
  <c r="M1253" i="9" s="1"/>
  <c r="L1254" i="9"/>
  <c r="M1254" i="9" s="1"/>
  <c r="L1255" i="9"/>
  <c r="M1255" i="9" s="1"/>
  <c r="L1256" i="9"/>
  <c r="M1256" i="9" s="1"/>
  <c r="N1788" i="9" s="1"/>
  <c r="L1257" i="9"/>
  <c r="L1258" i="9"/>
  <c r="M1258" i="9" s="1"/>
  <c r="L1259" i="9"/>
  <c r="M1259" i="9" s="1"/>
  <c r="L1260" i="9"/>
  <c r="M1260" i="9" s="1"/>
  <c r="L1261" i="9"/>
  <c r="M1261" i="9" s="1"/>
  <c r="L1262" i="9"/>
  <c r="M1262" i="9" s="1"/>
  <c r="L1263" i="9"/>
  <c r="M1263" i="9" s="1"/>
  <c r="L1264" i="9"/>
  <c r="M1264" i="9" s="1"/>
  <c r="L1265" i="9"/>
  <c r="M1265" i="9" s="1"/>
  <c r="L1266" i="9"/>
  <c r="M1266" i="9" s="1"/>
  <c r="L1267" i="9"/>
  <c r="M1267" i="9" s="1"/>
  <c r="L1268" i="9"/>
  <c r="M1268" i="9" s="1"/>
  <c r="L1269" i="9"/>
  <c r="M1269" i="9" s="1"/>
  <c r="L1270" i="9"/>
  <c r="M1270" i="9" s="1"/>
  <c r="L1271" i="9"/>
  <c r="M1271" i="9" s="1"/>
  <c r="L1272" i="9"/>
  <c r="M1272" i="9" s="1"/>
  <c r="L1273" i="9"/>
  <c r="M1273" i="9" s="1"/>
  <c r="L1274" i="9"/>
  <c r="M1274" i="9" s="1"/>
  <c r="L1275" i="9"/>
  <c r="M1275" i="9" s="1"/>
  <c r="L1276" i="9"/>
  <c r="M1276" i="9" s="1"/>
  <c r="N1790" i="9" s="1"/>
  <c r="L1277" i="9"/>
  <c r="M1277" i="9" s="1"/>
  <c r="L1278" i="9"/>
  <c r="M1278" i="9" s="1"/>
  <c r="L1279" i="9"/>
  <c r="M1279" i="9" s="1"/>
  <c r="L1280" i="9"/>
  <c r="M1280" i="9" s="1"/>
  <c r="L1281" i="9"/>
  <c r="M1281" i="9" s="1"/>
  <c r="L1282" i="9"/>
  <c r="M1282" i="9" s="1"/>
  <c r="L1283" i="9"/>
  <c r="M1283" i="9" s="1"/>
  <c r="L1284" i="9"/>
  <c r="M1284" i="9" s="1"/>
  <c r="L1285" i="9"/>
  <c r="M1285" i="9" s="1"/>
  <c r="L1286" i="9"/>
  <c r="M1286" i="9" s="1"/>
  <c r="L1287" i="9"/>
  <c r="M1287" i="9" s="1"/>
  <c r="L1288" i="9"/>
  <c r="M1288" i="9" s="1"/>
  <c r="L1289" i="9"/>
  <c r="M1289" i="9" s="1"/>
  <c r="N1793" i="9" s="1"/>
  <c r="L1290" i="9"/>
  <c r="M1290" i="9" s="1"/>
  <c r="L1291" i="9"/>
  <c r="M1291" i="9" s="1"/>
  <c r="L1292" i="9"/>
  <c r="M1292" i="9" s="1"/>
  <c r="L1293" i="9"/>
  <c r="M1293" i="9" s="1"/>
  <c r="L1294" i="9"/>
  <c r="M1294" i="9" s="1"/>
  <c r="L1295" i="9"/>
  <c r="M1295" i="9" s="1"/>
  <c r="L1296" i="9"/>
  <c r="M1296" i="9" s="1"/>
  <c r="L1297" i="9"/>
  <c r="M1297" i="9" s="1"/>
  <c r="L1298" i="9"/>
  <c r="M1298" i="9" s="1"/>
  <c r="L1299" i="9"/>
  <c r="M1299" i="9" s="1"/>
  <c r="L1300" i="9"/>
  <c r="M1300" i="9" s="1"/>
  <c r="L1301" i="9"/>
  <c r="M1301" i="9" s="1"/>
  <c r="L1302" i="9"/>
  <c r="M1302" i="9" s="1"/>
  <c r="L1303" i="9"/>
  <c r="M1303" i="9" s="1"/>
  <c r="L1304" i="9"/>
  <c r="M1304" i="9" s="1"/>
  <c r="L1305" i="9"/>
  <c r="M1305" i="9" s="1"/>
  <c r="L1306" i="9"/>
  <c r="M1306" i="9" s="1"/>
  <c r="L1307" i="9"/>
  <c r="M1307" i="9" s="1"/>
  <c r="L1308" i="9"/>
  <c r="M1308" i="9" s="1"/>
  <c r="L1309" i="9"/>
  <c r="M1309" i="9" s="1"/>
  <c r="L1310" i="9"/>
  <c r="M1310" i="9" s="1"/>
  <c r="L1311" i="9"/>
  <c r="M1311" i="9" s="1"/>
  <c r="L1312" i="9"/>
  <c r="M1312" i="9" s="1"/>
  <c r="L1313" i="9"/>
  <c r="M1313" i="9" s="1"/>
  <c r="L1314" i="9"/>
  <c r="M1314" i="9" s="1"/>
  <c r="L1315" i="9"/>
  <c r="M1315" i="9" s="1"/>
  <c r="L1316" i="9"/>
  <c r="M1316" i="9" s="1"/>
  <c r="L1317" i="9"/>
  <c r="M1317" i="9" s="1"/>
  <c r="L1318" i="9"/>
  <c r="M1318" i="9" s="1"/>
  <c r="L1319" i="9"/>
  <c r="M1319" i="9" s="1"/>
  <c r="L1320" i="9"/>
  <c r="M1320" i="9" s="1"/>
  <c r="L1321" i="9"/>
  <c r="M1321" i="9" s="1"/>
  <c r="L1322" i="9"/>
  <c r="M1322" i="9" s="1"/>
  <c r="L1323" i="9"/>
  <c r="M1323" i="9" s="1"/>
  <c r="L1324" i="9"/>
  <c r="M1324" i="9" s="1"/>
  <c r="L1325" i="9"/>
  <c r="M1325" i="9" s="1"/>
  <c r="L1326" i="9"/>
  <c r="M1326" i="9" s="1"/>
  <c r="L1327" i="9"/>
  <c r="M1327" i="9" s="1"/>
  <c r="L1328" i="9"/>
  <c r="M1328" i="9" s="1"/>
  <c r="L1329" i="9"/>
  <c r="M1329" i="9" s="1"/>
  <c r="L1330" i="9"/>
  <c r="M1330" i="9" s="1"/>
  <c r="L1331" i="9"/>
  <c r="M1331" i="9" s="1"/>
  <c r="L1332" i="9"/>
  <c r="M1332" i="9" s="1"/>
  <c r="L1333" i="9"/>
  <c r="M1333" i="9" s="1"/>
  <c r="L1334" i="9"/>
  <c r="M1334" i="9" s="1"/>
  <c r="L1335" i="9"/>
  <c r="M1335" i="9" s="1"/>
  <c r="L1336" i="9"/>
  <c r="M1336" i="9" s="1"/>
  <c r="L1337" i="9"/>
  <c r="M1337" i="9" s="1"/>
  <c r="L1338" i="9"/>
  <c r="M1338" i="9" s="1"/>
  <c r="L1339" i="9"/>
  <c r="M1339" i="9" s="1"/>
  <c r="L1340" i="9"/>
  <c r="M1340" i="9" s="1"/>
  <c r="L1341" i="9"/>
  <c r="M1341" i="9" s="1"/>
  <c r="L1342" i="9"/>
  <c r="M1342" i="9" s="1"/>
  <c r="L1343" i="9"/>
  <c r="M1343" i="9" s="1"/>
  <c r="L1344" i="9"/>
  <c r="M1344" i="9" s="1"/>
  <c r="L1345" i="9"/>
  <c r="M1345" i="9" s="1"/>
  <c r="L1346" i="9"/>
  <c r="M1346" i="9" s="1"/>
  <c r="L1347" i="9"/>
  <c r="M1347" i="9" s="1"/>
  <c r="L1348" i="9"/>
  <c r="M1348" i="9" s="1"/>
  <c r="L1349" i="9"/>
  <c r="M1349" i="9" s="1"/>
  <c r="L1350" i="9"/>
  <c r="M1350" i="9" s="1"/>
  <c r="L1351" i="9"/>
  <c r="M1351" i="9" s="1"/>
  <c r="L1352" i="9"/>
  <c r="M1352" i="9" s="1"/>
  <c r="L1353" i="9"/>
  <c r="M1353" i="9" s="1"/>
  <c r="L1354" i="9"/>
  <c r="M1354" i="9" s="1"/>
  <c r="L1355" i="9"/>
  <c r="L1356" i="9"/>
  <c r="M1356" i="9" s="1"/>
  <c r="L1357" i="9"/>
  <c r="M1357" i="9" s="1"/>
  <c r="L1358" i="9"/>
  <c r="M1358" i="9" s="1"/>
  <c r="L1359" i="9"/>
  <c r="M1359" i="9" s="1"/>
  <c r="L1360" i="9"/>
  <c r="M1360" i="9" s="1"/>
  <c r="L1361" i="9"/>
  <c r="M1361" i="9" s="1"/>
  <c r="L1362" i="9"/>
  <c r="M1362" i="9" s="1"/>
  <c r="L1363" i="9"/>
  <c r="M1363" i="9" s="1"/>
  <c r="L1364" i="9"/>
  <c r="M1364" i="9" s="1"/>
  <c r="L1365" i="9"/>
  <c r="M1365" i="9" s="1"/>
  <c r="L1366" i="9"/>
  <c r="M1366" i="9" s="1"/>
  <c r="L1367" i="9"/>
  <c r="M1367" i="9" s="1"/>
  <c r="L1368" i="9"/>
  <c r="M1368" i="9" s="1"/>
  <c r="N1794" i="9" s="1"/>
  <c r="L1369" i="9"/>
  <c r="M1369" i="9" s="1"/>
  <c r="L1370" i="9"/>
  <c r="M1370" i="9" s="1"/>
  <c r="L1371" i="9"/>
  <c r="M1371" i="9" s="1"/>
  <c r="L1372" i="9"/>
  <c r="M1372" i="9" s="1"/>
  <c r="L1373" i="9"/>
  <c r="M1373" i="9" s="1"/>
  <c r="L1374" i="9"/>
  <c r="M1374" i="9" s="1"/>
  <c r="L1375" i="9"/>
  <c r="M1375" i="9" s="1"/>
  <c r="L1376" i="9"/>
  <c r="M1376" i="9" s="1"/>
  <c r="N1703" i="9" s="1"/>
  <c r="L1377" i="9"/>
  <c r="M1377" i="9" s="1"/>
  <c r="L1378" i="9"/>
  <c r="M1378" i="9" s="1"/>
  <c r="L1379" i="9"/>
  <c r="M1379" i="9" s="1"/>
  <c r="L1380" i="9"/>
  <c r="M1380" i="9" s="1"/>
  <c r="L1381" i="9"/>
  <c r="M1381" i="9" s="1"/>
  <c r="L1382" i="9"/>
  <c r="M1382" i="9" s="1"/>
  <c r="L1383" i="9"/>
  <c r="M1383" i="9" s="1"/>
  <c r="L1384" i="9"/>
  <c r="M1384" i="9" s="1"/>
  <c r="L1385" i="9"/>
  <c r="M1385" i="9" s="1"/>
  <c r="N1796" i="9" s="1"/>
  <c r="L1386" i="9"/>
  <c r="M1386" i="9" s="1"/>
  <c r="L1387" i="9"/>
  <c r="M1387" i="9" s="1"/>
  <c r="L1388" i="9"/>
  <c r="M1388" i="9" s="1"/>
  <c r="L1389" i="9"/>
  <c r="M1389" i="9" s="1"/>
  <c r="L1390" i="9"/>
  <c r="M1390" i="9" s="1"/>
  <c r="N1702" i="9" s="1"/>
  <c r="L1391" i="9"/>
  <c r="M1391" i="9" s="1"/>
  <c r="N1812" i="9" s="1"/>
  <c r="L1392" i="9"/>
  <c r="M1392" i="9" s="1"/>
  <c r="L1393" i="9"/>
  <c r="M1393" i="9" s="1"/>
  <c r="L1394" i="9"/>
  <c r="M1394" i="9" s="1"/>
  <c r="L1395" i="9"/>
  <c r="M1395" i="9" s="1"/>
  <c r="L1396" i="9"/>
  <c r="M1396" i="9" s="1"/>
  <c r="L1397" i="9"/>
  <c r="M1397" i="9" s="1"/>
  <c r="L1398" i="9"/>
  <c r="M1398" i="9" s="1"/>
  <c r="L1399" i="9"/>
  <c r="M1399" i="9" s="1"/>
  <c r="L1400" i="9"/>
  <c r="M1400" i="9" s="1"/>
  <c r="L1401" i="9"/>
  <c r="M1401" i="9" s="1"/>
  <c r="L1402" i="9"/>
  <c r="M1402" i="9" s="1"/>
  <c r="L1403" i="9"/>
  <c r="M1403" i="9" s="1"/>
  <c r="N1704" i="9" s="1"/>
  <c r="L1404" i="9"/>
  <c r="M1404" i="9" s="1"/>
  <c r="L1405" i="9"/>
  <c r="M1405" i="9" s="1"/>
  <c r="L1406" i="9"/>
  <c r="M1406" i="9" s="1"/>
  <c r="L1407" i="9"/>
  <c r="M1407" i="9" s="1"/>
  <c r="L1408" i="9"/>
  <c r="M1408" i="9" s="1"/>
  <c r="L1409" i="9"/>
  <c r="M1409" i="9" s="1"/>
  <c r="L1410" i="9"/>
  <c r="M1410" i="9" s="1"/>
  <c r="L1411" i="9"/>
  <c r="M1411" i="9" s="1"/>
  <c r="L1412" i="9"/>
  <c r="M1412" i="9" s="1"/>
  <c r="L1413" i="9"/>
  <c r="M1413" i="9" s="1"/>
  <c r="L1414" i="9"/>
  <c r="M1414" i="9" s="1"/>
  <c r="N1707" i="9" s="1"/>
  <c r="L1415" i="9"/>
  <c r="M1415" i="9" s="1"/>
  <c r="L1416" i="9"/>
  <c r="M1416" i="9" s="1"/>
  <c r="L1417" i="9"/>
  <c r="M1417" i="9" s="1"/>
  <c r="L1418" i="9"/>
  <c r="M1418" i="9" s="1"/>
  <c r="L1419" i="9"/>
  <c r="M1419" i="9" s="1"/>
  <c r="L1420" i="9"/>
  <c r="M1420" i="9" s="1"/>
  <c r="L1421" i="9"/>
  <c r="M1421" i="9" s="1"/>
  <c r="L1422" i="9"/>
  <c r="M1422" i="9" s="1"/>
  <c r="L1423" i="9"/>
  <c r="M1423" i="9" s="1"/>
  <c r="L1424" i="9"/>
  <c r="M1424" i="9" s="1"/>
  <c r="L1425" i="9"/>
  <c r="M1425" i="9" s="1"/>
  <c r="L1426" i="9"/>
  <c r="M1426" i="9" s="1"/>
  <c r="L1427" i="9"/>
  <c r="M1427" i="9" s="1"/>
  <c r="L1428" i="9"/>
  <c r="M1428" i="9" s="1"/>
  <c r="L1429" i="9"/>
  <c r="M1429" i="9" s="1"/>
  <c r="L1430" i="9"/>
  <c r="M1430" i="9" s="1"/>
  <c r="L1431" i="9"/>
  <c r="M1431" i="9" s="1"/>
  <c r="L1432" i="9"/>
  <c r="M1432" i="9" s="1"/>
  <c r="L1433" i="9"/>
  <c r="M1433" i="9" s="1"/>
  <c r="N1798" i="9" s="1"/>
  <c r="L1434" i="9"/>
  <c r="M1434" i="9" s="1"/>
  <c r="L1435" i="9"/>
  <c r="M1435" i="9" s="1"/>
  <c r="L1436" i="9"/>
  <c r="M1436" i="9" s="1"/>
  <c r="L1437" i="9"/>
  <c r="M1437" i="9" s="1"/>
  <c r="L1438" i="9"/>
  <c r="M1438" i="9" s="1"/>
  <c r="L1439" i="9"/>
  <c r="M1439" i="9" s="1"/>
  <c r="N1708" i="9" s="1"/>
  <c r="L1440" i="9"/>
  <c r="M1440" i="9" s="1"/>
  <c r="L1441" i="9"/>
  <c r="M1441" i="9" s="1"/>
  <c r="L1442" i="9"/>
  <c r="M1442" i="9" s="1"/>
  <c r="L1443" i="9"/>
  <c r="M1443" i="9" s="1"/>
  <c r="L1444" i="9"/>
  <c r="M1444" i="9" s="1"/>
  <c r="L1445" i="9"/>
  <c r="M1445" i="9" s="1"/>
  <c r="L1446" i="9"/>
  <c r="M1446" i="9" s="1"/>
  <c r="L1447" i="9"/>
  <c r="M1447" i="9" s="1"/>
  <c r="L1448" i="9"/>
  <c r="M1448" i="9" s="1"/>
  <c r="L1449" i="9"/>
  <c r="M1449" i="9" s="1"/>
  <c r="L1450" i="9"/>
  <c r="M1450" i="9" s="1"/>
  <c r="L1451" i="9"/>
  <c r="M1451" i="9" s="1"/>
  <c r="L1452" i="9"/>
  <c r="M1452" i="9" s="1"/>
  <c r="L1453" i="9"/>
  <c r="M1453" i="9" s="1"/>
  <c r="N1801" i="9" s="1"/>
  <c r="L1454" i="9"/>
  <c r="M1454" i="9" s="1"/>
  <c r="L1455" i="9"/>
  <c r="M1455" i="9" s="1"/>
  <c r="L1456" i="9"/>
  <c r="M1456" i="9" s="1"/>
  <c r="L1457" i="9"/>
  <c r="M1457" i="9" s="1"/>
  <c r="L1458" i="9"/>
  <c r="M1458" i="9" s="1"/>
  <c r="L1459" i="9"/>
  <c r="M1459" i="9" s="1"/>
  <c r="L1460" i="9"/>
  <c r="L1461" i="9"/>
  <c r="M1461" i="9" s="1"/>
  <c r="L1462" i="9"/>
  <c r="M1462" i="9" s="1"/>
  <c r="L1463" i="9"/>
  <c r="M1463" i="9" s="1"/>
  <c r="L1464" i="9"/>
  <c r="M1464" i="9" s="1"/>
  <c r="L1465" i="9"/>
  <c r="M1465" i="9" s="1"/>
  <c r="L1466" i="9"/>
  <c r="M1466" i="9" s="1"/>
  <c r="L1467" i="9"/>
  <c r="M1467" i="9" s="1"/>
  <c r="L1468" i="9"/>
  <c r="M1468" i="9" s="1"/>
  <c r="L1469" i="9"/>
  <c r="M1469" i="9" s="1"/>
  <c r="L1470" i="9"/>
  <c r="M1470" i="9" s="1"/>
  <c r="L1471" i="9"/>
  <c r="M1471" i="9" s="1"/>
  <c r="L1472" i="9"/>
  <c r="M1472" i="9" s="1"/>
  <c r="L1473" i="9"/>
  <c r="M1473" i="9" s="1"/>
  <c r="L1474" i="9"/>
  <c r="M1474" i="9" s="1"/>
  <c r="L1475" i="9"/>
  <c r="M1475" i="9" s="1"/>
  <c r="L1476" i="9"/>
  <c r="M1476" i="9" s="1"/>
  <c r="L1477" i="9"/>
  <c r="M1477" i="9" s="1"/>
  <c r="L1478" i="9"/>
  <c r="M1478" i="9" s="1"/>
  <c r="L1479" i="9"/>
  <c r="M1479" i="9" s="1"/>
  <c r="L1480" i="9"/>
  <c r="M1480" i="9" s="1"/>
  <c r="L1481" i="9"/>
  <c r="M1481" i="9" s="1"/>
  <c r="L1482" i="9"/>
  <c r="M1482" i="9" s="1"/>
  <c r="L1483" i="9"/>
  <c r="M1483" i="9" s="1"/>
  <c r="L1484" i="9"/>
  <c r="M1484" i="9" s="1"/>
  <c r="L1485" i="9"/>
  <c r="M1485" i="9" s="1"/>
  <c r="L1486" i="9"/>
  <c r="M1486" i="9" s="1"/>
  <c r="L1487" i="9"/>
  <c r="M1487" i="9" s="1"/>
  <c r="L1488" i="9"/>
  <c r="M1488" i="9" s="1"/>
  <c r="L1489" i="9"/>
  <c r="M1489" i="9" s="1"/>
  <c r="L1490" i="9"/>
  <c r="M1490" i="9" s="1"/>
  <c r="L1491" i="9"/>
  <c r="M1491" i="9" s="1"/>
  <c r="L1492" i="9"/>
  <c r="M1492" i="9" s="1"/>
  <c r="L1493" i="9"/>
  <c r="M1493" i="9" s="1"/>
  <c r="L1494" i="9"/>
  <c r="M1494" i="9" s="1"/>
  <c r="L1495" i="9"/>
  <c r="M1495" i="9" s="1"/>
  <c r="L1496" i="9"/>
  <c r="M1496" i="9" s="1"/>
  <c r="L1497" i="9"/>
  <c r="M1497" i="9" s="1"/>
  <c r="L1498" i="9"/>
  <c r="M1498" i="9" s="1"/>
  <c r="L1499" i="9"/>
  <c r="M1499" i="9" s="1"/>
  <c r="L1500" i="9"/>
  <c r="M1500" i="9" s="1"/>
  <c r="L1501" i="9"/>
  <c r="M1501" i="9" s="1"/>
  <c r="L1502" i="9"/>
  <c r="M1502" i="9" s="1"/>
  <c r="L1503" i="9"/>
  <c r="M1503" i="9" s="1"/>
  <c r="L1504" i="9"/>
  <c r="M1504" i="9" s="1"/>
  <c r="L1505" i="9"/>
  <c r="M1505" i="9" s="1"/>
  <c r="L1506" i="9"/>
  <c r="M1506" i="9" s="1"/>
  <c r="L1507" i="9"/>
  <c r="M1507" i="9" s="1"/>
  <c r="L1508" i="9"/>
  <c r="M1508" i="9" s="1"/>
  <c r="L1509" i="9"/>
  <c r="M1509" i="9" s="1"/>
  <c r="L1510" i="9"/>
  <c r="M1510" i="9" s="1"/>
  <c r="L1511" i="9"/>
  <c r="M1511" i="9" s="1"/>
  <c r="L1512" i="9"/>
  <c r="M1512" i="9" s="1"/>
  <c r="L1513" i="9"/>
  <c r="M1513" i="9" s="1"/>
  <c r="L1514" i="9"/>
  <c r="M1514" i="9" s="1"/>
  <c r="L1515" i="9"/>
  <c r="M1515" i="9" s="1"/>
  <c r="L1516" i="9"/>
  <c r="M1516" i="9" s="1"/>
  <c r="L1517" i="9"/>
  <c r="M1517" i="9" s="1"/>
  <c r="L1518" i="9"/>
  <c r="M1518" i="9" s="1"/>
  <c r="L1519" i="9"/>
  <c r="M1519" i="9" s="1"/>
  <c r="L1520" i="9"/>
  <c r="M1520" i="9" s="1"/>
  <c r="L1521" i="9"/>
  <c r="M1521" i="9" s="1"/>
  <c r="L1522" i="9"/>
  <c r="M1522" i="9" s="1"/>
  <c r="L1523" i="9"/>
  <c r="M1523" i="9" s="1"/>
  <c r="L1524" i="9"/>
  <c r="M1524" i="9" s="1"/>
  <c r="L1525" i="9"/>
  <c r="M1525" i="9" s="1"/>
  <c r="L1526" i="9"/>
  <c r="M1526" i="9" s="1"/>
  <c r="L1527" i="9"/>
  <c r="M1527" i="9" s="1"/>
  <c r="L1528" i="9"/>
  <c r="M1528" i="9" s="1"/>
  <c r="L1529" i="9"/>
  <c r="M1529" i="9" s="1"/>
  <c r="L1530" i="9"/>
  <c r="M1530" i="9" s="1"/>
  <c r="L1531" i="9"/>
  <c r="M1531" i="9" s="1"/>
  <c r="L1532" i="9"/>
  <c r="M1532" i="9" s="1"/>
  <c r="L1533" i="9"/>
  <c r="M1533" i="9" s="1"/>
  <c r="L2" i="9"/>
  <c r="M2" i="9" s="1"/>
  <c r="A25" i="13" a="1"/>
  <c r="A25" i="13" s="1"/>
  <c r="I20" i="13"/>
  <c r="H21" i="11"/>
  <c r="A21" i="11"/>
  <c r="A22" i="11"/>
  <c r="A136" i="14" l="1"/>
  <c r="A138" i="14"/>
  <c r="A140" i="14"/>
  <c r="A130" i="14"/>
  <c r="A143" i="14"/>
  <c r="A137" i="14"/>
  <c r="A131" i="14"/>
  <c r="A135" i="14"/>
  <c r="A142" i="14"/>
  <c r="A133" i="14"/>
  <c r="A134" i="14"/>
  <c r="A139" i="14"/>
  <c r="A141" i="14"/>
  <c r="A132" i="14"/>
  <c r="A129" i="14"/>
  <c r="B2069" i="9"/>
  <c r="B2008" i="9"/>
  <c r="B2073" i="9"/>
  <c r="B2089" i="9"/>
  <c r="B2046" i="9"/>
  <c r="B2072" i="9"/>
  <c r="B2009" i="9"/>
  <c r="B1996" i="9"/>
  <c r="B2066" i="9"/>
  <c r="B2071" i="9"/>
  <c r="B2062" i="9"/>
  <c r="B2034" i="9"/>
  <c r="B1997" i="9"/>
  <c r="B2012" i="9"/>
  <c r="B2052" i="9"/>
  <c r="B2035" i="9"/>
  <c r="B2063" i="9"/>
  <c r="B2081" i="9"/>
  <c r="B2020" i="9"/>
  <c r="B2024" i="9"/>
  <c r="B2045" i="9"/>
  <c r="B2027" i="9"/>
  <c r="B2078" i="9"/>
  <c r="B2007" i="9"/>
  <c r="B2051" i="9"/>
  <c r="B2038" i="9"/>
  <c r="B2049" i="9"/>
  <c r="B2016" i="9"/>
  <c r="B2037" i="9"/>
  <c r="B2060" i="9"/>
  <c r="B2001" i="9"/>
  <c r="B2070" i="9"/>
  <c r="B2091" i="9"/>
  <c r="B2059" i="9"/>
  <c r="B2077" i="9"/>
  <c r="B2057" i="9"/>
  <c r="B2067" i="9"/>
  <c r="B2033" i="9"/>
  <c r="B2053" i="9"/>
  <c r="B2021" i="9"/>
  <c r="B2006" i="9"/>
  <c r="B2075" i="9"/>
  <c r="B1998" i="9"/>
  <c r="B2047" i="9"/>
  <c r="B2082" i="9"/>
  <c r="B2092" i="9"/>
  <c r="B2025" i="9"/>
  <c r="B2019" i="9"/>
  <c r="B2087" i="9"/>
  <c r="B2013" i="9"/>
  <c r="B2050" i="9"/>
  <c r="B1999" i="9"/>
  <c r="B2010" i="9"/>
  <c r="B2011" i="9"/>
  <c r="B2088" i="9"/>
  <c r="B2068" i="9"/>
  <c r="B2031" i="9"/>
  <c r="B2090" i="9"/>
  <c r="B2004" i="9"/>
  <c r="B2028" i="9"/>
  <c r="B2030" i="9"/>
  <c r="B2084" i="9"/>
  <c r="B2085" i="9"/>
  <c r="B2036" i="9"/>
  <c r="B2054" i="9"/>
  <c r="B2040" i="9"/>
  <c r="B2048" i="9"/>
  <c r="B2056" i="9"/>
  <c r="B2026" i="9"/>
  <c r="B2086" i="9"/>
  <c r="B2003" i="9"/>
  <c r="B2076" i="9"/>
  <c r="B2018" i="9"/>
  <c r="B2061" i="9"/>
  <c r="B2014" i="9"/>
  <c r="B2093" i="9"/>
  <c r="B2032" i="9"/>
  <c r="B2015" i="9"/>
  <c r="B2044" i="9"/>
  <c r="B2022" i="9"/>
  <c r="B2080" i="9"/>
  <c r="B2017" i="9"/>
  <c r="B2079" i="9"/>
  <c r="B2042" i="9"/>
  <c r="B2064" i="9"/>
  <c r="B2000" i="9"/>
  <c r="B2058" i="9"/>
  <c r="B2005" i="9"/>
  <c r="B2043" i="9"/>
  <c r="B2002" i="9"/>
  <c r="B2041" i="9"/>
  <c r="B2065" i="9"/>
  <c r="B2029" i="9"/>
  <c r="B2074" i="9"/>
  <c r="B2023" i="9"/>
  <c r="B2039" i="9"/>
  <c r="B2083" i="9"/>
  <c r="B2055" i="9"/>
  <c r="K602" i="9"/>
  <c r="P5" i="13"/>
  <c r="B1995" i="9"/>
  <c r="B1990" i="9"/>
  <c r="B1985" i="9"/>
  <c r="B1988" i="9"/>
  <c r="B1992" i="9"/>
  <c r="B1987" i="9"/>
  <c r="B1983" i="9"/>
  <c r="B1994" i="9"/>
  <c r="B1991" i="9"/>
  <c r="B1986" i="9"/>
  <c r="B1993" i="9"/>
  <c r="B1989" i="9"/>
  <c r="B1984" i="9"/>
  <c r="B1982" i="9"/>
  <c r="B1961" i="9"/>
  <c r="B1957" i="9"/>
  <c r="B1940" i="9"/>
  <c r="B1928" i="9"/>
  <c r="B1923" i="9"/>
  <c r="B1919" i="9"/>
  <c r="B1898" i="9"/>
  <c r="B1908" i="9"/>
  <c r="B1979" i="9"/>
  <c r="B1954" i="9"/>
  <c r="B1913" i="9"/>
  <c r="B1971" i="9"/>
  <c r="B1946" i="9"/>
  <c r="B1909" i="9"/>
  <c r="B1959" i="9"/>
  <c r="B1972" i="9"/>
  <c r="B1953" i="9"/>
  <c r="B1949" i="9"/>
  <c r="B1932" i="9"/>
  <c r="B1920" i="9"/>
  <c r="B1915" i="9"/>
  <c r="B1907" i="9"/>
  <c r="B1974" i="9"/>
  <c r="B1966" i="9"/>
  <c r="B1958" i="9"/>
  <c r="B1962" i="9"/>
  <c r="B1921" i="9"/>
  <c r="B1975" i="9"/>
  <c r="B1905" i="9"/>
  <c r="B1967" i="9"/>
  <c r="B1963" i="9"/>
  <c r="B1955" i="9"/>
  <c r="B1945" i="9"/>
  <c r="B1941" i="9"/>
  <c r="B1924" i="9"/>
  <c r="B1912" i="9"/>
  <c r="B1911" i="9"/>
  <c r="B1978" i="9"/>
  <c r="B1925" i="9"/>
  <c r="B1950" i="9"/>
  <c r="B1900" i="9"/>
  <c r="B1942" i="9"/>
  <c r="B1976" i="9"/>
  <c r="B1968" i="9"/>
  <c r="B1934" i="9"/>
  <c r="B1951" i="9"/>
  <c r="B1937" i="9"/>
  <c r="B1933" i="9"/>
  <c r="B1916" i="9"/>
  <c r="B1904" i="9"/>
  <c r="B1903" i="9"/>
  <c r="B1970" i="9"/>
  <c r="B1899" i="9"/>
  <c r="B1980" i="9"/>
  <c r="B1930" i="9"/>
  <c r="B1901" i="9"/>
  <c r="B1922" i="9"/>
  <c r="B1929" i="9"/>
  <c r="B1926" i="9"/>
  <c r="B1917" i="9"/>
  <c r="B1938" i="9"/>
  <c r="B1981" i="9"/>
  <c r="B1964" i="9"/>
  <c r="B1952" i="9"/>
  <c r="B1947" i="9"/>
  <c r="B1943" i="9"/>
  <c r="B1918" i="9"/>
  <c r="B1914" i="9"/>
  <c r="B1969" i="9"/>
  <c r="B1948" i="9"/>
  <c r="B1936" i="9"/>
  <c r="B1927" i="9"/>
  <c r="B1906" i="9"/>
  <c r="B1977" i="9"/>
  <c r="B1973" i="9"/>
  <c r="B1956" i="9"/>
  <c r="B1944" i="9"/>
  <c r="B1939" i="9"/>
  <c r="B1935" i="9"/>
  <c r="B1910" i="9"/>
  <c r="B1902" i="9"/>
  <c r="B1965" i="9"/>
  <c r="B1931" i="9"/>
  <c r="B1960" i="9"/>
  <c r="P2" i="9"/>
  <c r="B1897" i="9"/>
  <c r="B1890" i="9"/>
  <c r="B1891" i="9"/>
  <c r="B1892" i="9"/>
  <c r="B1896" i="9"/>
  <c r="B1884" i="9"/>
  <c r="B1885" i="9"/>
  <c r="B1886" i="9"/>
  <c r="B1889" i="9"/>
  <c r="B1893" i="9"/>
  <c r="B1895" i="9"/>
  <c r="B1888" i="9"/>
  <c r="B1887" i="9"/>
  <c r="B1894" i="9"/>
  <c r="K1665" i="9"/>
  <c r="P1665" i="9"/>
  <c r="K1652" i="9"/>
  <c r="P1652" i="9"/>
  <c r="K1640" i="9"/>
  <c r="P1640" i="9"/>
  <c r="K1628" i="9"/>
  <c r="P1628" i="9"/>
  <c r="K1604" i="9"/>
  <c r="P1604" i="9"/>
  <c r="K1592" i="9"/>
  <c r="P1592" i="9"/>
  <c r="K1580" i="9"/>
  <c r="P1580" i="9"/>
  <c r="K1568" i="9"/>
  <c r="P1568" i="9"/>
  <c r="K1556" i="9"/>
  <c r="P1556" i="9"/>
  <c r="K1544" i="9"/>
  <c r="P1544" i="9"/>
  <c r="K1532" i="9"/>
  <c r="P1532" i="9"/>
  <c r="K1520" i="9"/>
  <c r="P1520" i="9"/>
  <c r="K1508" i="9"/>
  <c r="P1508" i="9"/>
  <c r="K1496" i="9"/>
  <c r="P1496" i="9"/>
  <c r="K1484" i="9"/>
  <c r="P1484" i="9"/>
  <c r="K1472" i="9"/>
  <c r="P1472" i="9"/>
  <c r="K1460" i="9"/>
  <c r="P1460" i="9"/>
  <c r="K1448" i="9"/>
  <c r="P1448" i="9"/>
  <c r="K1436" i="9"/>
  <c r="P1436" i="9"/>
  <c r="K1424" i="9"/>
  <c r="P1424" i="9"/>
  <c r="K1412" i="9"/>
  <c r="P1412" i="9"/>
  <c r="K1400" i="9"/>
  <c r="P1400" i="9"/>
  <c r="K1388" i="9"/>
  <c r="P1388" i="9"/>
  <c r="K1376" i="9"/>
  <c r="P1376" i="9"/>
  <c r="K1364" i="9"/>
  <c r="P1364" i="9"/>
  <c r="K1352" i="9"/>
  <c r="P1352" i="9"/>
  <c r="K1340" i="9"/>
  <c r="P1340" i="9"/>
  <c r="K1328" i="9"/>
  <c r="P1328" i="9"/>
  <c r="K1316" i="9"/>
  <c r="P1316" i="9"/>
  <c r="K1304" i="9"/>
  <c r="P1304" i="9"/>
  <c r="K1292" i="9"/>
  <c r="P1292" i="9"/>
  <c r="K1280" i="9"/>
  <c r="P1280" i="9"/>
  <c r="K1268" i="9"/>
  <c r="P1268" i="9"/>
  <c r="K1256" i="9"/>
  <c r="P1256" i="9"/>
  <c r="K1244" i="9"/>
  <c r="P1244" i="9"/>
  <c r="K1232" i="9"/>
  <c r="P1232" i="9"/>
  <c r="K1220" i="9"/>
  <c r="P1220" i="9"/>
  <c r="K1208" i="9"/>
  <c r="P1208" i="9"/>
  <c r="K1196" i="9"/>
  <c r="P1196" i="9"/>
  <c r="K1184" i="9"/>
  <c r="P1184" i="9"/>
  <c r="K1172" i="9"/>
  <c r="P1172" i="9"/>
  <c r="K1160" i="9"/>
  <c r="P1160" i="9"/>
  <c r="K1148" i="9"/>
  <c r="P1148" i="9"/>
  <c r="K1136" i="9"/>
  <c r="P1136" i="9"/>
  <c r="K1124" i="9"/>
  <c r="P1124" i="9"/>
  <c r="K1112" i="9"/>
  <c r="P1112" i="9"/>
  <c r="K1100" i="9"/>
  <c r="P1100" i="9"/>
  <c r="K1088" i="9"/>
  <c r="P1088" i="9"/>
  <c r="K1076" i="9"/>
  <c r="P1076" i="9"/>
  <c r="K1064" i="9"/>
  <c r="P1064" i="9"/>
  <c r="K1052" i="9"/>
  <c r="P1052" i="9"/>
  <c r="K1040" i="9"/>
  <c r="P1040" i="9"/>
  <c r="K1028" i="9"/>
  <c r="P1028" i="9"/>
  <c r="K1016" i="9"/>
  <c r="P1016" i="9"/>
  <c r="K1004" i="9"/>
  <c r="P1004" i="9"/>
  <c r="K992" i="9"/>
  <c r="P992" i="9"/>
  <c r="K980" i="9"/>
  <c r="P980" i="9"/>
  <c r="K968" i="9"/>
  <c r="P968" i="9"/>
  <c r="K956" i="9"/>
  <c r="P956" i="9"/>
  <c r="K944" i="9"/>
  <c r="P944" i="9"/>
  <c r="K932" i="9"/>
  <c r="P932" i="9"/>
  <c r="K920" i="9"/>
  <c r="P920" i="9"/>
  <c r="K908" i="9"/>
  <c r="P908" i="9"/>
  <c r="K896" i="9"/>
  <c r="P896" i="9"/>
  <c r="K884" i="9"/>
  <c r="P884" i="9"/>
  <c r="K872" i="9"/>
  <c r="P872" i="9"/>
  <c r="K860" i="9"/>
  <c r="P860" i="9"/>
  <c r="K848" i="9"/>
  <c r="P848" i="9"/>
  <c r="K836" i="9"/>
  <c r="P836" i="9"/>
  <c r="K824" i="9"/>
  <c r="P824" i="9"/>
  <c r="K812" i="9"/>
  <c r="P812" i="9"/>
  <c r="K800" i="9"/>
  <c r="P800" i="9"/>
  <c r="K788" i="9"/>
  <c r="P788" i="9"/>
  <c r="K776" i="9"/>
  <c r="P776" i="9"/>
  <c r="K764" i="9"/>
  <c r="P764" i="9"/>
  <c r="K752" i="9"/>
  <c r="P752" i="9"/>
  <c r="K740" i="9"/>
  <c r="P740" i="9"/>
  <c r="K728" i="9"/>
  <c r="P728" i="9"/>
  <c r="K716" i="9"/>
  <c r="P716" i="9"/>
  <c r="K704" i="9"/>
  <c r="P704" i="9"/>
  <c r="K692" i="9"/>
  <c r="P692" i="9"/>
  <c r="K680" i="9"/>
  <c r="P680" i="9"/>
  <c r="K668" i="9"/>
  <c r="P668" i="9"/>
  <c r="K656" i="9"/>
  <c r="P656" i="9"/>
  <c r="K644" i="9"/>
  <c r="P644" i="9"/>
  <c r="K632" i="9"/>
  <c r="P632" i="9"/>
  <c r="K620" i="9"/>
  <c r="P620" i="9"/>
  <c r="K608" i="9"/>
  <c r="P608" i="9"/>
  <c r="K596" i="9"/>
  <c r="P596" i="9"/>
  <c r="K584" i="9"/>
  <c r="P584" i="9"/>
  <c r="K572" i="9"/>
  <c r="P572" i="9"/>
  <c r="K560" i="9"/>
  <c r="P560" i="9"/>
  <c r="K548" i="9"/>
  <c r="P548" i="9"/>
  <c r="K536" i="9"/>
  <c r="P536" i="9"/>
  <c r="K524" i="9"/>
  <c r="P524" i="9"/>
  <c r="K512" i="9"/>
  <c r="P512" i="9"/>
  <c r="K500" i="9"/>
  <c r="P500" i="9"/>
  <c r="K488" i="9"/>
  <c r="P488" i="9"/>
  <c r="K476" i="9"/>
  <c r="P476" i="9"/>
  <c r="K464" i="9"/>
  <c r="P464" i="9"/>
  <c r="K452" i="9"/>
  <c r="P452" i="9"/>
  <c r="K440" i="9"/>
  <c r="P440" i="9"/>
  <c r="K428" i="9"/>
  <c r="P428" i="9"/>
  <c r="K416" i="9"/>
  <c r="P416" i="9"/>
  <c r="K404" i="9"/>
  <c r="P404" i="9"/>
  <c r="K392" i="9"/>
  <c r="P392" i="9"/>
  <c r="K380" i="9"/>
  <c r="P380" i="9"/>
  <c r="K368" i="9"/>
  <c r="P368" i="9"/>
  <c r="K356" i="9"/>
  <c r="P356" i="9"/>
  <c r="K344" i="9"/>
  <c r="P344" i="9"/>
  <c r="K332" i="9"/>
  <c r="P332" i="9"/>
  <c r="K319" i="9"/>
  <c r="P319" i="9"/>
  <c r="K306" i="9"/>
  <c r="P306" i="9"/>
  <c r="K294" i="9"/>
  <c r="P294" i="9"/>
  <c r="K282" i="9"/>
  <c r="P282" i="9"/>
  <c r="K270" i="9"/>
  <c r="P270" i="9"/>
  <c r="K258" i="9"/>
  <c r="P258" i="9"/>
  <c r="K246" i="9"/>
  <c r="P246" i="9"/>
  <c r="K234" i="9"/>
  <c r="P234" i="9"/>
  <c r="K222" i="9"/>
  <c r="P222" i="9"/>
  <c r="K210" i="9"/>
  <c r="P210" i="9"/>
  <c r="K198" i="9"/>
  <c r="P198" i="9"/>
  <c r="K186" i="9"/>
  <c r="P186" i="9"/>
  <c r="K174" i="9"/>
  <c r="P174" i="9"/>
  <c r="K162" i="9"/>
  <c r="P162" i="9"/>
  <c r="K150" i="9"/>
  <c r="P150" i="9"/>
  <c r="K138" i="9"/>
  <c r="P138" i="9"/>
  <c r="K126" i="9"/>
  <c r="P126" i="9"/>
  <c r="K114" i="9"/>
  <c r="P114" i="9"/>
  <c r="K102" i="9"/>
  <c r="P102" i="9"/>
  <c r="K90" i="9"/>
  <c r="P90" i="9"/>
  <c r="K78" i="9"/>
  <c r="P78" i="9"/>
  <c r="K66" i="9"/>
  <c r="P66" i="9"/>
  <c r="K54" i="9"/>
  <c r="P54" i="9"/>
  <c r="K42" i="9"/>
  <c r="P42" i="9"/>
  <c r="K30" i="9"/>
  <c r="P30" i="9"/>
  <c r="K18" i="9"/>
  <c r="P18" i="9"/>
  <c r="K6" i="9"/>
  <c r="P6" i="9"/>
  <c r="K1695" i="9"/>
  <c r="P1695" i="9"/>
  <c r="K1683" i="9"/>
  <c r="P1683" i="9"/>
  <c r="K1671" i="9"/>
  <c r="P1671" i="9"/>
  <c r="K1664" i="9"/>
  <c r="P1664" i="9"/>
  <c r="K1639" i="9"/>
  <c r="P1639" i="9"/>
  <c r="K1627" i="9"/>
  <c r="P1627" i="9"/>
  <c r="K1603" i="9"/>
  <c r="P1603" i="9"/>
  <c r="K1591" i="9"/>
  <c r="P1591" i="9"/>
  <c r="K1579" i="9"/>
  <c r="P1579" i="9"/>
  <c r="K1567" i="9"/>
  <c r="P1567" i="9"/>
  <c r="K1555" i="9"/>
  <c r="P1555" i="9"/>
  <c r="K1543" i="9"/>
  <c r="P1543" i="9"/>
  <c r="K1531" i="9"/>
  <c r="P1531" i="9"/>
  <c r="K1519" i="9"/>
  <c r="P1519" i="9"/>
  <c r="K1507" i="9"/>
  <c r="P1507" i="9"/>
  <c r="K1495" i="9"/>
  <c r="P1495" i="9"/>
  <c r="K1483" i="9"/>
  <c r="P1483" i="9"/>
  <c r="K1471" i="9"/>
  <c r="P1471" i="9"/>
  <c r="K1459" i="9"/>
  <c r="P1459" i="9"/>
  <c r="K1447" i="9"/>
  <c r="P1447" i="9"/>
  <c r="K1435" i="9"/>
  <c r="P1435" i="9"/>
  <c r="K1423" i="9"/>
  <c r="P1423" i="9"/>
  <c r="K1411" i="9"/>
  <c r="P1411" i="9"/>
  <c r="K1399" i="9"/>
  <c r="P1399" i="9"/>
  <c r="K1387" i="9"/>
  <c r="P1387" i="9"/>
  <c r="K1375" i="9"/>
  <c r="P1375" i="9"/>
  <c r="K1363" i="9"/>
  <c r="P1363" i="9"/>
  <c r="K1351" i="9"/>
  <c r="P1351" i="9"/>
  <c r="K1339" i="9"/>
  <c r="P1339" i="9"/>
  <c r="K1327" i="9"/>
  <c r="P1327" i="9"/>
  <c r="K1315" i="9"/>
  <c r="P1315" i="9"/>
  <c r="K1303" i="9"/>
  <c r="P1303" i="9"/>
  <c r="K1291" i="9"/>
  <c r="P1291" i="9"/>
  <c r="K1279" i="9"/>
  <c r="P1279" i="9"/>
  <c r="K1267" i="9"/>
  <c r="P1267" i="9"/>
  <c r="K1255" i="9"/>
  <c r="P1255" i="9"/>
  <c r="K1243" i="9"/>
  <c r="P1243" i="9"/>
  <c r="K1231" i="9"/>
  <c r="P1231" i="9"/>
  <c r="K1219" i="9"/>
  <c r="P1219" i="9"/>
  <c r="K1207" i="9"/>
  <c r="P1207" i="9"/>
  <c r="K1195" i="9"/>
  <c r="P1195" i="9"/>
  <c r="K1183" i="9"/>
  <c r="P1183" i="9"/>
  <c r="K1171" i="9"/>
  <c r="P1171" i="9"/>
  <c r="K1159" i="9"/>
  <c r="P1159" i="9"/>
  <c r="K1147" i="9"/>
  <c r="P1147" i="9"/>
  <c r="K1135" i="9"/>
  <c r="P1135" i="9"/>
  <c r="K1123" i="9"/>
  <c r="P1123" i="9"/>
  <c r="K1111" i="9"/>
  <c r="P1111" i="9"/>
  <c r="K1099" i="9"/>
  <c r="P1099" i="9"/>
  <c r="K1087" i="9"/>
  <c r="P1087" i="9"/>
  <c r="K1075" i="9"/>
  <c r="P1075" i="9"/>
  <c r="K1063" i="9"/>
  <c r="P1063" i="9"/>
  <c r="K1051" i="9"/>
  <c r="P1051" i="9"/>
  <c r="K1039" i="9"/>
  <c r="P1039" i="9"/>
  <c r="K1027" i="9"/>
  <c r="P1027" i="9"/>
  <c r="K1015" i="9"/>
  <c r="P1015" i="9"/>
  <c r="K1003" i="9"/>
  <c r="P1003" i="9"/>
  <c r="K991" i="9"/>
  <c r="P991" i="9"/>
  <c r="K979" i="9"/>
  <c r="P979" i="9"/>
  <c r="K967" i="9"/>
  <c r="P967" i="9"/>
  <c r="K955" i="9"/>
  <c r="P955" i="9"/>
  <c r="K943" i="9"/>
  <c r="P943" i="9"/>
  <c r="K931" i="9"/>
  <c r="P931" i="9"/>
  <c r="K919" i="9"/>
  <c r="P919" i="9"/>
  <c r="K907" i="9"/>
  <c r="P907" i="9"/>
  <c r="K895" i="9"/>
  <c r="P895" i="9"/>
  <c r="K883" i="9"/>
  <c r="P883" i="9"/>
  <c r="K871" i="9"/>
  <c r="P871" i="9"/>
  <c r="K859" i="9"/>
  <c r="P859" i="9"/>
  <c r="K847" i="9"/>
  <c r="P847" i="9"/>
  <c r="K835" i="9"/>
  <c r="P835" i="9"/>
  <c r="K823" i="9"/>
  <c r="P823" i="9"/>
  <c r="K811" i="9"/>
  <c r="P811" i="9"/>
  <c r="K799" i="9"/>
  <c r="P799" i="9"/>
  <c r="K787" i="9"/>
  <c r="P787" i="9"/>
  <c r="K775" i="9"/>
  <c r="P775" i="9"/>
  <c r="K763" i="9"/>
  <c r="P763" i="9"/>
  <c r="K751" i="9"/>
  <c r="P751" i="9"/>
  <c r="K739" i="9"/>
  <c r="P739" i="9"/>
  <c r="K727" i="9"/>
  <c r="P727" i="9"/>
  <c r="K715" i="9"/>
  <c r="P715" i="9"/>
  <c r="K703" i="9"/>
  <c r="P703" i="9"/>
  <c r="K691" i="9"/>
  <c r="P691" i="9"/>
  <c r="K679" i="9"/>
  <c r="P679" i="9"/>
  <c r="K667" i="9"/>
  <c r="P667" i="9"/>
  <c r="K655" i="9"/>
  <c r="P655" i="9"/>
  <c r="K643" i="9"/>
  <c r="P643" i="9"/>
  <c r="K631" i="9"/>
  <c r="P631" i="9"/>
  <c r="K619" i="9"/>
  <c r="P619" i="9"/>
  <c r="K607" i="9"/>
  <c r="P607" i="9"/>
  <c r="K595" i="9"/>
  <c r="P595" i="9"/>
  <c r="K583" i="9"/>
  <c r="P583" i="9"/>
  <c r="K571" i="9"/>
  <c r="P571" i="9"/>
  <c r="K559" i="9"/>
  <c r="P559" i="9"/>
  <c r="K547" i="9"/>
  <c r="P547" i="9"/>
  <c r="K535" i="9"/>
  <c r="P535" i="9"/>
  <c r="K523" i="9"/>
  <c r="P523" i="9"/>
  <c r="K511" i="9"/>
  <c r="P511" i="9"/>
  <c r="K499" i="9"/>
  <c r="P499" i="9"/>
  <c r="K487" i="9"/>
  <c r="P487" i="9"/>
  <c r="K475" i="9"/>
  <c r="P475" i="9"/>
  <c r="K463" i="9"/>
  <c r="P463" i="9"/>
  <c r="K451" i="9"/>
  <c r="P451" i="9"/>
  <c r="K439" i="9"/>
  <c r="P439" i="9"/>
  <c r="K427" i="9"/>
  <c r="P427" i="9"/>
  <c r="K415" i="9"/>
  <c r="P415" i="9"/>
  <c r="K403" i="9"/>
  <c r="P403" i="9"/>
  <c r="K391" i="9"/>
  <c r="P391" i="9"/>
  <c r="K379" i="9"/>
  <c r="P379" i="9"/>
  <c r="K367" i="9"/>
  <c r="P367" i="9"/>
  <c r="K355" i="9"/>
  <c r="P355" i="9"/>
  <c r="K343" i="9"/>
  <c r="P343" i="9"/>
  <c r="K331" i="9"/>
  <c r="P331" i="9"/>
  <c r="K318" i="9"/>
  <c r="P318" i="9"/>
  <c r="K305" i="9"/>
  <c r="P305" i="9"/>
  <c r="K293" i="9"/>
  <c r="P293" i="9"/>
  <c r="K281" i="9"/>
  <c r="P281" i="9"/>
  <c r="K269" i="9"/>
  <c r="P269" i="9"/>
  <c r="K257" i="9"/>
  <c r="P257" i="9"/>
  <c r="K245" i="9"/>
  <c r="P245" i="9"/>
  <c r="K233" i="9"/>
  <c r="P233" i="9"/>
  <c r="K221" i="9"/>
  <c r="P221" i="9"/>
  <c r="K209" i="9"/>
  <c r="P209" i="9"/>
  <c r="K197" i="9"/>
  <c r="P197" i="9"/>
  <c r="K185" i="9"/>
  <c r="P185" i="9"/>
  <c r="K173" i="9"/>
  <c r="P173" i="9"/>
  <c r="K161" i="9"/>
  <c r="P161" i="9"/>
  <c r="K149" i="9"/>
  <c r="P149" i="9"/>
  <c r="K137" i="9"/>
  <c r="P137" i="9"/>
  <c r="K125" i="9"/>
  <c r="P125" i="9"/>
  <c r="K113" i="9"/>
  <c r="P113" i="9"/>
  <c r="K101" i="9"/>
  <c r="P101" i="9"/>
  <c r="K89" i="9"/>
  <c r="P89" i="9"/>
  <c r="K77" i="9"/>
  <c r="P77" i="9"/>
  <c r="K65" i="9"/>
  <c r="P65" i="9"/>
  <c r="K53" i="9"/>
  <c r="P53" i="9"/>
  <c r="K41" i="9"/>
  <c r="P41" i="9"/>
  <c r="K29" i="9"/>
  <c r="P29" i="9"/>
  <c r="K17" i="9"/>
  <c r="P17" i="9"/>
  <c r="K1663" i="9"/>
  <c r="P1663" i="9"/>
  <c r="K1650" i="9"/>
  <c r="P1650" i="9"/>
  <c r="K1638" i="9"/>
  <c r="P1638" i="9"/>
  <c r="K1626" i="9"/>
  <c r="P1626" i="9"/>
  <c r="K1614" i="9"/>
  <c r="P1614" i="9"/>
  <c r="K1602" i="9"/>
  <c r="P1602" i="9"/>
  <c r="K1590" i="9"/>
  <c r="P1590" i="9"/>
  <c r="K1578" i="9"/>
  <c r="P1578" i="9"/>
  <c r="K1566" i="9"/>
  <c r="P1566" i="9"/>
  <c r="K1554" i="9"/>
  <c r="P1554" i="9"/>
  <c r="K1542" i="9"/>
  <c r="P1542" i="9"/>
  <c r="K1530" i="9"/>
  <c r="P1530" i="9"/>
  <c r="K1518" i="9"/>
  <c r="P1518" i="9"/>
  <c r="K1506" i="9"/>
  <c r="P1506" i="9"/>
  <c r="K1494" i="9"/>
  <c r="P1494" i="9"/>
  <c r="K1482" i="9"/>
  <c r="P1482" i="9"/>
  <c r="K1470" i="9"/>
  <c r="P1470" i="9"/>
  <c r="K1458" i="9"/>
  <c r="P1458" i="9"/>
  <c r="K1446" i="9"/>
  <c r="P1446" i="9"/>
  <c r="K1434" i="9"/>
  <c r="P1434" i="9"/>
  <c r="K1422" i="9"/>
  <c r="P1422" i="9"/>
  <c r="K1410" i="9"/>
  <c r="P1410" i="9"/>
  <c r="K1398" i="9"/>
  <c r="P1398" i="9"/>
  <c r="K1386" i="9"/>
  <c r="P1386" i="9"/>
  <c r="K1374" i="9"/>
  <c r="P1374" i="9"/>
  <c r="K1362" i="9"/>
  <c r="P1362" i="9"/>
  <c r="K1350" i="9"/>
  <c r="P1350" i="9"/>
  <c r="K1338" i="9"/>
  <c r="P1338" i="9"/>
  <c r="K1326" i="9"/>
  <c r="P1326" i="9"/>
  <c r="K1314" i="9"/>
  <c r="P1314" i="9"/>
  <c r="K1302" i="9"/>
  <c r="P1302" i="9"/>
  <c r="K1290" i="9"/>
  <c r="P1290" i="9"/>
  <c r="K1278" i="9"/>
  <c r="P1278" i="9"/>
  <c r="K1266" i="9"/>
  <c r="P1266" i="9"/>
  <c r="K1254" i="9"/>
  <c r="P1254" i="9"/>
  <c r="K1242" i="9"/>
  <c r="P1242" i="9"/>
  <c r="K1230" i="9"/>
  <c r="P1230" i="9"/>
  <c r="K1218" i="9"/>
  <c r="P1218" i="9"/>
  <c r="K1206" i="9"/>
  <c r="P1206" i="9"/>
  <c r="K1194" i="9"/>
  <c r="P1194" i="9"/>
  <c r="K1182" i="9"/>
  <c r="P1182" i="9"/>
  <c r="K1170" i="9"/>
  <c r="P1170" i="9"/>
  <c r="K1158" i="9"/>
  <c r="P1158" i="9"/>
  <c r="K1146" i="9"/>
  <c r="P1146" i="9"/>
  <c r="K1134" i="9"/>
  <c r="P1134" i="9"/>
  <c r="K1122" i="9"/>
  <c r="P1122" i="9"/>
  <c r="K1110" i="9"/>
  <c r="P1110" i="9"/>
  <c r="K1098" i="9"/>
  <c r="P1098" i="9"/>
  <c r="K1086" i="9"/>
  <c r="P1086" i="9"/>
  <c r="K1074" i="9"/>
  <c r="P1074" i="9"/>
  <c r="K1062" i="9"/>
  <c r="P1062" i="9"/>
  <c r="K1050" i="9"/>
  <c r="P1050" i="9"/>
  <c r="K1038" i="9"/>
  <c r="P1038" i="9"/>
  <c r="K1026" i="9"/>
  <c r="P1026" i="9"/>
  <c r="K1014" i="9"/>
  <c r="P1014" i="9"/>
  <c r="K1002" i="9"/>
  <c r="P1002" i="9"/>
  <c r="K990" i="9"/>
  <c r="P990" i="9"/>
  <c r="K978" i="9"/>
  <c r="P978" i="9"/>
  <c r="K966" i="9"/>
  <c r="P966" i="9"/>
  <c r="K954" i="9"/>
  <c r="P954" i="9"/>
  <c r="K942" i="9"/>
  <c r="P942" i="9"/>
  <c r="K930" i="9"/>
  <c r="P930" i="9"/>
  <c r="K918" i="9"/>
  <c r="P918" i="9"/>
  <c r="K906" i="9"/>
  <c r="P906" i="9"/>
  <c r="K894" i="9"/>
  <c r="P894" i="9"/>
  <c r="K882" i="9"/>
  <c r="P882" i="9"/>
  <c r="K870" i="9"/>
  <c r="P870" i="9"/>
  <c r="K858" i="9"/>
  <c r="P858" i="9"/>
  <c r="K846" i="9"/>
  <c r="P846" i="9"/>
  <c r="K834" i="9"/>
  <c r="P834" i="9"/>
  <c r="K822" i="9"/>
  <c r="P822" i="9"/>
  <c r="K810" i="9"/>
  <c r="P810" i="9"/>
  <c r="K798" i="9"/>
  <c r="P798" i="9"/>
  <c r="K786" i="9"/>
  <c r="P786" i="9"/>
  <c r="K774" i="9"/>
  <c r="P774" i="9"/>
  <c r="K762" i="9"/>
  <c r="P762" i="9"/>
  <c r="K750" i="9"/>
  <c r="P750" i="9"/>
  <c r="K738" i="9"/>
  <c r="P738" i="9"/>
  <c r="K726" i="9"/>
  <c r="P726" i="9"/>
  <c r="K714" i="9"/>
  <c r="P714" i="9"/>
  <c r="K702" i="9"/>
  <c r="P702" i="9"/>
  <c r="K690" i="9"/>
  <c r="P690" i="9"/>
  <c r="K678" i="9"/>
  <c r="P678" i="9"/>
  <c r="K666" i="9"/>
  <c r="P666" i="9"/>
  <c r="K654" i="9"/>
  <c r="P654" i="9"/>
  <c r="K642" i="9"/>
  <c r="P642" i="9"/>
  <c r="K630" i="9"/>
  <c r="P630" i="9"/>
  <c r="K618" i="9"/>
  <c r="P618" i="9"/>
  <c r="K606" i="9"/>
  <c r="P606" i="9"/>
  <c r="K594" i="9"/>
  <c r="P594" i="9"/>
  <c r="K582" i="9"/>
  <c r="P582" i="9"/>
  <c r="K570" i="9"/>
  <c r="P570" i="9"/>
  <c r="K558" i="9"/>
  <c r="P558" i="9"/>
  <c r="K546" i="9"/>
  <c r="P546" i="9"/>
  <c r="K534" i="9"/>
  <c r="P534" i="9"/>
  <c r="K522" i="9"/>
  <c r="P522" i="9"/>
  <c r="K510" i="9"/>
  <c r="P510" i="9"/>
  <c r="K498" i="9"/>
  <c r="P498" i="9"/>
  <c r="K486" i="9"/>
  <c r="P486" i="9"/>
  <c r="K474" i="9"/>
  <c r="P474" i="9"/>
  <c r="K462" i="9"/>
  <c r="P462" i="9"/>
  <c r="K450" i="9"/>
  <c r="P450" i="9"/>
  <c r="K438" i="9"/>
  <c r="P438" i="9"/>
  <c r="K426" i="9"/>
  <c r="P426" i="9"/>
  <c r="K414" i="9"/>
  <c r="P414" i="9"/>
  <c r="K402" i="9"/>
  <c r="P402" i="9"/>
  <c r="K390" i="9"/>
  <c r="P390" i="9"/>
  <c r="K378" i="9"/>
  <c r="P378" i="9"/>
  <c r="K366" i="9"/>
  <c r="P366" i="9"/>
  <c r="K354" i="9"/>
  <c r="P354" i="9"/>
  <c r="K342" i="9"/>
  <c r="P342" i="9"/>
  <c r="K330" i="9"/>
  <c r="P330" i="9"/>
  <c r="K317" i="9"/>
  <c r="P317" i="9"/>
  <c r="K304" i="9"/>
  <c r="P304" i="9"/>
  <c r="K292" i="9"/>
  <c r="P292" i="9"/>
  <c r="K280" i="9"/>
  <c r="P280" i="9"/>
  <c r="K268" i="9"/>
  <c r="P268" i="9"/>
  <c r="K256" i="9"/>
  <c r="P256" i="9"/>
  <c r="K244" i="9"/>
  <c r="P244" i="9"/>
  <c r="K232" i="9"/>
  <c r="P232" i="9"/>
  <c r="K220" i="9"/>
  <c r="P220" i="9"/>
  <c r="K208" i="9"/>
  <c r="P208" i="9"/>
  <c r="K196" i="9"/>
  <c r="P196" i="9"/>
  <c r="K184" i="9"/>
  <c r="P184" i="9"/>
  <c r="K172" i="9"/>
  <c r="P172" i="9"/>
  <c r="K160" i="9"/>
  <c r="P160" i="9"/>
  <c r="K148" i="9"/>
  <c r="P148" i="9"/>
  <c r="K136" i="9"/>
  <c r="P136" i="9"/>
  <c r="K124" i="9"/>
  <c r="P124" i="9"/>
  <c r="K112" i="9"/>
  <c r="P112" i="9"/>
  <c r="K100" i="9"/>
  <c r="P100" i="9"/>
  <c r="K88" i="9"/>
  <c r="P88" i="9"/>
  <c r="K76" i="9"/>
  <c r="P76" i="9"/>
  <c r="K64" i="9"/>
  <c r="P64" i="9"/>
  <c r="K52" i="9"/>
  <c r="P52" i="9"/>
  <c r="K40" i="9"/>
  <c r="P40" i="9"/>
  <c r="K28" i="9"/>
  <c r="P28" i="9"/>
  <c r="K16" i="9"/>
  <c r="P16" i="9"/>
  <c r="K4" i="9"/>
  <c r="P4" i="9"/>
  <c r="K1662" i="9"/>
  <c r="P1662" i="9"/>
  <c r="K1637" i="9"/>
  <c r="P1637" i="9"/>
  <c r="K1625" i="9"/>
  <c r="P1625" i="9"/>
  <c r="K1613" i="9"/>
  <c r="P1613" i="9"/>
  <c r="K1601" i="9"/>
  <c r="P1601" i="9"/>
  <c r="K1589" i="9"/>
  <c r="P1589" i="9"/>
  <c r="K1577" i="9"/>
  <c r="P1577" i="9"/>
  <c r="K1565" i="9"/>
  <c r="P1565" i="9"/>
  <c r="K1553" i="9"/>
  <c r="P1553" i="9"/>
  <c r="K1541" i="9"/>
  <c r="P1541" i="9"/>
  <c r="K1529" i="9"/>
  <c r="P1529" i="9"/>
  <c r="K1517" i="9"/>
  <c r="P1517" i="9"/>
  <c r="K1505" i="9"/>
  <c r="P1505" i="9"/>
  <c r="K1493" i="9"/>
  <c r="P1493" i="9"/>
  <c r="K1481" i="9"/>
  <c r="P1481" i="9"/>
  <c r="K1469" i="9"/>
  <c r="P1469" i="9"/>
  <c r="K1457" i="9"/>
  <c r="P1457" i="9"/>
  <c r="K1445" i="9"/>
  <c r="P1445" i="9"/>
  <c r="K1433" i="9"/>
  <c r="P1433" i="9"/>
  <c r="K1421" i="9"/>
  <c r="AF33" i="11" s="1"/>
  <c r="P1421" i="9"/>
  <c r="K1409" i="9"/>
  <c r="P1409" i="9"/>
  <c r="K1397" i="9"/>
  <c r="P1397" i="9"/>
  <c r="K1385" i="9"/>
  <c r="P1385" i="9"/>
  <c r="K1373" i="9"/>
  <c r="P1373" i="9"/>
  <c r="K1361" i="9"/>
  <c r="P1361" i="9"/>
  <c r="K1349" i="9"/>
  <c r="P1349" i="9"/>
  <c r="K1337" i="9"/>
  <c r="P1337" i="9"/>
  <c r="K1325" i="9"/>
  <c r="P1325" i="9"/>
  <c r="K1313" i="9"/>
  <c r="P1313" i="9"/>
  <c r="K1301" i="9"/>
  <c r="P1301" i="9"/>
  <c r="K1289" i="9"/>
  <c r="P1289" i="9"/>
  <c r="K1277" i="9"/>
  <c r="P1277" i="9"/>
  <c r="K1265" i="9"/>
  <c r="P1265" i="9"/>
  <c r="K1253" i="9"/>
  <c r="P1253" i="9"/>
  <c r="K1241" i="9"/>
  <c r="P1241" i="9"/>
  <c r="K1229" i="9"/>
  <c r="P1229" i="9"/>
  <c r="K1217" i="9"/>
  <c r="P1217" i="9"/>
  <c r="K1205" i="9"/>
  <c r="P1205" i="9"/>
  <c r="K1193" i="9"/>
  <c r="P1193" i="9"/>
  <c r="K1181" i="9"/>
  <c r="P1181" i="9"/>
  <c r="K1169" i="9"/>
  <c r="P1169" i="9"/>
  <c r="K1145" i="9"/>
  <c r="P1145" i="9"/>
  <c r="K1133" i="9"/>
  <c r="P1133" i="9"/>
  <c r="K1121" i="9"/>
  <c r="P1121" i="9"/>
  <c r="K1109" i="9"/>
  <c r="P1109" i="9"/>
  <c r="K1097" i="9"/>
  <c r="P1097" i="9"/>
  <c r="K1085" i="9"/>
  <c r="P1085" i="9"/>
  <c r="K1073" i="9"/>
  <c r="P1073" i="9"/>
  <c r="K1061" i="9"/>
  <c r="P1061" i="9"/>
  <c r="K1049" i="9"/>
  <c r="P1049" i="9"/>
  <c r="K1037" i="9"/>
  <c r="P1037" i="9"/>
  <c r="K1025" i="9"/>
  <c r="P1025" i="9"/>
  <c r="K1013" i="9"/>
  <c r="P1013" i="9"/>
  <c r="K1001" i="9"/>
  <c r="P1001" i="9"/>
  <c r="K989" i="9"/>
  <c r="P989" i="9"/>
  <c r="K977" i="9"/>
  <c r="P977" i="9"/>
  <c r="K965" i="9"/>
  <c r="P965" i="9"/>
  <c r="K953" i="9"/>
  <c r="P953" i="9"/>
  <c r="K941" i="9"/>
  <c r="P941" i="9"/>
  <c r="K929" i="9"/>
  <c r="P929" i="9"/>
  <c r="K917" i="9"/>
  <c r="P917" i="9"/>
  <c r="K905" i="9"/>
  <c r="P905" i="9"/>
  <c r="K893" i="9"/>
  <c r="P893" i="9"/>
  <c r="K881" i="9"/>
  <c r="P881" i="9"/>
  <c r="K869" i="9"/>
  <c r="P869" i="9"/>
  <c r="K857" i="9"/>
  <c r="P857" i="9"/>
  <c r="K845" i="9"/>
  <c r="P845" i="9"/>
  <c r="K833" i="9"/>
  <c r="P833" i="9"/>
  <c r="K821" i="9"/>
  <c r="P821" i="9"/>
  <c r="K809" i="9"/>
  <c r="P809" i="9"/>
  <c r="K797" i="9"/>
  <c r="P797" i="9"/>
  <c r="K785" i="9"/>
  <c r="P785" i="9"/>
  <c r="K773" i="9"/>
  <c r="P773" i="9"/>
  <c r="K761" i="9"/>
  <c r="P761" i="9"/>
  <c r="K749" i="9"/>
  <c r="P749" i="9"/>
  <c r="K737" i="9"/>
  <c r="P737" i="9"/>
  <c r="K725" i="9"/>
  <c r="P725" i="9"/>
  <c r="K713" i="9"/>
  <c r="P713" i="9"/>
  <c r="K701" i="9"/>
  <c r="P701" i="9"/>
  <c r="K689" i="9"/>
  <c r="P689" i="9"/>
  <c r="K677" i="9"/>
  <c r="P677" i="9"/>
  <c r="K665" i="9"/>
  <c r="P665" i="9"/>
  <c r="K653" i="9"/>
  <c r="P653" i="9"/>
  <c r="K641" i="9"/>
  <c r="P641" i="9"/>
  <c r="K629" i="9"/>
  <c r="P629" i="9"/>
  <c r="K617" i="9"/>
  <c r="P617" i="9"/>
  <c r="K605" i="9"/>
  <c r="P605" i="9"/>
  <c r="K593" i="9"/>
  <c r="P593" i="9"/>
  <c r="K581" i="9"/>
  <c r="P581" i="9"/>
  <c r="K569" i="9"/>
  <c r="P569" i="9"/>
  <c r="K557" i="9"/>
  <c r="P557" i="9"/>
  <c r="K545" i="9"/>
  <c r="P545" i="9"/>
  <c r="K533" i="9"/>
  <c r="P533" i="9"/>
  <c r="K521" i="9"/>
  <c r="P521" i="9"/>
  <c r="K509" i="9"/>
  <c r="P509" i="9"/>
  <c r="K497" i="9"/>
  <c r="P497" i="9"/>
  <c r="K485" i="9"/>
  <c r="P485" i="9"/>
  <c r="K473" i="9"/>
  <c r="P473" i="9"/>
  <c r="K461" i="9"/>
  <c r="P461" i="9"/>
  <c r="K449" i="9"/>
  <c r="P449" i="9"/>
  <c r="K437" i="9"/>
  <c r="P437" i="9"/>
  <c r="K425" i="9"/>
  <c r="P425" i="9"/>
  <c r="K413" i="9"/>
  <c r="P413" i="9"/>
  <c r="K401" i="9"/>
  <c r="P401" i="9"/>
  <c r="K389" i="9"/>
  <c r="P389" i="9"/>
  <c r="K377" i="9"/>
  <c r="P377" i="9"/>
  <c r="K365" i="9"/>
  <c r="P365" i="9"/>
  <c r="K353" i="9"/>
  <c r="P353" i="9"/>
  <c r="K341" i="9"/>
  <c r="P341" i="9"/>
  <c r="K329" i="9"/>
  <c r="P329" i="9"/>
  <c r="K315" i="9"/>
  <c r="P315" i="9"/>
  <c r="K303" i="9"/>
  <c r="P303" i="9"/>
  <c r="K291" i="9"/>
  <c r="P291" i="9"/>
  <c r="K279" i="9"/>
  <c r="P279" i="9"/>
  <c r="K267" i="9"/>
  <c r="P267" i="9"/>
  <c r="K255" i="9"/>
  <c r="P255" i="9"/>
  <c r="K243" i="9"/>
  <c r="P243" i="9"/>
  <c r="K231" i="9"/>
  <c r="P231" i="9"/>
  <c r="K219" i="9"/>
  <c r="P219" i="9"/>
  <c r="K207" i="9"/>
  <c r="P207" i="9"/>
  <c r="K195" i="9"/>
  <c r="P195" i="9"/>
  <c r="K183" i="9"/>
  <c r="P183" i="9"/>
  <c r="K171" i="9"/>
  <c r="P171" i="9"/>
  <c r="K159" i="9"/>
  <c r="P159" i="9"/>
  <c r="K147" i="9"/>
  <c r="P147" i="9"/>
  <c r="K135" i="9"/>
  <c r="P135" i="9"/>
  <c r="K123" i="9"/>
  <c r="P123" i="9"/>
  <c r="K111" i="9"/>
  <c r="P111" i="9"/>
  <c r="K99" i="9"/>
  <c r="P99" i="9"/>
  <c r="K87" i="9"/>
  <c r="P87" i="9"/>
  <c r="K75" i="9"/>
  <c r="P75" i="9"/>
  <c r="K63" i="9"/>
  <c r="P63" i="9"/>
  <c r="K51" i="9"/>
  <c r="P51" i="9"/>
  <c r="K39" i="9"/>
  <c r="P39" i="9"/>
  <c r="K27" i="9"/>
  <c r="P27" i="9"/>
  <c r="K15" i="9"/>
  <c r="P15" i="9"/>
  <c r="K3" i="9"/>
  <c r="P3" i="9"/>
  <c r="K1692" i="9"/>
  <c r="P1692" i="9"/>
  <c r="K1680" i="9"/>
  <c r="P1680" i="9"/>
  <c r="K1668" i="9"/>
  <c r="P1668" i="9"/>
  <c r="K1661" i="9"/>
  <c r="P1661" i="9"/>
  <c r="K1648" i="9"/>
  <c r="P1648" i="9"/>
  <c r="K1636" i="9"/>
  <c r="P1636" i="9"/>
  <c r="K1624" i="9"/>
  <c r="P1624" i="9"/>
  <c r="K1612" i="9"/>
  <c r="P1612" i="9"/>
  <c r="K1600" i="9"/>
  <c r="P1600" i="9"/>
  <c r="K1588" i="9"/>
  <c r="P1588" i="9"/>
  <c r="K1576" i="9"/>
  <c r="P1576" i="9"/>
  <c r="K1564" i="9"/>
  <c r="P1564" i="9"/>
  <c r="K1552" i="9"/>
  <c r="P1552" i="9"/>
  <c r="K1540" i="9"/>
  <c r="P1540" i="9"/>
  <c r="K1528" i="9"/>
  <c r="P1528" i="9"/>
  <c r="K1516" i="9"/>
  <c r="P1516" i="9"/>
  <c r="K1504" i="9"/>
  <c r="P1504" i="9"/>
  <c r="K1492" i="9"/>
  <c r="P1492" i="9"/>
  <c r="K1480" i="9"/>
  <c r="P1480" i="9"/>
  <c r="K1468" i="9"/>
  <c r="P1468" i="9"/>
  <c r="K1456" i="9"/>
  <c r="P1456" i="9"/>
  <c r="K1444" i="9"/>
  <c r="P1444" i="9"/>
  <c r="K1432" i="9"/>
  <c r="P1432" i="9"/>
  <c r="K1420" i="9"/>
  <c r="P1420" i="9"/>
  <c r="K1408" i="9"/>
  <c r="P1408" i="9"/>
  <c r="K1396" i="9"/>
  <c r="P1396" i="9"/>
  <c r="K1384" i="9"/>
  <c r="P1384" i="9"/>
  <c r="K1372" i="9"/>
  <c r="P1372" i="9"/>
  <c r="K1360" i="9"/>
  <c r="P1360" i="9"/>
  <c r="K1348" i="9"/>
  <c r="P1348" i="9"/>
  <c r="K1336" i="9"/>
  <c r="P1336" i="9"/>
  <c r="K1324" i="9"/>
  <c r="P1324" i="9"/>
  <c r="K1312" i="9"/>
  <c r="P1312" i="9"/>
  <c r="K1300" i="9"/>
  <c r="P1300" i="9"/>
  <c r="K1288" i="9"/>
  <c r="P1288" i="9"/>
  <c r="K1276" i="9"/>
  <c r="P1276" i="9"/>
  <c r="K1264" i="9"/>
  <c r="P1264" i="9"/>
  <c r="K1252" i="9"/>
  <c r="P1252" i="9"/>
  <c r="K1240" i="9"/>
  <c r="P1240" i="9"/>
  <c r="K1228" i="9"/>
  <c r="P1228" i="9"/>
  <c r="K1216" i="9"/>
  <c r="P1216" i="9"/>
  <c r="K1204" i="9"/>
  <c r="P1204" i="9"/>
  <c r="K1192" i="9"/>
  <c r="P1192" i="9"/>
  <c r="K1180" i="9"/>
  <c r="P1180" i="9"/>
  <c r="K1168" i="9"/>
  <c r="P1168" i="9"/>
  <c r="K1144" i="9"/>
  <c r="P1144" i="9"/>
  <c r="K1132" i="9"/>
  <c r="P1132" i="9"/>
  <c r="K1120" i="9"/>
  <c r="P1120" i="9"/>
  <c r="K1108" i="9"/>
  <c r="P1108" i="9"/>
  <c r="K1096" i="9"/>
  <c r="P1096" i="9"/>
  <c r="K1084" i="9"/>
  <c r="P1084" i="9"/>
  <c r="K1072" i="9"/>
  <c r="P1072" i="9"/>
  <c r="K1060" i="9"/>
  <c r="P1060" i="9"/>
  <c r="K1048" i="9"/>
  <c r="P1048" i="9"/>
  <c r="K1036" i="9"/>
  <c r="P1036" i="9"/>
  <c r="K1024" i="9"/>
  <c r="P1024" i="9"/>
  <c r="K1012" i="9"/>
  <c r="P1012" i="9"/>
  <c r="K1000" i="9"/>
  <c r="P1000" i="9"/>
  <c r="K988" i="9"/>
  <c r="P988" i="9"/>
  <c r="K976" i="9"/>
  <c r="P976" i="9"/>
  <c r="K964" i="9"/>
  <c r="P964" i="9"/>
  <c r="K952" i="9"/>
  <c r="P952" i="9"/>
  <c r="K940" i="9"/>
  <c r="P940" i="9"/>
  <c r="K928" i="9"/>
  <c r="P928" i="9"/>
  <c r="K916" i="9"/>
  <c r="P916" i="9"/>
  <c r="K904" i="9"/>
  <c r="P904" i="9"/>
  <c r="K892" i="9"/>
  <c r="P892" i="9"/>
  <c r="K880" i="9"/>
  <c r="P880" i="9"/>
  <c r="K868" i="9"/>
  <c r="P868" i="9"/>
  <c r="K856" i="9"/>
  <c r="P856" i="9"/>
  <c r="K844" i="9"/>
  <c r="P844" i="9"/>
  <c r="K832" i="9"/>
  <c r="P832" i="9"/>
  <c r="K820" i="9"/>
  <c r="P820" i="9"/>
  <c r="K808" i="9"/>
  <c r="P808" i="9"/>
  <c r="K796" i="9"/>
  <c r="P796" i="9"/>
  <c r="K784" i="9"/>
  <c r="P784" i="9"/>
  <c r="K772" i="9"/>
  <c r="P772" i="9"/>
  <c r="K760" i="9"/>
  <c r="P760" i="9"/>
  <c r="K748" i="9"/>
  <c r="P748" i="9"/>
  <c r="K736" i="9"/>
  <c r="P736" i="9"/>
  <c r="K724" i="9"/>
  <c r="P724" i="9"/>
  <c r="K712" i="9"/>
  <c r="P712" i="9"/>
  <c r="K700" i="9"/>
  <c r="P700" i="9"/>
  <c r="K688" i="9"/>
  <c r="P688" i="9"/>
  <c r="K676" i="9"/>
  <c r="P676" i="9"/>
  <c r="K664" i="9"/>
  <c r="P664" i="9"/>
  <c r="K652" i="9"/>
  <c r="P652" i="9"/>
  <c r="K640" i="9"/>
  <c r="P640" i="9"/>
  <c r="K628" i="9"/>
  <c r="P628" i="9"/>
  <c r="K616" i="9"/>
  <c r="P616" i="9"/>
  <c r="K604" i="9"/>
  <c r="P604" i="9"/>
  <c r="K592" i="9"/>
  <c r="P592" i="9"/>
  <c r="K580" i="9"/>
  <c r="P580" i="9"/>
  <c r="K568" i="9"/>
  <c r="P568" i="9"/>
  <c r="K556" i="9"/>
  <c r="P556" i="9"/>
  <c r="K544" i="9"/>
  <c r="P544" i="9"/>
  <c r="K532" i="9"/>
  <c r="P532" i="9"/>
  <c r="K520" i="9"/>
  <c r="P520" i="9"/>
  <c r="K508" i="9"/>
  <c r="P508" i="9"/>
  <c r="K496" i="9"/>
  <c r="P496" i="9"/>
  <c r="K484" i="9"/>
  <c r="P484" i="9"/>
  <c r="K472" i="9"/>
  <c r="P472" i="9"/>
  <c r="K460" i="9"/>
  <c r="P460" i="9"/>
  <c r="K448" i="9"/>
  <c r="P448" i="9"/>
  <c r="K436" i="9"/>
  <c r="P436" i="9"/>
  <c r="K424" i="9"/>
  <c r="P424" i="9"/>
  <c r="K412" i="9"/>
  <c r="P412" i="9"/>
  <c r="K400" i="9"/>
  <c r="P400" i="9"/>
  <c r="K388" i="9"/>
  <c r="P388" i="9"/>
  <c r="K376" i="9"/>
  <c r="P376" i="9"/>
  <c r="K364" i="9"/>
  <c r="P364" i="9"/>
  <c r="K352" i="9"/>
  <c r="P352" i="9"/>
  <c r="K340" i="9"/>
  <c r="P340" i="9"/>
  <c r="K328" i="9"/>
  <c r="P328" i="9"/>
  <c r="K314" i="9"/>
  <c r="P314" i="9"/>
  <c r="K302" i="9"/>
  <c r="P302" i="9"/>
  <c r="K290" i="9"/>
  <c r="P290" i="9"/>
  <c r="K278" i="9"/>
  <c r="P278" i="9"/>
  <c r="K266" i="9"/>
  <c r="P266" i="9"/>
  <c r="K254" i="9"/>
  <c r="P254" i="9"/>
  <c r="K242" i="9"/>
  <c r="P242" i="9"/>
  <c r="K230" i="9"/>
  <c r="P230" i="9"/>
  <c r="K218" i="9"/>
  <c r="P218" i="9"/>
  <c r="K206" i="9"/>
  <c r="P206" i="9"/>
  <c r="K194" i="9"/>
  <c r="P194" i="9"/>
  <c r="K182" i="9"/>
  <c r="P182" i="9"/>
  <c r="K170" i="9"/>
  <c r="P170" i="9"/>
  <c r="K158" i="9"/>
  <c r="P158" i="9"/>
  <c r="K146" i="9"/>
  <c r="P146" i="9"/>
  <c r="K134" i="9"/>
  <c r="P134" i="9"/>
  <c r="K122" i="9"/>
  <c r="P122" i="9"/>
  <c r="K110" i="9"/>
  <c r="P110" i="9"/>
  <c r="K98" i="9"/>
  <c r="P98" i="9"/>
  <c r="K86" i="9"/>
  <c r="P86" i="9"/>
  <c r="K74" i="9"/>
  <c r="P74" i="9"/>
  <c r="K62" i="9"/>
  <c r="P62" i="9"/>
  <c r="K50" i="9"/>
  <c r="P50" i="9"/>
  <c r="K38" i="9"/>
  <c r="P38" i="9"/>
  <c r="K26" i="9"/>
  <c r="P26" i="9"/>
  <c r="K14" i="9"/>
  <c r="P14" i="9"/>
  <c r="K1691" i="9"/>
  <c r="P1691" i="9"/>
  <c r="K1679" i="9"/>
  <c r="P1679" i="9"/>
  <c r="K1667" i="9"/>
  <c r="P1667" i="9"/>
  <c r="P325" i="9"/>
  <c r="K1660" i="9"/>
  <c r="P1660" i="9"/>
  <c r="K1647" i="9"/>
  <c r="P1647" i="9"/>
  <c r="K1635" i="9"/>
  <c r="P1635" i="9"/>
  <c r="K1623" i="9"/>
  <c r="P1623" i="9"/>
  <c r="K1611" i="9"/>
  <c r="P1611" i="9"/>
  <c r="K1599" i="9"/>
  <c r="P1599" i="9"/>
  <c r="K1587" i="9"/>
  <c r="P1587" i="9"/>
  <c r="K1575" i="9"/>
  <c r="P1575" i="9"/>
  <c r="K1563" i="9"/>
  <c r="P1563" i="9"/>
  <c r="K1551" i="9"/>
  <c r="P1551" i="9"/>
  <c r="K1539" i="9"/>
  <c r="P1539" i="9"/>
  <c r="K1527" i="9"/>
  <c r="P1527" i="9"/>
  <c r="K1515" i="9"/>
  <c r="P1515" i="9"/>
  <c r="K1503" i="9"/>
  <c r="P1503" i="9"/>
  <c r="K1491" i="9"/>
  <c r="P1491" i="9"/>
  <c r="K1479" i="9"/>
  <c r="P1479" i="9"/>
  <c r="K1467" i="9"/>
  <c r="P1467" i="9"/>
  <c r="K1455" i="9"/>
  <c r="P1455" i="9"/>
  <c r="K1443" i="9"/>
  <c r="P1443" i="9"/>
  <c r="K1431" i="9"/>
  <c r="P1431" i="9"/>
  <c r="K1419" i="9"/>
  <c r="P1419" i="9"/>
  <c r="K1407" i="9"/>
  <c r="P1407" i="9"/>
  <c r="K1395" i="9"/>
  <c r="P1395" i="9"/>
  <c r="K1383" i="9"/>
  <c r="P1383" i="9"/>
  <c r="K1371" i="9"/>
  <c r="P1371" i="9"/>
  <c r="K1359" i="9"/>
  <c r="P1359" i="9"/>
  <c r="K1347" i="9"/>
  <c r="P1347" i="9"/>
  <c r="K1335" i="9"/>
  <c r="P1335" i="9"/>
  <c r="K1323" i="9"/>
  <c r="P1323" i="9"/>
  <c r="K1311" i="9"/>
  <c r="P1311" i="9"/>
  <c r="K1299" i="9"/>
  <c r="P1299" i="9"/>
  <c r="K1287" i="9"/>
  <c r="P1287" i="9"/>
  <c r="K1275" i="9"/>
  <c r="P1275" i="9"/>
  <c r="K1263" i="9"/>
  <c r="P1263" i="9"/>
  <c r="K1251" i="9"/>
  <c r="P1251" i="9"/>
  <c r="K1239" i="9"/>
  <c r="P1239" i="9"/>
  <c r="K1227" i="9"/>
  <c r="P1227" i="9"/>
  <c r="K1215" i="9"/>
  <c r="P1215" i="9"/>
  <c r="K1203" i="9"/>
  <c r="P1203" i="9"/>
  <c r="K1191" i="9"/>
  <c r="P1191" i="9"/>
  <c r="K1179" i="9"/>
  <c r="P1179" i="9"/>
  <c r="K1167" i="9"/>
  <c r="P1167" i="9"/>
  <c r="K1155" i="9"/>
  <c r="P1155" i="9"/>
  <c r="K1143" i="9"/>
  <c r="P1143" i="9"/>
  <c r="K1131" i="9"/>
  <c r="P1131" i="9"/>
  <c r="K1119" i="9"/>
  <c r="P1119" i="9"/>
  <c r="K1107" i="9"/>
  <c r="P1107" i="9"/>
  <c r="K1095" i="9"/>
  <c r="P1095" i="9"/>
  <c r="K1083" i="9"/>
  <c r="P1083" i="9"/>
  <c r="K1071" i="9"/>
  <c r="P1071" i="9"/>
  <c r="K1059" i="9"/>
  <c r="P1059" i="9"/>
  <c r="K1047" i="9"/>
  <c r="P1047" i="9"/>
  <c r="K1035" i="9"/>
  <c r="P1035" i="9"/>
  <c r="K1023" i="9"/>
  <c r="P1023" i="9"/>
  <c r="K1011" i="9"/>
  <c r="P1011" i="9"/>
  <c r="K999" i="9"/>
  <c r="P999" i="9"/>
  <c r="K987" i="9"/>
  <c r="P987" i="9"/>
  <c r="K975" i="9"/>
  <c r="P975" i="9"/>
  <c r="K963" i="9"/>
  <c r="P963" i="9"/>
  <c r="K951" i="9"/>
  <c r="P951" i="9"/>
  <c r="K939" i="9"/>
  <c r="P939" i="9"/>
  <c r="K927" i="9"/>
  <c r="P927" i="9"/>
  <c r="K915" i="9"/>
  <c r="P915" i="9"/>
  <c r="K903" i="9"/>
  <c r="P903" i="9"/>
  <c r="K891" i="9"/>
  <c r="P891" i="9"/>
  <c r="K879" i="9"/>
  <c r="P879" i="9"/>
  <c r="K867" i="9"/>
  <c r="P867" i="9"/>
  <c r="K855" i="9"/>
  <c r="P855" i="9"/>
  <c r="K843" i="9"/>
  <c r="P843" i="9"/>
  <c r="K831" i="9"/>
  <c r="P831" i="9"/>
  <c r="K819" i="9"/>
  <c r="P819" i="9"/>
  <c r="K807" i="9"/>
  <c r="P807" i="9"/>
  <c r="K795" i="9"/>
  <c r="P795" i="9"/>
  <c r="K783" i="9"/>
  <c r="P783" i="9"/>
  <c r="K771" i="9"/>
  <c r="P771" i="9"/>
  <c r="K759" i="9"/>
  <c r="P759" i="9"/>
  <c r="K747" i="9"/>
  <c r="P747" i="9"/>
  <c r="K735" i="9"/>
  <c r="P735" i="9"/>
  <c r="K723" i="9"/>
  <c r="P723" i="9"/>
  <c r="K711" i="9"/>
  <c r="P711" i="9"/>
  <c r="K699" i="9"/>
  <c r="P699" i="9"/>
  <c r="K687" i="9"/>
  <c r="P687" i="9"/>
  <c r="K675" i="9"/>
  <c r="P675" i="9"/>
  <c r="K663" i="9"/>
  <c r="P663" i="9"/>
  <c r="K651" i="9"/>
  <c r="P651" i="9"/>
  <c r="K639" i="9"/>
  <c r="P639" i="9"/>
  <c r="K627" i="9"/>
  <c r="P627" i="9"/>
  <c r="K615" i="9"/>
  <c r="P615" i="9"/>
  <c r="K603" i="9"/>
  <c r="P603" i="9"/>
  <c r="K591" i="9"/>
  <c r="P591" i="9"/>
  <c r="K579" i="9"/>
  <c r="P579" i="9"/>
  <c r="K567" i="9"/>
  <c r="P567" i="9"/>
  <c r="K555" i="9"/>
  <c r="P555" i="9"/>
  <c r="K543" i="9"/>
  <c r="P543" i="9"/>
  <c r="K531" i="9"/>
  <c r="P531" i="9"/>
  <c r="K519" i="9"/>
  <c r="P519" i="9"/>
  <c r="K507" i="9"/>
  <c r="P507" i="9"/>
  <c r="K495" i="9"/>
  <c r="P495" i="9"/>
  <c r="K483" i="9"/>
  <c r="P483" i="9"/>
  <c r="K471" i="9"/>
  <c r="P471" i="9"/>
  <c r="K459" i="9"/>
  <c r="P459" i="9"/>
  <c r="K447" i="9"/>
  <c r="P447" i="9"/>
  <c r="K435" i="9"/>
  <c r="P435" i="9"/>
  <c r="K423" i="9"/>
  <c r="P423" i="9"/>
  <c r="K411" i="9"/>
  <c r="P411" i="9"/>
  <c r="K399" i="9"/>
  <c r="P399" i="9"/>
  <c r="K387" i="9"/>
  <c r="P387" i="9"/>
  <c r="K375" i="9"/>
  <c r="P375" i="9"/>
  <c r="K363" i="9"/>
  <c r="P363" i="9"/>
  <c r="K351" i="9"/>
  <c r="P351" i="9"/>
  <c r="K339" i="9"/>
  <c r="P339" i="9"/>
  <c r="K327" i="9"/>
  <c r="P327" i="9"/>
  <c r="K313" i="9"/>
  <c r="P313" i="9"/>
  <c r="K301" i="9"/>
  <c r="P301" i="9"/>
  <c r="K289" i="9"/>
  <c r="P289" i="9"/>
  <c r="K277" i="9"/>
  <c r="P277" i="9"/>
  <c r="K265" i="9"/>
  <c r="P265" i="9"/>
  <c r="K253" i="9"/>
  <c r="P253" i="9"/>
  <c r="K241" i="9"/>
  <c r="P241" i="9"/>
  <c r="K229" i="9"/>
  <c r="P229" i="9"/>
  <c r="K217" i="9"/>
  <c r="P217" i="9"/>
  <c r="K205" i="9"/>
  <c r="P205" i="9"/>
  <c r="K193" i="9"/>
  <c r="P193" i="9"/>
  <c r="K181" i="9"/>
  <c r="P181" i="9"/>
  <c r="K169" i="9"/>
  <c r="P169" i="9"/>
  <c r="K157" i="9"/>
  <c r="P157" i="9"/>
  <c r="K145" i="9"/>
  <c r="P145" i="9"/>
  <c r="K133" i="9"/>
  <c r="P133" i="9"/>
  <c r="K121" i="9"/>
  <c r="P121" i="9"/>
  <c r="K109" i="9"/>
  <c r="P109" i="9"/>
  <c r="K97" i="9"/>
  <c r="P97" i="9"/>
  <c r="K85" i="9"/>
  <c r="P85" i="9"/>
  <c r="K73" i="9"/>
  <c r="P73" i="9"/>
  <c r="K61" i="9"/>
  <c r="P61" i="9"/>
  <c r="K49" i="9"/>
  <c r="P49" i="9"/>
  <c r="K37" i="9"/>
  <c r="P37" i="9"/>
  <c r="K25" i="9"/>
  <c r="P25" i="9"/>
  <c r="K13" i="9"/>
  <c r="P13" i="9"/>
  <c r="K1659" i="9"/>
  <c r="P1659" i="9"/>
  <c r="K1646" i="9"/>
  <c r="P1646" i="9"/>
  <c r="K1634" i="9"/>
  <c r="P1634" i="9"/>
  <c r="K1622" i="9"/>
  <c r="P1622" i="9"/>
  <c r="K1610" i="9"/>
  <c r="P1610" i="9"/>
  <c r="K1598" i="9"/>
  <c r="P1598" i="9"/>
  <c r="K1586" i="9"/>
  <c r="P1586" i="9"/>
  <c r="K1574" i="9"/>
  <c r="P1574" i="9"/>
  <c r="K1562" i="9"/>
  <c r="P1562" i="9"/>
  <c r="K1550" i="9"/>
  <c r="P1550" i="9"/>
  <c r="K1538" i="9"/>
  <c r="P1538" i="9"/>
  <c r="K1526" i="9"/>
  <c r="P1526" i="9"/>
  <c r="K1514" i="9"/>
  <c r="P1514" i="9"/>
  <c r="K1502" i="9"/>
  <c r="P1502" i="9"/>
  <c r="K1490" i="9"/>
  <c r="P1490" i="9"/>
  <c r="K1478" i="9"/>
  <c r="P1478" i="9"/>
  <c r="K1466" i="9"/>
  <c r="P1466" i="9"/>
  <c r="K1454" i="9"/>
  <c r="P1454" i="9"/>
  <c r="K1442" i="9"/>
  <c r="P1442" i="9"/>
  <c r="K1430" i="9"/>
  <c r="P1430" i="9"/>
  <c r="K1418" i="9"/>
  <c r="P1418" i="9"/>
  <c r="K1406" i="9"/>
  <c r="P1406" i="9"/>
  <c r="K1394" i="9"/>
  <c r="P1394" i="9"/>
  <c r="K1382" i="9"/>
  <c r="P1382" i="9"/>
  <c r="K1370" i="9"/>
  <c r="P1370" i="9"/>
  <c r="K1358" i="9"/>
  <c r="P1358" i="9"/>
  <c r="K1346" i="9"/>
  <c r="P1346" i="9"/>
  <c r="K1334" i="9"/>
  <c r="P1334" i="9"/>
  <c r="K1322" i="9"/>
  <c r="P1322" i="9"/>
  <c r="K1310" i="9"/>
  <c r="P1310" i="9"/>
  <c r="K1298" i="9"/>
  <c r="P1298" i="9"/>
  <c r="K1286" i="9"/>
  <c r="P1286" i="9"/>
  <c r="K1274" i="9"/>
  <c r="P1274" i="9"/>
  <c r="K1262" i="9"/>
  <c r="P1262" i="9"/>
  <c r="K1250" i="9"/>
  <c r="P1250" i="9"/>
  <c r="K1238" i="9"/>
  <c r="P1238" i="9"/>
  <c r="K1226" i="9"/>
  <c r="P1226" i="9"/>
  <c r="K1214" i="9"/>
  <c r="P1214" i="9"/>
  <c r="K1202" i="9"/>
  <c r="P1202" i="9"/>
  <c r="K1190" i="9"/>
  <c r="P1190" i="9"/>
  <c r="K1178" i="9"/>
  <c r="P1178" i="9"/>
  <c r="K1166" i="9"/>
  <c r="P1166" i="9"/>
  <c r="K1154" i="9"/>
  <c r="P1154" i="9"/>
  <c r="K1142" i="9"/>
  <c r="P1142" i="9"/>
  <c r="K1130" i="9"/>
  <c r="P1130" i="9"/>
  <c r="K1118" i="9"/>
  <c r="P1118" i="9"/>
  <c r="K1106" i="9"/>
  <c r="P1106" i="9"/>
  <c r="K1094" i="9"/>
  <c r="P1094" i="9"/>
  <c r="K1082" i="9"/>
  <c r="P1082" i="9"/>
  <c r="K1070" i="9"/>
  <c r="P1070" i="9"/>
  <c r="K1058" i="9"/>
  <c r="P1058" i="9"/>
  <c r="K1046" i="9"/>
  <c r="P1046" i="9"/>
  <c r="K1034" i="9"/>
  <c r="P1034" i="9"/>
  <c r="K1022" i="9"/>
  <c r="P1022" i="9"/>
  <c r="K1010" i="9"/>
  <c r="P1010" i="9"/>
  <c r="K998" i="9"/>
  <c r="P998" i="9"/>
  <c r="K986" i="9"/>
  <c r="P986" i="9"/>
  <c r="K974" i="9"/>
  <c r="P974" i="9"/>
  <c r="K962" i="9"/>
  <c r="P962" i="9"/>
  <c r="K950" i="9"/>
  <c r="P950" i="9"/>
  <c r="K938" i="9"/>
  <c r="P938" i="9"/>
  <c r="K926" i="9"/>
  <c r="P926" i="9"/>
  <c r="K914" i="9"/>
  <c r="P914" i="9"/>
  <c r="K902" i="9"/>
  <c r="P902" i="9"/>
  <c r="K890" i="9"/>
  <c r="P890" i="9"/>
  <c r="K878" i="9"/>
  <c r="P878" i="9"/>
  <c r="K866" i="9"/>
  <c r="P866" i="9"/>
  <c r="K854" i="9"/>
  <c r="P854" i="9"/>
  <c r="K842" i="9"/>
  <c r="P842" i="9"/>
  <c r="K830" i="9"/>
  <c r="P830" i="9"/>
  <c r="K818" i="9"/>
  <c r="P818" i="9"/>
  <c r="K806" i="9"/>
  <c r="P806" i="9"/>
  <c r="K794" i="9"/>
  <c r="P794" i="9"/>
  <c r="K782" i="9"/>
  <c r="P782" i="9"/>
  <c r="K770" i="9"/>
  <c r="P770" i="9"/>
  <c r="K758" i="9"/>
  <c r="P758" i="9"/>
  <c r="K746" i="9"/>
  <c r="P746" i="9"/>
  <c r="K734" i="9"/>
  <c r="P734" i="9"/>
  <c r="K722" i="9"/>
  <c r="P722" i="9"/>
  <c r="K710" i="9"/>
  <c r="P710" i="9"/>
  <c r="K698" i="9"/>
  <c r="P698" i="9"/>
  <c r="K686" i="9"/>
  <c r="P686" i="9"/>
  <c r="K674" i="9"/>
  <c r="P674" i="9"/>
  <c r="K662" i="9"/>
  <c r="P662" i="9"/>
  <c r="K650" i="9"/>
  <c r="P650" i="9"/>
  <c r="K638" i="9"/>
  <c r="P638" i="9"/>
  <c r="K626" i="9"/>
  <c r="P626" i="9"/>
  <c r="K614" i="9"/>
  <c r="P614" i="9"/>
  <c r="K590" i="9"/>
  <c r="P590" i="9"/>
  <c r="K578" i="9"/>
  <c r="P578" i="9"/>
  <c r="K566" i="9"/>
  <c r="P566" i="9"/>
  <c r="K554" i="9"/>
  <c r="P554" i="9"/>
  <c r="K542" i="9"/>
  <c r="P542" i="9"/>
  <c r="K530" i="9"/>
  <c r="P530" i="9"/>
  <c r="K518" i="9"/>
  <c r="P518" i="9"/>
  <c r="K506" i="9"/>
  <c r="P506" i="9"/>
  <c r="K494" i="9"/>
  <c r="P494" i="9"/>
  <c r="K482" i="9"/>
  <c r="P482" i="9"/>
  <c r="K470" i="9"/>
  <c r="P470" i="9"/>
  <c r="K458" i="9"/>
  <c r="P458" i="9"/>
  <c r="K446" i="9"/>
  <c r="P446" i="9"/>
  <c r="K434" i="9"/>
  <c r="P434" i="9"/>
  <c r="K422" i="9"/>
  <c r="P422" i="9"/>
  <c r="K410" i="9"/>
  <c r="P410" i="9"/>
  <c r="K398" i="9"/>
  <c r="P398" i="9"/>
  <c r="K386" i="9"/>
  <c r="P386" i="9"/>
  <c r="K374" i="9"/>
  <c r="P374" i="9"/>
  <c r="K362" i="9"/>
  <c r="P362" i="9"/>
  <c r="K350" i="9"/>
  <c r="P350" i="9"/>
  <c r="K338" i="9"/>
  <c r="P338" i="9"/>
  <c r="K326" i="9"/>
  <c r="P326" i="9"/>
  <c r="K312" i="9"/>
  <c r="P312" i="9"/>
  <c r="K300" i="9"/>
  <c r="P300" i="9"/>
  <c r="K288" i="9"/>
  <c r="P288" i="9"/>
  <c r="K276" i="9"/>
  <c r="P276" i="9"/>
  <c r="K264" i="9"/>
  <c r="P264" i="9"/>
  <c r="K252" i="9"/>
  <c r="P252" i="9"/>
  <c r="K240" i="9"/>
  <c r="P240" i="9"/>
  <c r="K228" i="9"/>
  <c r="P228" i="9"/>
  <c r="K216" i="9"/>
  <c r="P216" i="9"/>
  <c r="K204" i="9"/>
  <c r="P204" i="9"/>
  <c r="K192" i="9"/>
  <c r="P192" i="9"/>
  <c r="K180" i="9"/>
  <c r="P180" i="9"/>
  <c r="K168" i="9"/>
  <c r="P168" i="9"/>
  <c r="K156" i="9"/>
  <c r="P156" i="9"/>
  <c r="K144" i="9"/>
  <c r="P144" i="9"/>
  <c r="K132" i="9"/>
  <c r="P132" i="9"/>
  <c r="K120" i="9"/>
  <c r="P120" i="9"/>
  <c r="K108" i="9"/>
  <c r="P108" i="9"/>
  <c r="K96" i="9"/>
  <c r="P96" i="9"/>
  <c r="K84" i="9"/>
  <c r="P84" i="9"/>
  <c r="K72" i="9"/>
  <c r="P72" i="9"/>
  <c r="K60" i="9"/>
  <c r="P60" i="9"/>
  <c r="K48" i="9"/>
  <c r="P48" i="9"/>
  <c r="K36" i="9"/>
  <c r="P36" i="9"/>
  <c r="K24" i="9"/>
  <c r="P24" i="9"/>
  <c r="K12" i="9"/>
  <c r="P12" i="9"/>
  <c r="K1701" i="9"/>
  <c r="P1701" i="9"/>
  <c r="K1689" i="9"/>
  <c r="P1689" i="9"/>
  <c r="K1677" i="9"/>
  <c r="P1677" i="9"/>
  <c r="K1658" i="9"/>
  <c r="P1658" i="9"/>
  <c r="K1645" i="9"/>
  <c r="P1645" i="9"/>
  <c r="K1633" i="9"/>
  <c r="P1633" i="9"/>
  <c r="K1621" i="9"/>
  <c r="P1621" i="9"/>
  <c r="K1609" i="9"/>
  <c r="P1609" i="9"/>
  <c r="K1597" i="9"/>
  <c r="P1597" i="9"/>
  <c r="K1585" i="9"/>
  <c r="P1585" i="9"/>
  <c r="K1573" i="9"/>
  <c r="P1573" i="9"/>
  <c r="K1561" i="9"/>
  <c r="P1561" i="9"/>
  <c r="K1549" i="9"/>
  <c r="P1549" i="9"/>
  <c r="K1537" i="9"/>
  <c r="P1537" i="9"/>
  <c r="K1525" i="9"/>
  <c r="P1525" i="9"/>
  <c r="K1513" i="9"/>
  <c r="P1513" i="9"/>
  <c r="K1501" i="9"/>
  <c r="P1501" i="9"/>
  <c r="K1489" i="9"/>
  <c r="P1489" i="9"/>
  <c r="K1477" i="9"/>
  <c r="P1477" i="9"/>
  <c r="K1465" i="9"/>
  <c r="P1465" i="9"/>
  <c r="K1453" i="9"/>
  <c r="P1453" i="9"/>
  <c r="K1441" i="9"/>
  <c r="P1441" i="9"/>
  <c r="K1429" i="9"/>
  <c r="P1429" i="9"/>
  <c r="K1417" i="9"/>
  <c r="P1417" i="9"/>
  <c r="K1405" i="9"/>
  <c r="P1405" i="9"/>
  <c r="K1393" i="9"/>
  <c r="P1393" i="9"/>
  <c r="K1381" i="9"/>
  <c r="P1381" i="9"/>
  <c r="K1369" i="9"/>
  <c r="P1369" i="9"/>
  <c r="K1357" i="9"/>
  <c r="P1357" i="9"/>
  <c r="K1345" i="9"/>
  <c r="P1345" i="9"/>
  <c r="K1333" i="9"/>
  <c r="P1333" i="9"/>
  <c r="K1321" i="9"/>
  <c r="P1321" i="9"/>
  <c r="K1309" i="9"/>
  <c r="P1309" i="9"/>
  <c r="K1297" i="9"/>
  <c r="P1297" i="9"/>
  <c r="K1285" i="9"/>
  <c r="P1285" i="9"/>
  <c r="K1273" i="9"/>
  <c r="P1273" i="9"/>
  <c r="K1261" i="9"/>
  <c r="P1261" i="9"/>
  <c r="K1249" i="9"/>
  <c r="P1249" i="9"/>
  <c r="K1237" i="9"/>
  <c r="P1237" i="9"/>
  <c r="K1225" i="9"/>
  <c r="P1225" i="9"/>
  <c r="K1213" i="9"/>
  <c r="P1213" i="9"/>
  <c r="K1201" i="9"/>
  <c r="P1201" i="9"/>
  <c r="K1189" i="9"/>
  <c r="P1189" i="9"/>
  <c r="K1177" i="9"/>
  <c r="P1177" i="9"/>
  <c r="K1165" i="9"/>
  <c r="P1165" i="9"/>
  <c r="K1153" i="9"/>
  <c r="P1153" i="9"/>
  <c r="K1141" i="9"/>
  <c r="P1141" i="9"/>
  <c r="K1129" i="9"/>
  <c r="P1129" i="9"/>
  <c r="K1117" i="9"/>
  <c r="P1117" i="9"/>
  <c r="K1105" i="9"/>
  <c r="P1105" i="9"/>
  <c r="K1093" i="9"/>
  <c r="P1093" i="9"/>
  <c r="K1081" i="9"/>
  <c r="P1081" i="9"/>
  <c r="K1069" i="9"/>
  <c r="P1069" i="9"/>
  <c r="K1057" i="9"/>
  <c r="P1057" i="9"/>
  <c r="K1045" i="9"/>
  <c r="P1045" i="9"/>
  <c r="K1033" i="9"/>
  <c r="P1033" i="9"/>
  <c r="K1021" i="9"/>
  <c r="P1021" i="9"/>
  <c r="K1009" i="9"/>
  <c r="P1009" i="9"/>
  <c r="K997" i="9"/>
  <c r="P997" i="9"/>
  <c r="K985" i="9"/>
  <c r="P985" i="9"/>
  <c r="K973" i="9"/>
  <c r="P973" i="9"/>
  <c r="K961" i="9"/>
  <c r="P961" i="9"/>
  <c r="K949" i="9"/>
  <c r="P949" i="9"/>
  <c r="K937" i="9"/>
  <c r="P937" i="9"/>
  <c r="K925" i="9"/>
  <c r="P925" i="9"/>
  <c r="K913" i="9"/>
  <c r="P913" i="9"/>
  <c r="K901" i="9"/>
  <c r="P901" i="9"/>
  <c r="K889" i="9"/>
  <c r="P889" i="9"/>
  <c r="K877" i="9"/>
  <c r="P877" i="9"/>
  <c r="K865" i="9"/>
  <c r="P865" i="9"/>
  <c r="K853" i="9"/>
  <c r="P853" i="9"/>
  <c r="K841" i="9"/>
  <c r="P841" i="9"/>
  <c r="K829" i="9"/>
  <c r="P829" i="9"/>
  <c r="K817" i="9"/>
  <c r="P817" i="9"/>
  <c r="K805" i="9"/>
  <c r="P805" i="9"/>
  <c r="K793" i="9"/>
  <c r="P793" i="9"/>
  <c r="K781" i="9"/>
  <c r="P781" i="9"/>
  <c r="K769" i="9"/>
  <c r="P769" i="9"/>
  <c r="K757" i="9"/>
  <c r="P757" i="9"/>
  <c r="K745" i="9"/>
  <c r="P745" i="9"/>
  <c r="K733" i="9"/>
  <c r="P733" i="9"/>
  <c r="K721" i="9"/>
  <c r="P721" i="9"/>
  <c r="K709" i="9"/>
  <c r="P709" i="9"/>
  <c r="K697" i="9"/>
  <c r="P697" i="9"/>
  <c r="K685" i="9"/>
  <c r="P685" i="9"/>
  <c r="K673" i="9"/>
  <c r="P673" i="9"/>
  <c r="K661" i="9"/>
  <c r="P661" i="9"/>
  <c r="K649" i="9"/>
  <c r="P649" i="9"/>
  <c r="K637" i="9"/>
  <c r="P637" i="9"/>
  <c r="K625" i="9"/>
  <c r="P625" i="9"/>
  <c r="K613" i="9"/>
  <c r="P613" i="9"/>
  <c r="K601" i="9"/>
  <c r="P601" i="9"/>
  <c r="K589" i="9"/>
  <c r="P589" i="9"/>
  <c r="K577" i="9"/>
  <c r="P577" i="9"/>
  <c r="K565" i="9"/>
  <c r="P565" i="9"/>
  <c r="K553" i="9"/>
  <c r="P553" i="9"/>
  <c r="K541" i="9"/>
  <c r="P541" i="9"/>
  <c r="K529" i="9"/>
  <c r="P529" i="9"/>
  <c r="K517" i="9"/>
  <c r="P517" i="9"/>
  <c r="K505" i="9"/>
  <c r="P505" i="9"/>
  <c r="K493" i="9"/>
  <c r="P493" i="9"/>
  <c r="K481" i="9"/>
  <c r="P481" i="9"/>
  <c r="K469" i="9"/>
  <c r="P469" i="9"/>
  <c r="K457" i="9"/>
  <c r="P457" i="9"/>
  <c r="K445" i="9"/>
  <c r="P445" i="9"/>
  <c r="K433" i="9"/>
  <c r="AF27" i="13" s="1" a="1"/>
  <c r="AF27" i="13" s="1"/>
  <c r="P433" i="9"/>
  <c r="K421" i="9"/>
  <c r="P421" i="9"/>
  <c r="K409" i="9"/>
  <c r="P409" i="9"/>
  <c r="K397" i="9"/>
  <c r="P397" i="9"/>
  <c r="K385" i="9"/>
  <c r="P385" i="9"/>
  <c r="K373" i="9"/>
  <c r="P373" i="9"/>
  <c r="K361" i="9"/>
  <c r="P361" i="9"/>
  <c r="K349" i="9"/>
  <c r="P349" i="9"/>
  <c r="K337" i="9"/>
  <c r="P337" i="9"/>
  <c r="K324" i="9"/>
  <c r="P324" i="9"/>
  <c r="K311" i="9"/>
  <c r="P311" i="9"/>
  <c r="K299" i="9"/>
  <c r="P299" i="9"/>
  <c r="P287" i="9"/>
  <c r="K275" i="9"/>
  <c r="P275" i="9"/>
  <c r="K263" i="9"/>
  <c r="P263" i="9"/>
  <c r="K251" i="9"/>
  <c r="P251" i="9"/>
  <c r="K239" i="9"/>
  <c r="P239" i="9"/>
  <c r="K227" i="9"/>
  <c r="P227" i="9"/>
  <c r="K215" i="9"/>
  <c r="P215" i="9"/>
  <c r="K203" i="9"/>
  <c r="P203" i="9"/>
  <c r="K191" i="9"/>
  <c r="P191" i="9"/>
  <c r="K179" i="9"/>
  <c r="P179" i="9"/>
  <c r="K167" i="9"/>
  <c r="P167" i="9"/>
  <c r="K155" i="9"/>
  <c r="P155" i="9"/>
  <c r="K143" i="9"/>
  <c r="P143" i="9"/>
  <c r="K131" i="9"/>
  <c r="P131" i="9"/>
  <c r="K119" i="9"/>
  <c r="P119" i="9"/>
  <c r="K107" i="9"/>
  <c r="P107" i="9"/>
  <c r="K95" i="9"/>
  <c r="P95" i="9"/>
  <c r="K83" i="9"/>
  <c r="P83" i="9"/>
  <c r="K71" i="9"/>
  <c r="P71" i="9"/>
  <c r="K59" i="9"/>
  <c r="P59" i="9"/>
  <c r="K47" i="9"/>
  <c r="P47" i="9"/>
  <c r="K35" i="9"/>
  <c r="P35" i="9"/>
  <c r="K23" i="9"/>
  <c r="P23" i="9"/>
  <c r="K11" i="9"/>
  <c r="P11" i="9"/>
  <c r="K1700" i="9"/>
  <c r="P1700" i="9"/>
  <c r="K1688" i="9"/>
  <c r="P1688" i="9"/>
  <c r="K1676" i="9"/>
  <c r="P1676" i="9"/>
  <c r="K1657" i="9"/>
  <c r="P1657" i="9"/>
  <c r="K1644" i="9"/>
  <c r="P1644" i="9"/>
  <c r="K1632" i="9"/>
  <c r="P1632" i="9"/>
  <c r="K1620" i="9"/>
  <c r="P1620" i="9"/>
  <c r="K1608" i="9"/>
  <c r="P1608" i="9"/>
  <c r="K1596" i="9"/>
  <c r="P1596" i="9"/>
  <c r="K1584" i="9"/>
  <c r="P1584" i="9"/>
  <c r="K1572" i="9"/>
  <c r="P1572" i="9"/>
  <c r="K1560" i="9"/>
  <c r="P1560" i="9"/>
  <c r="K1548" i="9"/>
  <c r="P1548" i="9"/>
  <c r="K1536" i="9"/>
  <c r="P1536" i="9"/>
  <c r="K1524" i="9"/>
  <c r="P1524" i="9"/>
  <c r="K1512" i="9"/>
  <c r="P1512" i="9"/>
  <c r="K1500" i="9"/>
  <c r="P1500" i="9"/>
  <c r="K1488" i="9"/>
  <c r="P1488" i="9"/>
  <c r="K1476" i="9"/>
  <c r="P1476" i="9"/>
  <c r="K1464" i="9"/>
  <c r="P1464" i="9"/>
  <c r="K1452" i="9"/>
  <c r="P1452" i="9"/>
  <c r="K1440" i="9"/>
  <c r="P1440" i="9"/>
  <c r="K1428" i="9"/>
  <c r="P1428" i="9"/>
  <c r="K1416" i="9"/>
  <c r="P1416" i="9"/>
  <c r="K1404" i="9"/>
  <c r="P1404" i="9"/>
  <c r="K1392" i="9"/>
  <c r="P1392" i="9"/>
  <c r="K1380" i="9"/>
  <c r="P1380" i="9"/>
  <c r="K1368" i="9"/>
  <c r="P1368" i="9"/>
  <c r="K1356" i="9"/>
  <c r="P1356" i="9"/>
  <c r="K1344" i="9"/>
  <c r="P1344" i="9"/>
  <c r="K1332" i="9"/>
  <c r="P1332" i="9"/>
  <c r="K1320" i="9"/>
  <c r="P1320" i="9"/>
  <c r="K1308" i="9"/>
  <c r="P1308" i="9"/>
  <c r="K1296" i="9"/>
  <c r="P1296" i="9"/>
  <c r="K1284" i="9"/>
  <c r="P1284" i="9"/>
  <c r="K1272" i="9"/>
  <c r="P1272" i="9"/>
  <c r="K1260" i="9"/>
  <c r="P1260" i="9"/>
  <c r="K1248" i="9"/>
  <c r="P1248" i="9"/>
  <c r="K1236" i="9"/>
  <c r="P1236" i="9"/>
  <c r="K1224" i="9"/>
  <c r="P1224" i="9"/>
  <c r="K1212" i="9"/>
  <c r="P1212" i="9"/>
  <c r="K1200" i="9"/>
  <c r="P1200" i="9"/>
  <c r="K1188" i="9"/>
  <c r="P1188" i="9"/>
  <c r="K1176" i="9"/>
  <c r="P1176" i="9"/>
  <c r="K1164" i="9"/>
  <c r="P1164" i="9"/>
  <c r="K1152" i="9"/>
  <c r="P1152" i="9"/>
  <c r="K1140" i="9"/>
  <c r="P1140" i="9"/>
  <c r="K1128" i="9"/>
  <c r="P1128" i="9"/>
  <c r="K1116" i="9"/>
  <c r="P1116" i="9"/>
  <c r="K1104" i="9"/>
  <c r="P1104" i="9"/>
  <c r="K1092" i="9"/>
  <c r="P1092" i="9"/>
  <c r="K1080" i="9"/>
  <c r="P1080" i="9"/>
  <c r="K1068" i="9"/>
  <c r="P1068" i="9"/>
  <c r="K1056" i="9"/>
  <c r="P1056" i="9"/>
  <c r="K1044" i="9"/>
  <c r="P1044" i="9"/>
  <c r="K1032" i="9"/>
  <c r="P1032" i="9"/>
  <c r="K1020" i="9"/>
  <c r="P1020" i="9"/>
  <c r="K1008" i="9"/>
  <c r="P1008" i="9"/>
  <c r="K996" i="9"/>
  <c r="P996" i="9"/>
  <c r="K984" i="9"/>
  <c r="P984" i="9"/>
  <c r="K972" i="9"/>
  <c r="P972" i="9"/>
  <c r="K960" i="9"/>
  <c r="P960" i="9"/>
  <c r="K948" i="9"/>
  <c r="P948" i="9"/>
  <c r="K936" i="9"/>
  <c r="P936" i="9"/>
  <c r="K924" i="9"/>
  <c r="P924" i="9"/>
  <c r="K912" i="9"/>
  <c r="P912" i="9"/>
  <c r="K900" i="9"/>
  <c r="P900" i="9"/>
  <c r="K888" i="9"/>
  <c r="P888" i="9"/>
  <c r="K876" i="9"/>
  <c r="P876" i="9"/>
  <c r="K864" i="9"/>
  <c r="P864" i="9"/>
  <c r="K852" i="9"/>
  <c r="P852" i="9"/>
  <c r="K840" i="9"/>
  <c r="P840" i="9"/>
  <c r="K828" i="9"/>
  <c r="P828" i="9"/>
  <c r="K816" i="9"/>
  <c r="P816" i="9"/>
  <c r="K804" i="9"/>
  <c r="P804" i="9"/>
  <c r="K792" i="9"/>
  <c r="P792" i="9"/>
  <c r="K780" i="9"/>
  <c r="P780" i="9"/>
  <c r="K768" i="9"/>
  <c r="P768" i="9"/>
  <c r="K756" i="9"/>
  <c r="P756" i="9"/>
  <c r="K744" i="9"/>
  <c r="P744" i="9"/>
  <c r="K732" i="9"/>
  <c r="P732" i="9"/>
  <c r="K720" i="9"/>
  <c r="P720" i="9"/>
  <c r="K708" i="9"/>
  <c r="P708" i="9"/>
  <c r="K696" i="9"/>
  <c r="P696" i="9"/>
  <c r="K684" i="9"/>
  <c r="P684" i="9"/>
  <c r="K672" i="9"/>
  <c r="P672" i="9"/>
  <c r="K660" i="9"/>
  <c r="P660" i="9"/>
  <c r="K648" i="9"/>
  <c r="P648" i="9"/>
  <c r="K636" i="9"/>
  <c r="P636" i="9"/>
  <c r="K624" i="9"/>
  <c r="P624" i="9"/>
  <c r="K612" i="9"/>
  <c r="P612" i="9"/>
  <c r="K600" i="9"/>
  <c r="P600" i="9"/>
  <c r="K588" i="9"/>
  <c r="P588" i="9"/>
  <c r="K576" i="9"/>
  <c r="P576" i="9"/>
  <c r="K564" i="9"/>
  <c r="P564" i="9"/>
  <c r="K552" i="9"/>
  <c r="P552" i="9"/>
  <c r="K540" i="9"/>
  <c r="P540" i="9"/>
  <c r="K528" i="9"/>
  <c r="P528" i="9"/>
  <c r="K516" i="9"/>
  <c r="P516" i="9"/>
  <c r="K504" i="9"/>
  <c r="P504" i="9"/>
  <c r="K492" i="9"/>
  <c r="P492" i="9"/>
  <c r="K480" i="9"/>
  <c r="P480" i="9"/>
  <c r="K468" i="9"/>
  <c r="P468" i="9"/>
  <c r="K456" i="9"/>
  <c r="P456" i="9"/>
  <c r="K444" i="9"/>
  <c r="P444" i="9"/>
  <c r="K432" i="9"/>
  <c r="P432" i="9"/>
  <c r="K420" i="9"/>
  <c r="P420" i="9"/>
  <c r="K408" i="9"/>
  <c r="P408" i="9"/>
  <c r="K396" i="9"/>
  <c r="P396" i="9"/>
  <c r="K384" i="9"/>
  <c r="P384" i="9"/>
  <c r="K372" i="9"/>
  <c r="P372" i="9"/>
  <c r="K360" i="9"/>
  <c r="P360" i="9"/>
  <c r="K348" i="9"/>
  <c r="P348" i="9"/>
  <c r="K336" i="9"/>
  <c r="P336" i="9"/>
  <c r="K323" i="9"/>
  <c r="P323" i="9"/>
  <c r="K310" i="9"/>
  <c r="P310" i="9"/>
  <c r="K298" i="9"/>
  <c r="P298" i="9"/>
  <c r="K286" i="9"/>
  <c r="P286" i="9"/>
  <c r="K274" i="9"/>
  <c r="P274" i="9"/>
  <c r="K262" i="9"/>
  <c r="P262" i="9"/>
  <c r="K250" i="9"/>
  <c r="P250" i="9"/>
  <c r="K238" i="9"/>
  <c r="P238" i="9"/>
  <c r="K226" i="9"/>
  <c r="P226" i="9"/>
  <c r="K214" i="9"/>
  <c r="P214" i="9"/>
  <c r="K202" i="9"/>
  <c r="P202" i="9"/>
  <c r="K190" i="9"/>
  <c r="P190" i="9"/>
  <c r="K178" i="9"/>
  <c r="P178" i="9"/>
  <c r="K166" i="9"/>
  <c r="P166" i="9"/>
  <c r="K154" i="9"/>
  <c r="P154" i="9"/>
  <c r="K142" i="9"/>
  <c r="P142" i="9"/>
  <c r="K130" i="9"/>
  <c r="P130" i="9"/>
  <c r="K118" i="9"/>
  <c r="P118" i="9"/>
  <c r="K106" i="9"/>
  <c r="P106" i="9"/>
  <c r="K94" i="9"/>
  <c r="P94" i="9"/>
  <c r="K82" i="9"/>
  <c r="P82" i="9"/>
  <c r="K70" i="9"/>
  <c r="P70" i="9"/>
  <c r="K58" i="9"/>
  <c r="P58" i="9"/>
  <c r="K46" i="9"/>
  <c r="P46" i="9"/>
  <c r="K34" i="9"/>
  <c r="P34" i="9"/>
  <c r="K22" i="9"/>
  <c r="P22" i="9"/>
  <c r="K10" i="9"/>
  <c r="P10" i="9"/>
  <c r="K1699" i="9"/>
  <c r="P1699" i="9"/>
  <c r="K1687" i="9"/>
  <c r="P1687" i="9"/>
  <c r="K1675" i="9"/>
  <c r="P1675" i="9"/>
  <c r="K1656" i="9"/>
  <c r="P1656" i="9"/>
  <c r="K1643" i="9"/>
  <c r="P1643" i="9"/>
  <c r="K1631" i="9"/>
  <c r="P1631" i="9"/>
  <c r="K1619" i="9"/>
  <c r="P1619" i="9"/>
  <c r="K1607" i="9"/>
  <c r="P1607" i="9"/>
  <c r="K1595" i="9"/>
  <c r="P1595" i="9"/>
  <c r="K1583" i="9"/>
  <c r="P1583" i="9"/>
  <c r="K1571" i="9"/>
  <c r="P1571" i="9"/>
  <c r="K1559" i="9"/>
  <c r="P1559" i="9"/>
  <c r="K1547" i="9"/>
  <c r="P1547" i="9"/>
  <c r="K1535" i="9"/>
  <c r="P1535" i="9"/>
  <c r="K1523" i="9"/>
  <c r="P1523" i="9"/>
  <c r="K1511" i="9"/>
  <c r="P1511" i="9"/>
  <c r="K1499" i="9"/>
  <c r="P1499" i="9"/>
  <c r="K1487" i="9"/>
  <c r="P1487" i="9"/>
  <c r="K1475" i="9"/>
  <c r="P1475" i="9"/>
  <c r="K1463" i="9"/>
  <c r="P1463" i="9"/>
  <c r="K1451" i="9"/>
  <c r="P1451" i="9"/>
  <c r="K1439" i="9"/>
  <c r="P1439" i="9"/>
  <c r="K1427" i="9"/>
  <c r="P1427" i="9"/>
  <c r="K1415" i="9"/>
  <c r="P1415" i="9"/>
  <c r="K1403" i="9"/>
  <c r="P1403" i="9"/>
  <c r="K1391" i="9"/>
  <c r="P1391" i="9"/>
  <c r="K1379" i="9"/>
  <c r="P1379" i="9"/>
  <c r="K1367" i="9"/>
  <c r="P1367" i="9"/>
  <c r="K1355" i="9"/>
  <c r="P1355" i="9"/>
  <c r="K1343" i="9"/>
  <c r="P1343" i="9"/>
  <c r="K1331" i="9"/>
  <c r="P1331" i="9"/>
  <c r="K1319" i="9"/>
  <c r="P1319" i="9"/>
  <c r="K1307" i="9"/>
  <c r="P1307" i="9"/>
  <c r="K1295" i="9"/>
  <c r="P1295" i="9"/>
  <c r="K1283" i="9"/>
  <c r="P1283" i="9"/>
  <c r="K1271" i="9"/>
  <c r="P1271" i="9"/>
  <c r="K1259" i="9"/>
  <c r="P1259" i="9"/>
  <c r="K1247" i="9"/>
  <c r="P1247" i="9"/>
  <c r="K1235" i="9"/>
  <c r="P1235" i="9"/>
  <c r="K1223" i="9"/>
  <c r="P1223" i="9"/>
  <c r="K1211" i="9"/>
  <c r="P1211" i="9"/>
  <c r="K1199" i="9"/>
  <c r="P1199" i="9"/>
  <c r="K1187" i="9"/>
  <c r="P1187" i="9"/>
  <c r="K1175" i="9"/>
  <c r="P1175" i="9"/>
  <c r="K1163" i="9"/>
  <c r="P1163" i="9"/>
  <c r="K1151" i="9"/>
  <c r="P1151" i="9"/>
  <c r="K1139" i="9"/>
  <c r="P1139" i="9"/>
  <c r="K1127" i="9"/>
  <c r="P1127" i="9"/>
  <c r="K1115" i="9"/>
  <c r="P1115" i="9"/>
  <c r="K1103" i="9"/>
  <c r="P1103" i="9"/>
  <c r="K1091" i="9"/>
  <c r="P1091" i="9"/>
  <c r="K1079" i="9"/>
  <c r="P1079" i="9"/>
  <c r="K1067" i="9"/>
  <c r="P1067" i="9"/>
  <c r="K1055" i="9"/>
  <c r="P1055" i="9"/>
  <c r="K1043" i="9"/>
  <c r="P1043" i="9"/>
  <c r="K1031" i="9"/>
  <c r="P1031" i="9"/>
  <c r="K1019" i="9"/>
  <c r="P1019" i="9"/>
  <c r="K1007" i="9"/>
  <c r="P1007" i="9"/>
  <c r="K995" i="9"/>
  <c r="P995" i="9"/>
  <c r="K983" i="9"/>
  <c r="P983" i="9"/>
  <c r="K971" i="9"/>
  <c r="P971" i="9"/>
  <c r="K959" i="9"/>
  <c r="P959" i="9"/>
  <c r="K947" i="9"/>
  <c r="P947" i="9"/>
  <c r="K935" i="9"/>
  <c r="P935" i="9"/>
  <c r="K923" i="9"/>
  <c r="P923" i="9"/>
  <c r="K911" i="9"/>
  <c r="P911" i="9"/>
  <c r="K899" i="9"/>
  <c r="P899" i="9"/>
  <c r="K887" i="9"/>
  <c r="P887" i="9"/>
  <c r="K875" i="9"/>
  <c r="P875" i="9"/>
  <c r="K863" i="9"/>
  <c r="P863" i="9"/>
  <c r="K851" i="9"/>
  <c r="P851" i="9"/>
  <c r="K839" i="9"/>
  <c r="P839" i="9"/>
  <c r="K827" i="9"/>
  <c r="P827" i="9"/>
  <c r="K815" i="9"/>
  <c r="P815" i="9"/>
  <c r="K803" i="9"/>
  <c r="P803" i="9"/>
  <c r="K791" i="9"/>
  <c r="P791" i="9"/>
  <c r="K779" i="9"/>
  <c r="P779" i="9"/>
  <c r="K767" i="9"/>
  <c r="P767" i="9"/>
  <c r="K755" i="9"/>
  <c r="P755" i="9"/>
  <c r="K743" i="9"/>
  <c r="P743" i="9"/>
  <c r="K731" i="9"/>
  <c r="P731" i="9"/>
  <c r="K719" i="9"/>
  <c r="P719" i="9"/>
  <c r="K707" i="9"/>
  <c r="P707" i="9"/>
  <c r="K695" i="9"/>
  <c r="P695" i="9"/>
  <c r="K683" i="9"/>
  <c r="P683" i="9"/>
  <c r="K671" i="9"/>
  <c r="P671" i="9"/>
  <c r="K659" i="9"/>
  <c r="P659" i="9"/>
  <c r="K647" i="9"/>
  <c r="P647" i="9"/>
  <c r="K635" i="9"/>
  <c r="P635" i="9"/>
  <c r="K623" i="9"/>
  <c r="P623" i="9"/>
  <c r="K611" i="9"/>
  <c r="P611" i="9"/>
  <c r="K599" i="9"/>
  <c r="P599" i="9"/>
  <c r="K587" i="9"/>
  <c r="P587" i="9"/>
  <c r="K575" i="9"/>
  <c r="P575" i="9"/>
  <c r="K563" i="9"/>
  <c r="P563" i="9"/>
  <c r="K551" i="9"/>
  <c r="P551" i="9"/>
  <c r="K539" i="9"/>
  <c r="P539" i="9"/>
  <c r="K527" i="9"/>
  <c r="P527" i="9"/>
  <c r="K515" i="9"/>
  <c r="P515" i="9"/>
  <c r="K503" i="9"/>
  <c r="P503" i="9"/>
  <c r="K491" i="9"/>
  <c r="P491" i="9"/>
  <c r="K479" i="9"/>
  <c r="P479" i="9"/>
  <c r="K467" i="9"/>
  <c r="P467" i="9"/>
  <c r="K455" i="9"/>
  <c r="P455" i="9"/>
  <c r="K443" i="9"/>
  <c r="P443" i="9"/>
  <c r="K431" i="9"/>
  <c r="P431" i="9"/>
  <c r="K419" i="9"/>
  <c r="P419" i="9"/>
  <c r="K407" i="9"/>
  <c r="P407" i="9"/>
  <c r="K395" i="9"/>
  <c r="P395" i="9"/>
  <c r="K383" i="9"/>
  <c r="P383" i="9"/>
  <c r="K371" i="9"/>
  <c r="P371" i="9"/>
  <c r="K359" i="9"/>
  <c r="P359" i="9"/>
  <c r="K347" i="9"/>
  <c r="P347" i="9"/>
  <c r="K335" i="9"/>
  <c r="P335" i="9"/>
  <c r="K322" i="9"/>
  <c r="P322" i="9"/>
  <c r="K309" i="9"/>
  <c r="P309" i="9"/>
  <c r="K297" i="9"/>
  <c r="P297" i="9"/>
  <c r="K285" i="9"/>
  <c r="P285" i="9"/>
  <c r="K273" i="9"/>
  <c r="P273" i="9"/>
  <c r="K261" i="9"/>
  <c r="P261" i="9"/>
  <c r="K249" i="9"/>
  <c r="P249" i="9"/>
  <c r="K237" i="9"/>
  <c r="P237" i="9"/>
  <c r="K225" i="9"/>
  <c r="P225" i="9"/>
  <c r="K213" i="9"/>
  <c r="P213" i="9"/>
  <c r="K201" i="9"/>
  <c r="P201" i="9"/>
  <c r="K189" i="9"/>
  <c r="P189" i="9"/>
  <c r="K177" i="9"/>
  <c r="P177" i="9"/>
  <c r="K165" i="9"/>
  <c r="P165" i="9"/>
  <c r="K153" i="9"/>
  <c r="P153" i="9"/>
  <c r="K141" i="9"/>
  <c r="P141" i="9"/>
  <c r="K129" i="9"/>
  <c r="P129" i="9"/>
  <c r="K117" i="9"/>
  <c r="P117" i="9"/>
  <c r="K105" i="9"/>
  <c r="P105" i="9"/>
  <c r="K93" i="9"/>
  <c r="P93" i="9"/>
  <c r="K81" i="9"/>
  <c r="P81" i="9"/>
  <c r="K69" i="9"/>
  <c r="P69" i="9"/>
  <c r="K57" i="9"/>
  <c r="P57" i="9"/>
  <c r="K45" i="9"/>
  <c r="P45" i="9"/>
  <c r="K33" i="9"/>
  <c r="P33" i="9"/>
  <c r="K21" i="9"/>
  <c r="P21" i="9"/>
  <c r="K9" i="9"/>
  <c r="P9" i="9"/>
  <c r="K1698" i="9"/>
  <c r="P1698" i="9"/>
  <c r="K1686" i="9"/>
  <c r="P1686" i="9"/>
  <c r="K1674" i="9"/>
  <c r="P1674" i="9"/>
  <c r="K1655" i="9"/>
  <c r="P1655" i="9"/>
  <c r="K1642" i="9"/>
  <c r="P1642" i="9"/>
  <c r="K1630" i="9"/>
  <c r="P1630" i="9"/>
  <c r="K1618" i="9"/>
  <c r="P1618" i="9"/>
  <c r="K1606" i="9"/>
  <c r="P1606" i="9"/>
  <c r="K1594" i="9"/>
  <c r="P1594" i="9"/>
  <c r="K1582" i="9"/>
  <c r="P1582" i="9"/>
  <c r="K1570" i="9"/>
  <c r="P1570" i="9"/>
  <c r="K1558" i="9"/>
  <c r="P1558" i="9"/>
  <c r="K1546" i="9"/>
  <c r="P1546" i="9"/>
  <c r="K1534" i="9"/>
  <c r="P1534" i="9"/>
  <c r="K1522" i="9"/>
  <c r="P1522" i="9"/>
  <c r="K1510" i="9"/>
  <c r="P1510" i="9"/>
  <c r="K1498" i="9"/>
  <c r="P1498" i="9"/>
  <c r="K1486" i="9"/>
  <c r="P1486" i="9"/>
  <c r="K1474" i="9"/>
  <c r="P1474" i="9"/>
  <c r="K1462" i="9"/>
  <c r="P1462" i="9"/>
  <c r="K1450" i="9"/>
  <c r="P1450" i="9"/>
  <c r="K1438" i="9"/>
  <c r="P1438" i="9"/>
  <c r="K1426" i="9"/>
  <c r="P1426" i="9"/>
  <c r="K1414" i="9"/>
  <c r="P1414" i="9"/>
  <c r="K1402" i="9"/>
  <c r="P1402" i="9"/>
  <c r="K1390" i="9"/>
  <c r="P1390" i="9"/>
  <c r="K1378" i="9"/>
  <c r="P1378" i="9"/>
  <c r="K1366" i="9"/>
  <c r="P1366" i="9"/>
  <c r="K1354" i="9"/>
  <c r="P1354" i="9"/>
  <c r="K1342" i="9"/>
  <c r="P1342" i="9"/>
  <c r="K1330" i="9"/>
  <c r="P1330" i="9"/>
  <c r="K1318" i="9"/>
  <c r="P1318" i="9"/>
  <c r="K1306" i="9"/>
  <c r="P1306" i="9"/>
  <c r="K1294" i="9"/>
  <c r="P1294" i="9"/>
  <c r="K1282" i="9"/>
  <c r="P1282" i="9"/>
  <c r="K1270" i="9"/>
  <c r="P1270" i="9"/>
  <c r="K1258" i="9"/>
  <c r="P1258" i="9"/>
  <c r="K1246" i="9"/>
  <c r="P1246" i="9"/>
  <c r="K1234" i="9"/>
  <c r="P1234" i="9"/>
  <c r="K1222" i="9"/>
  <c r="P1222" i="9"/>
  <c r="K1210" i="9"/>
  <c r="P1210" i="9"/>
  <c r="K1198" i="9"/>
  <c r="P1198" i="9"/>
  <c r="K1186" i="9"/>
  <c r="P1186" i="9"/>
  <c r="K1174" i="9"/>
  <c r="P1174" i="9"/>
  <c r="K1162" i="9"/>
  <c r="P1162" i="9"/>
  <c r="K1150" i="9"/>
  <c r="P1150" i="9"/>
  <c r="K1138" i="9"/>
  <c r="P1138" i="9"/>
  <c r="K1126" i="9"/>
  <c r="P1126" i="9"/>
  <c r="K1114" i="9"/>
  <c r="P1114" i="9"/>
  <c r="K1102" i="9"/>
  <c r="P1102" i="9"/>
  <c r="K1090" i="9"/>
  <c r="P1090" i="9"/>
  <c r="K1078" i="9"/>
  <c r="P1078" i="9"/>
  <c r="K1066" i="9"/>
  <c r="P1066" i="9"/>
  <c r="K1054" i="9"/>
  <c r="P1054" i="9"/>
  <c r="K1042" i="9"/>
  <c r="P1042" i="9"/>
  <c r="K1030" i="9"/>
  <c r="P1030" i="9"/>
  <c r="K1018" i="9"/>
  <c r="P1018" i="9"/>
  <c r="K1006" i="9"/>
  <c r="P1006" i="9"/>
  <c r="K994" i="9"/>
  <c r="P994" i="9"/>
  <c r="K982" i="9"/>
  <c r="P982" i="9"/>
  <c r="K970" i="9"/>
  <c r="P970" i="9"/>
  <c r="K958" i="9"/>
  <c r="P958" i="9"/>
  <c r="K946" i="9"/>
  <c r="P946" i="9"/>
  <c r="K934" i="9"/>
  <c r="P934" i="9"/>
  <c r="K922" i="9"/>
  <c r="P922" i="9"/>
  <c r="K910" i="9"/>
  <c r="P910" i="9"/>
  <c r="K898" i="9"/>
  <c r="P898" i="9"/>
  <c r="K886" i="9"/>
  <c r="P886" i="9"/>
  <c r="K874" i="9"/>
  <c r="P874" i="9"/>
  <c r="K862" i="9"/>
  <c r="P862" i="9"/>
  <c r="K850" i="9"/>
  <c r="P850" i="9"/>
  <c r="K838" i="9"/>
  <c r="P838" i="9"/>
  <c r="K826" i="9"/>
  <c r="P826" i="9"/>
  <c r="K814" i="9"/>
  <c r="P814" i="9"/>
  <c r="K802" i="9"/>
  <c r="P802" i="9"/>
  <c r="K790" i="9"/>
  <c r="P790" i="9"/>
  <c r="K778" i="9"/>
  <c r="P778" i="9"/>
  <c r="K766" i="9"/>
  <c r="P766" i="9"/>
  <c r="K754" i="9"/>
  <c r="P754" i="9"/>
  <c r="K742" i="9"/>
  <c r="P742" i="9"/>
  <c r="K730" i="9"/>
  <c r="P730" i="9"/>
  <c r="K718" i="9"/>
  <c r="P718" i="9"/>
  <c r="K706" i="9"/>
  <c r="P706" i="9"/>
  <c r="K694" i="9"/>
  <c r="P694" i="9"/>
  <c r="K682" i="9"/>
  <c r="P682" i="9"/>
  <c r="K670" i="9"/>
  <c r="P670" i="9"/>
  <c r="K658" i="9"/>
  <c r="P658" i="9"/>
  <c r="K646" i="9"/>
  <c r="P646" i="9"/>
  <c r="K634" i="9"/>
  <c r="P634" i="9"/>
  <c r="K622" i="9"/>
  <c r="P622" i="9"/>
  <c r="K610" i="9"/>
  <c r="P610" i="9"/>
  <c r="K598" i="9"/>
  <c r="P598" i="9"/>
  <c r="K586" i="9"/>
  <c r="P586" i="9"/>
  <c r="K574" i="9"/>
  <c r="P574" i="9"/>
  <c r="K562" i="9"/>
  <c r="P562" i="9"/>
  <c r="K550" i="9"/>
  <c r="P550" i="9"/>
  <c r="K538" i="9"/>
  <c r="P538" i="9"/>
  <c r="K526" i="9"/>
  <c r="P526" i="9"/>
  <c r="K514" i="9"/>
  <c r="P514" i="9"/>
  <c r="K502" i="9"/>
  <c r="P502" i="9"/>
  <c r="K490" i="9"/>
  <c r="P490" i="9"/>
  <c r="K478" i="9"/>
  <c r="P478" i="9"/>
  <c r="K466" i="9"/>
  <c r="P466" i="9"/>
  <c r="K454" i="9"/>
  <c r="P454" i="9"/>
  <c r="K442" i="9"/>
  <c r="P442" i="9"/>
  <c r="K430" i="9"/>
  <c r="P430" i="9"/>
  <c r="K418" i="9"/>
  <c r="P418" i="9"/>
  <c r="K406" i="9"/>
  <c r="P406" i="9"/>
  <c r="K394" i="9"/>
  <c r="P394" i="9"/>
  <c r="K382" i="9"/>
  <c r="P382" i="9"/>
  <c r="K370" i="9"/>
  <c r="P370" i="9"/>
  <c r="K358" i="9"/>
  <c r="P358" i="9"/>
  <c r="K346" i="9"/>
  <c r="P346" i="9"/>
  <c r="K334" i="9"/>
  <c r="P334" i="9"/>
  <c r="K321" i="9"/>
  <c r="P321" i="9"/>
  <c r="K308" i="9"/>
  <c r="P308" i="9"/>
  <c r="K296" i="9"/>
  <c r="P296" i="9"/>
  <c r="K284" i="9"/>
  <c r="P284" i="9"/>
  <c r="K272" i="9"/>
  <c r="P272" i="9"/>
  <c r="K260" i="9"/>
  <c r="P260" i="9"/>
  <c r="K248" i="9"/>
  <c r="P248" i="9"/>
  <c r="K224" i="9"/>
  <c r="P224" i="9"/>
  <c r="K212" i="9"/>
  <c r="P212" i="9"/>
  <c r="K200" i="9"/>
  <c r="P200" i="9"/>
  <c r="K188" i="9"/>
  <c r="P188" i="9"/>
  <c r="K176" i="9"/>
  <c r="P176" i="9"/>
  <c r="K164" i="9"/>
  <c r="P164" i="9"/>
  <c r="K152" i="9"/>
  <c r="P152" i="9"/>
  <c r="K140" i="9"/>
  <c r="P140" i="9"/>
  <c r="K128" i="9"/>
  <c r="P128" i="9"/>
  <c r="K116" i="9"/>
  <c r="P116" i="9"/>
  <c r="K104" i="9"/>
  <c r="P104" i="9"/>
  <c r="K92" i="9"/>
  <c r="P92" i="9"/>
  <c r="K80" i="9"/>
  <c r="P80" i="9"/>
  <c r="K68" i="9"/>
  <c r="P68" i="9"/>
  <c r="K56" i="9"/>
  <c r="P56" i="9"/>
  <c r="K44" i="9"/>
  <c r="P44" i="9"/>
  <c r="K32" i="9"/>
  <c r="P32" i="9"/>
  <c r="K20" i="9"/>
  <c r="P20" i="9"/>
  <c r="K8" i="9"/>
  <c r="P8" i="9"/>
  <c r="K1653" i="9"/>
  <c r="P1653" i="9"/>
  <c r="K1641" i="9"/>
  <c r="P1641" i="9"/>
  <c r="K1629" i="9"/>
  <c r="P1629" i="9"/>
  <c r="K1617" i="9"/>
  <c r="P1617" i="9"/>
  <c r="K1605" i="9"/>
  <c r="P1605" i="9"/>
  <c r="K1593" i="9"/>
  <c r="P1593" i="9"/>
  <c r="K1581" i="9"/>
  <c r="P1581" i="9"/>
  <c r="K1545" i="9"/>
  <c r="P1545" i="9"/>
  <c r="K1521" i="9"/>
  <c r="P1521" i="9"/>
  <c r="K1485" i="9"/>
  <c r="P1485" i="9"/>
  <c r="K1473" i="9"/>
  <c r="P1473" i="9"/>
  <c r="K1461" i="9"/>
  <c r="P1461" i="9"/>
  <c r="K1437" i="9"/>
  <c r="P1437" i="9"/>
  <c r="K1425" i="9"/>
  <c r="P1425" i="9"/>
  <c r="K1401" i="9"/>
  <c r="P1401" i="9"/>
  <c r="K1389" i="9"/>
  <c r="P1389" i="9"/>
  <c r="K1377" i="9"/>
  <c r="P1377" i="9"/>
  <c r="K1317" i="9"/>
  <c r="P1317" i="9"/>
  <c r="K1293" i="9"/>
  <c r="P1293" i="9"/>
  <c r="K1233" i="9"/>
  <c r="P1233" i="9"/>
  <c r="K1173" i="9"/>
  <c r="P1173" i="9"/>
  <c r="K1149" i="9"/>
  <c r="P1149" i="9"/>
  <c r="K1137" i="9"/>
  <c r="P1137" i="9"/>
  <c r="K1041" i="9"/>
  <c r="P1041" i="9"/>
  <c r="K1017" i="9"/>
  <c r="P1017" i="9"/>
  <c r="K981" i="9"/>
  <c r="P981" i="9"/>
  <c r="K969" i="9"/>
  <c r="P969" i="9"/>
  <c r="K933" i="9"/>
  <c r="P933" i="9"/>
  <c r="K909" i="9"/>
  <c r="P909" i="9"/>
  <c r="K849" i="9"/>
  <c r="P849" i="9"/>
  <c r="K765" i="9"/>
  <c r="P765" i="9"/>
  <c r="K753" i="9"/>
  <c r="P753" i="9"/>
  <c r="K633" i="9"/>
  <c r="P633" i="9"/>
  <c r="K573" i="9"/>
  <c r="P573" i="9"/>
  <c r="K561" i="9"/>
  <c r="P561" i="9"/>
  <c r="K477" i="9"/>
  <c r="P477" i="9"/>
  <c r="K429" i="9"/>
  <c r="P429" i="9"/>
  <c r="K417" i="9"/>
  <c r="P417" i="9"/>
  <c r="K271" i="9"/>
  <c r="P271" i="9"/>
  <c r="K223" i="9"/>
  <c r="P223" i="9"/>
  <c r="K187" i="9"/>
  <c r="P187" i="9"/>
  <c r="K139" i="9"/>
  <c r="P139" i="9"/>
  <c r="K127" i="9"/>
  <c r="P127" i="9"/>
  <c r="K1696" i="9"/>
  <c r="P1696" i="9"/>
  <c r="K1684" i="9"/>
  <c r="P1684" i="9"/>
  <c r="K1672" i="9"/>
  <c r="P1672" i="9"/>
  <c r="B1878" i="9"/>
  <c r="B1876" i="9"/>
  <c r="B1882" i="9"/>
  <c r="B1870" i="9"/>
  <c r="B1877" i="9"/>
  <c r="B1883" i="9"/>
  <c r="B1871" i="9"/>
  <c r="B1872" i="9"/>
  <c r="B1874" i="9"/>
  <c r="B1875" i="9"/>
  <c r="B1879" i="9"/>
  <c r="B1880" i="9"/>
  <c r="B1881" i="9"/>
  <c r="B1873" i="9"/>
  <c r="W18" i="13"/>
  <c r="Y20" i="13"/>
  <c r="AA22" i="13"/>
  <c r="X18" i="13"/>
  <c r="Z20" i="13"/>
  <c r="W22" i="13"/>
  <c r="Y18" i="13"/>
  <c r="AA20" i="13"/>
  <c r="Z22" i="13"/>
  <c r="Z18" i="13"/>
  <c r="W21" i="13"/>
  <c r="AA18" i="13"/>
  <c r="X21" i="13"/>
  <c r="W19" i="13"/>
  <c r="Y21" i="13"/>
  <c r="Y19" i="13"/>
  <c r="AA21" i="13"/>
  <c r="X19" i="13"/>
  <c r="Z21" i="13"/>
  <c r="X20" i="13"/>
  <c r="Z19" i="13"/>
  <c r="AA19" i="13"/>
  <c r="X22" i="13"/>
  <c r="W20" i="13"/>
  <c r="Y22" i="13"/>
  <c r="B1826" i="9"/>
  <c r="B1854" i="9"/>
  <c r="B1860" i="9"/>
  <c r="B1866" i="9"/>
  <c r="B1836" i="9"/>
  <c r="B1830" i="9"/>
  <c r="B1831" i="9"/>
  <c r="B1839" i="9"/>
  <c r="B1833" i="9"/>
  <c r="B1817" i="9"/>
  <c r="B1863" i="9"/>
  <c r="B1838" i="9"/>
  <c r="B1852" i="9"/>
  <c r="B1822" i="9"/>
  <c r="B1850" i="9"/>
  <c r="B1837" i="9"/>
  <c r="B1859" i="9"/>
  <c r="B1819" i="9"/>
  <c r="B1855" i="9"/>
  <c r="B1862" i="9"/>
  <c r="B1846" i="9"/>
  <c r="B1825" i="9"/>
  <c r="B1815" i="9"/>
  <c r="B1848" i="9"/>
  <c r="B1843" i="9"/>
  <c r="B1864" i="9"/>
  <c r="B1818" i="9"/>
  <c r="B1851" i="9"/>
  <c r="B1869" i="9"/>
  <c r="B1853" i="9"/>
  <c r="B1829" i="9"/>
  <c r="B1820" i="9"/>
  <c r="B1845" i="9"/>
  <c r="B1842" i="9"/>
  <c r="B1849" i="9"/>
  <c r="B1832" i="9"/>
  <c r="B1821" i="9"/>
  <c r="B1868" i="9"/>
  <c r="B1856" i="9"/>
  <c r="B1828" i="9"/>
  <c r="B1840" i="9"/>
  <c r="B1835" i="9"/>
  <c r="B1827" i="9"/>
  <c r="B1816" i="9"/>
  <c r="B1841" i="9"/>
  <c r="B1857" i="9"/>
  <c r="B1865" i="9"/>
  <c r="B1824" i="9"/>
  <c r="B1814" i="9"/>
  <c r="B1867" i="9"/>
  <c r="B1844" i="9"/>
  <c r="B1861" i="9"/>
  <c r="B1834" i="9"/>
  <c r="B1858" i="9"/>
  <c r="B1847" i="9"/>
  <c r="B1823" i="9"/>
  <c r="K325" i="9"/>
  <c r="N1649" i="9"/>
  <c r="N1661" i="9"/>
  <c r="N1589" i="9"/>
  <c r="N1700" i="9"/>
  <c r="N1807" i="9"/>
  <c r="C42" i="13" s="1"/>
  <c r="N1762" i="9"/>
  <c r="N1737" i="9"/>
  <c r="N1726" i="9"/>
  <c r="N1792" i="9"/>
  <c r="N1811" i="9"/>
  <c r="N1771" i="9"/>
  <c r="N1750" i="9"/>
  <c r="N1565" i="9"/>
  <c r="N1577" i="9"/>
  <c r="N1601" i="9"/>
  <c r="N1761" i="9"/>
  <c r="N1718" i="9"/>
  <c r="N1764" i="9"/>
  <c r="N1783" i="9"/>
  <c r="N1795" i="9"/>
  <c r="N1774" i="9"/>
  <c r="C43" i="13"/>
  <c r="D43" i="13"/>
  <c r="N1759" i="9"/>
  <c r="N1716" i="9"/>
  <c r="B1810" i="9"/>
  <c r="B1811" i="9"/>
  <c r="B1812" i="9"/>
  <c r="B1806" i="9"/>
  <c r="B1797" i="9"/>
  <c r="B1788" i="9"/>
  <c r="B1802" i="9"/>
  <c r="B1791" i="9"/>
  <c r="B1804" i="9"/>
  <c r="B1805" i="9"/>
  <c r="B1796" i="9"/>
  <c r="B1800" i="9"/>
  <c r="B1799" i="9"/>
  <c r="B1790" i="9"/>
  <c r="B1813" i="9"/>
  <c r="B1793" i="9"/>
  <c r="B1808" i="9"/>
  <c r="B1787" i="9"/>
  <c r="B1807" i="9"/>
  <c r="B1789" i="9"/>
  <c r="B1798" i="9"/>
  <c r="B1801" i="9"/>
  <c r="B1786" i="9"/>
  <c r="B1794" i="9"/>
  <c r="B1792" i="9"/>
  <c r="B1795" i="9"/>
  <c r="B1809" i="9"/>
  <c r="B1803" i="9"/>
  <c r="B1783" i="9"/>
  <c r="B1773" i="9"/>
  <c r="B1784" i="9"/>
  <c r="B1775" i="9"/>
  <c r="B1772" i="9"/>
  <c r="B1777" i="9"/>
  <c r="B1778" i="9"/>
  <c r="B1779" i="9"/>
  <c r="B1776" i="9"/>
  <c r="B1774" i="9"/>
  <c r="B1781" i="9"/>
  <c r="B1780" i="9"/>
  <c r="B1782" i="9"/>
  <c r="B1785" i="9"/>
  <c r="N1553" i="9"/>
  <c r="N1633" i="9"/>
  <c r="N1621" i="9"/>
  <c r="N1609" i="9"/>
  <c r="N1602" i="9"/>
  <c r="B1770" i="9"/>
  <c r="B1768" i="9"/>
  <c r="B1758" i="9"/>
  <c r="B1763" i="9"/>
  <c r="B1762" i="9"/>
  <c r="B1769" i="9"/>
  <c r="B1771" i="9"/>
  <c r="B1761" i="9"/>
  <c r="B1764" i="9"/>
  <c r="B1766" i="9"/>
  <c r="B1767" i="9"/>
  <c r="B1765" i="9"/>
  <c r="B1760" i="9"/>
  <c r="B1759" i="9"/>
  <c r="N1698" i="9"/>
  <c r="N1686" i="9"/>
  <c r="N1674" i="9"/>
  <c r="N1641" i="9"/>
  <c r="N1629" i="9"/>
  <c r="N1554" i="9"/>
  <c r="N1566" i="9"/>
  <c r="N1578" i="9"/>
  <c r="N1590" i="9"/>
  <c r="AD142" i="11"/>
  <c r="AD128" i="11"/>
  <c r="AF142" i="11"/>
  <c r="AF128" i="11"/>
  <c r="AG142" i="11"/>
  <c r="AG128" i="11"/>
  <c r="AI142" i="11"/>
  <c r="AI128" i="11"/>
  <c r="AD30" i="11"/>
  <c r="AF30" i="11"/>
  <c r="AG30" i="11"/>
  <c r="AI30" i="11"/>
  <c r="AA168" i="11"/>
  <c r="X161" i="11"/>
  <c r="V168" i="11"/>
  <c r="AA161" i="11"/>
  <c r="Y168" i="11"/>
  <c r="V169" i="11"/>
  <c r="Y169" i="11"/>
  <c r="V161" i="11"/>
  <c r="Y161" i="11"/>
  <c r="X168" i="11"/>
  <c r="X169" i="11"/>
  <c r="AA169" i="11"/>
  <c r="AD145" i="11"/>
  <c r="AF145" i="11"/>
  <c r="AD131" i="11"/>
  <c r="AG145" i="11"/>
  <c r="AF131" i="11"/>
  <c r="AI145" i="11"/>
  <c r="AG131" i="11"/>
  <c r="AI131" i="11"/>
  <c r="X210" i="11"/>
  <c r="AA210" i="11"/>
  <c r="X211" i="11"/>
  <c r="AA211" i="11"/>
  <c r="V211" i="11"/>
  <c r="V210" i="11"/>
  <c r="Y210" i="11"/>
  <c r="Y211" i="11"/>
  <c r="AI138" i="11"/>
  <c r="AA98" i="11"/>
  <c r="AD138" i="11"/>
  <c r="AF138" i="11"/>
  <c r="AG138" i="11"/>
  <c r="V98" i="11"/>
  <c r="Y98" i="11"/>
  <c r="X98" i="11"/>
  <c r="AF130" i="11"/>
  <c r="AI144" i="11"/>
  <c r="AG130" i="11"/>
  <c r="AI130" i="11"/>
  <c r="AD144" i="11"/>
  <c r="AD130" i="11"/>
  <c r="AF144" i="11"/>
  <c r="AG144" i="11"/>
  <c r="X196" i="11"/>
  <c r="AA196" i="11"/>
  <c r="X197" i="11"/>
  <c r="AA197" i="11"/>
  <c r="V196" i="11"/>
  <c r="V197" i="11"/>
  <c r="Y196" i="11"/>
  <c r="Y197" i="11"/>
  <c r="AG121" i="11"/>
  <c r="AI135" i="11"/>
  <c r="AI121" i="11"/>
  <c r="AD135" i="11"/>
  <c r="AD121" i="11"/>
  <c r="AF135" i="11"/>
  <c r="AF121" i="11"/>
  <c r="AG135" i="11"/>
  <c r="X55" i="11"/>
  <c r="X56" i="11"/>
  <c r="AA55" i="11"/>
  <c r="AA56" i="11"/>
  <c r="V55" i="11"/>
  <c r="Y55" i="11"/>
  <c r="V56" i="11"/>
  <c r="Y56" i="11"/>
  <c r="AG118" i="11"/>
  <c r="AA14" i="11"/>
  <c r="AI118" i="11"/>
  <c r="AD20" i="11"/>
  <c r="AA6" i="11"/>
  <c r="AF20" i="11"/>
  <c r="Y6" i="11"/>
  <c r="AG20" i="11"/>
  <c r="X6" i="11"/>
  <c r="AI20" i="11"/>
  <c r="AD132" i="11"/>
  <c r="AF132" i="11"/>
  <c r="AG132" i="11"/>
  <c r="AD118" i="11"/>
  <c r="AI132" i="11"/>
  <c r="AF118" i="11"/>
  <c r="AA13" i="11"/>
  <c r="V13" i="11"/>
  <c r="Y13" i="11"/>
  <c r="V14" i="11"/>
  <c r="Y14" i="11"/>
  <c r="V6" i="11"/>
  <c r="X13" i="11"/>
  <c r="X14" i="11"/>
  <c r="AD136" i="11"/>
  <c r="AD122" i="11"/>
  <c r="AF136" i="11"/>
  <c r="AF122" i="11"/>
  <c r="AG136" i="11"/>
  <c r="AG122" i="11"/>
  <c r="AI136" i="11"/>
  <c r="AI122" i="11"/>
  <c r="Y69" i="11"/>
  <c r="V70" i="11"/>
  <c r="Y70" i="11"/>
  <c r="AA69" i="11"/>
  <c r="AA70" i="11"/>
  <c r="X69" i="11"/>
  <c r="X70" i="11"/>
  <c r="V69" i="11"/>
  <c r="AD139" i="11"/>
  <c r="AD125" i="11"/>
  <c r="AF139" i="11"/>
  <c r="AF125" i="11"/>
  <c r="AG139" i="11"/>
  <c r="AG125" i="11"/>
  <c r="AI139" i="11"/>
  <c r="AI125" i="11"/>
  <c r="X112" i="11"/>
  <c r="V111" i="11"/>
  <c r="Y111" i="11"/>
  <c r="V112" i="11"/>
  <c r="Y112" i="11"/>
  <c r="AA111" i="11"/>
  <c r="AA112" i="11"/>
  <c r="X111" i="11"/>
  <c r="AD137" i="11"/>
  <c r="AD24" i="11"/>
  <c r="AD123" i="11"/>
  <c r="AF137" i="11"/>
  <c r="AF24" i="11"/>
  <c r="AF123" i="11"/>
  <c r="AG137" i="11"/>
  <c r="AG24" i="11"/>
  <c r="AG123" i="11"/>
  <c r="AI137" i="11"/>
  <c r="AI24" i="11"/>
  <c r="AI123" i="11"/>
  <c r="AA84" i="11"/>
  <c r="X77" i="11"/>
  <c r="V83" i="11"/>
  <c r="AA83" i="11"/>
  <c r="Y83" i="11"/>
  <c r="V84" i="11"/>
  <c r="Y84" i="11"/>
  <c r="X83" i="11"/>
  <c r="V77" i="11"/>
  <c r="Y77" i="11"/>
  <c r="X84" i="11"/>
  <c r="AA77" i="11"/>
  <c r="AA41" i="11"/>
  <c r="AD134" i="11"/>
  <c r="AA42" i="11"/>
  <c r="AF134" i="11"/>
  <c r="AD120" i="11"/>
  <c r="AG134" i="11"/>
  <c r="AF120" i="11"/>
  <c r="AI134" i="11"/>
  <c r="AG120" i="11"/>
  <c r="AI120" i="11"/>
  <c r="X41" i="11"/>
  <c r="X42" i="11"/>
  <c r="V41" i="11"/>
  <c r="Y41" i="11"/>
  <c r="V42" i="11"/>
  <c r="Y42" i="11"/>
  <c r="AD143" i="11"/>
  <c r="AD129" i="11"/>
  <c r="AF143" i="11"/>
  <c r="AF129" i="11"/>
  <c r="AG143" i="11"/>
  <c r="AG129" i="11"/>
  <c r="AI143" i="11"/>
  <c r="AI129" i="11"/>
  <c r="AA183" i="11"/>
  <c r="V182" i="11"/>
  <c r="Y182" i="11"/>
  <c r="V183" i="11"/>
  <c r="Y183" i="11"/>
  <c r="X182" i="11"/>
  <c r="AA182" i="11"/>
  <c r="X183" i="11"/>
  <c r="AG127" i="11"/>
  <c r="AI141" i="11"/>
  <c r="AI127" i="11"/>
  <c r="AD141" i="11"/>
  <c r="AD127" i="11"/>
  <c r="AF141" i="11"/>
  <c r="AF127" i="11"/>
  <c r="AG141" i="11"/>
  <c r="V154" i="11"/>
  <c r="Y154" i="11"/>
  <c r="V155" i="11"/>
  <c r="Y155" i="11"/>
  <c r="X154" i="11"/>
  <c r="X155" i="11"/>
  <c r="AA154" i="11"/>
  <c r="AA155" i="11"/>
  <c r="AI203" i="11"/>
  <c r="AF6" i="11"/>
  <c r="AF133" i="11"/>
  <c r="AD6" i="11"/>
  <c r="AD119" i="11"/>
  <c r="AG133" i="11"/>
  <c r="AA28" i="11"/>
  <c r="AF119" i="11"/>
  <c r="AI133" i="11"/>
  <c r="AG119" i="11"/>
  <c r="AI119" i="11"/>
  <c r="AD203" i="11"/>
  <c r="AF203" i="11"/>
  <c r="AI6" i="11"/>
  <c r="AD133" i="11"/>
  <c r="AG203" i="11"/>
  <c r="AG6" i="11"/>
  <c r="Y33" i="11"/>
  <c r="X28" i="11"/>
  <c r="AA20" i="11"/>
  <c r="X20" i="11"/>
  <c r="X33" i="11"/>
  <c r="V27" i="11"/>
  <c r="Y27" i="11"/>
  <c r="V28" i="11"/>
  <c r="AA27" i="11"/>
  <c r="Y28" i="11"/>
  <c r="AA33" i="11"/>
  <c r="V20" i="11"/>
  <c r="Y20" i="11"/>
  <c r="X27" i="11"/>
  <c r="V33" i="11"/>
  <c r="N1617" i="9"/>
  <c r="N319" i="9"/>
  <c r="N1536" i="9"/>
  <c r="N1651" i="9"/>
  <c r="N320" i="9"/>
  <c r="N1535" i="9"/>
  <c r="N1695" i="9"/>
  <c r="N1683" i="9"/>
  <c r="N1671" i="9"/>
  <c r="N1214" i="9"/>
  <c r="N1202" i="9"/>
  <c r="N1190" i="9"/>
  <c r="N1178" i="9"/>
  <c r="N1166" i="9"/>
  <c r="N1154" i="9"/>
  <c r="N1142" i="9"/>
  <c r="N1130" i="9"/>
  <c r="N1118" i="9"/>
  <c r="N1106" i="9"/>
  <c r="N1094" i="9"/>
  <c r="N1082" i="9"/>
  <c r="N1070" i="9"/>
  <c r="N1058" i="9"/>
  <c r="N1046" i="9"/>
  <c r="N1034" i="9"/>
  <c r="N1484" i="9"/>
  <c r="N1412" i="9"/>
  <c r="N1352" i="9"/>
  <c r="N1292" i="9"/>
  <c r="N1232" i="9"/>
  <c r="N1184" i="9"/>
  <c r="N1124" i="9"/>
  <c r="N1064" i="9"/>
  <c r="N1004" i="9"/>
  <c r="N944" i="9"/>
  <c r="N872" i="9"/>
  <c r="N812" i="9"/>
  <c r="N752" i="9"/>
  <c r="N692" i="9"/>
  <c r="N632" i="9"/>
  <c r="N572" i="9"/>
  <c r="N512" i="9"/>
  <c r="N464" i="9"/>
  <c r="N392" i="9"/>
  <c r="N332" i="9"/>
  <c r="N270" i="9"/>
  <c r="N222" i="9"/>
  <c r="N162" i="9"/>
  <c r="N1532" i="9"/>
  <c r="N1472" i="9"/>
  <c r="N1400" i="9"/>
  <c r="N1340" i="9"/>
  <c r="N1280" i="9"/>
  <c r="N1220" i="9"/>
  <c r="N1148" i="9"/>
  <c r="N1088" i="9"/>
  <c r="N1028" i="9"/>
  <c r="N968" i="9"/>
  <c r="N908" i="9"/>
  <c r="N848" i="9"/>
  <c r="N788" i="9"/>
  <c r="N716" i="9"/>
  <c r="N656" i="9"/>
  <c r="N596" i="9"/>
  <c r="N536" i="9"/>
  <c r="N476" i="9"/>
  <c r="N416" i="9"/>
  <c r="N344" i="9"/>
  <c r="N282" i="9"/>
  <c r="N210" i="9"/>
  <c r="N174" i="9"/>
  <c r="N1022" i="9"/>
  <c r="N1010" i="9"/>
  <c r="N998" i="9"/>
  <c r="N986" i="9"/>
  <c r="N974" i="9"/>
  <c r="N962" i="9"/>
  <c r="N950" i="9"/>
  <c r="N938" i="9"/>
  <c r="N926" i="9"/>
  <c r="N914" i="9"/>
  <c r="N902" i="9"/>
  <c r="N890" i="9"/>
  <c r="N878" i="9"/>
  <c r="N866" i="9"/>
  <c r="N854" i="9"/>
  <c r="N842" i="9"/>
  <c r="N830" i="9"/>
  <c r="N818" i="9"/>
  <c r="N806" i="9"/>
  <c r="N794" i="9"/>
  <c r="N782" i="9"/>
  <c r="N770" i="9"/>
  <c r="N758" i="9"/>
  <c r="N746" i="9"/>
  <c r="N734" i="9"/>
  <c r="N722" i="9"/>
  <c r="N710" i="9"/>
  <c r="N698" i="9"/>
  <c r="N686" i="9"/>
  <c r="N674" i="9"/>
  <c r="N662" i="9"/>
  <c r="N650" i="9"/>
  <c r="N638" i="9"/>
  <c r="N626" i="9"/>
  <c r="N614" i="9"/>
  <c r="N602" i="9"/>
  <c r="N590" i="9"/>
  <c r="N578" i="9"/>
  <c r="N566" i="9"/>
  <c r="N554" i="9"/>
  <c r="N542" i="9"/>
  <c r="N530" i="9"/>
  <c r="N518" i="9"/>
  <c r="N506" i="9"/>
  <c r="N494" i="9"/>
  <c r="N482" i="9"/>
  <c r="N470" i="9"/>
  <c r="N458" i="9"/>
  <c r="N446" i="9"/>
  <c r="N434" i="9"/>
  <c r="N422" i="9"/>
  <c r="N410" i="9"/>
  <c r="N398" i="9"/>
  <c r="N386" i="9"/>
  <c r="N374" i="9"/>
  <c r="N362" i="9"/>
  <c r="N350" i="9"/>
  <c r="N338" i="9"/>
  <c r="N326" i="9"/>
  <c r="N312" i="9"/>
  <c r="N300" i="9"/>
  <c r="N288" i="9"/>
  <c r="N276" i="9"/>
  <c r="N264" i="9"/>
  <c r="N252" i="9"/>
  <c r="N240" i="9"/>
  <c r="N228" i="9"/>
  <c r="N216" i="9"/>
  <c r="N204" i="9"/>
  <c r="N192" i="9"/>
  <c r="N180" i="9"/>
  <c r="N156" i="9"/>
  <c r="N144" i="9"/>
  <c r="N132" i="9"/>
  <c r="N120" i="9"/>
  <c r="N108" i="9"/>
  <c r="N96" i="9"/>
  <c r="N84" i="9"/>
  <c r="N72" i="9"/>
  <c r="N48" i="9"/>
  <c r="N36" i="9"/>
  <c r="N12" i="9"/>
  <c r="N1542" i="9"/>
  <c r="N1592" i="9"/>
  <c r="N1604" i="9"/>
  <c r="N1646" i="9"/>
  <c r="N1658" i="9"/>
  <c r="N1691" i="9"/>
  <c r="N1679" i="9"/>
  <c r="N1667" i="9"/>
  <c r="N1520" i="9"/>
  <c r="N1448" i="9"/>
  <c r="N1364" i="9"/>
  <c r="N1304" i="9"/>
  <c r="N1244" i="9"/>
  <c r="N1172" i="9"/>
  <c r="N1112" i="9"/>
  <c r="N1052" i="9"/>
  <c r="N992" i="9"/>
  <c r="N932" i="9"/>
  <c r="N884" i="9"/>
  <c r="N824" i="9"/>
  <c r="N764" i="9"/>
  <c r="N704" i="9"/>
  <c r="N644" i="9"/>
  <c r="N584" i="9"/>
  <c r="N524" i="9"/>
  <c r="N440" i="9"/>
  <c r="N380" i="9"/>
  <c r="N234" i="9"/>
  <c r="N138" i="9"/>
  <c r="N1548" i="9"/>
  <c r="N1560" i="9"/>
  <c r="N1572" i="9"/>
  <c r="N1584" i="9"/>
  <c r="N1596" i="9"/>
  <c r="N1508" i="9"/>
  <c r="N1424" i="9"/>
  <c r="N1376" i="9"/>
  <c r="N1316" i="9"/>
  <c r="N1208" i="9"/>
  <c r="N1160" i="9"/>
  <c r="N1100" i="9"/>
  <c r="N1040" i="9"/>
  <c r="N980" i="9"/>
  <c r="N920" i="9"/>
  <c r="N860" i="9"/>
  <c r="N740" i="9"/>
  <c r="N668" i="9"/>
  <c r="N608" i="9"/>
  <c r="N548" i="9"/>
  <c r="N488" i="9"/>
  <c r="N428" i="9"/>
  <c r="N368" i="9"/>
  <c r="N258" i="9"/>
  <c r="N1688" i="9"/>
  <c r="N1676" i="9"/>
  <c r="N1496" i="9"/>
  <c r="N1436" i="9"/>
  <c r="N1388" i="9"/>
  <c r="N1328" i="9"/>
  <c r="N1268" i="9"/>
  <c r="N1196" i="9"/>
  <c r="N1136" i="9"/>
  <c r="N1076" i="9"/>
  <c r="N1016" i="9"/>
  <c r="N956" i="9"/>
  <c r="N896" i="9"/>
  <c r="N836" i="9"/>
  <c r="N776" i="9"/>
  <c r="N728" i="9"/>
  <c r="N680" i="9"/>
  <c r="N620" i="9"/>
  <c r="N560" i="9"/>
  <c r="N500" i="9"/>
  <c r="N452" i="9"/>
  <c r="N404" i="9"/>
  <c r="N356" i="9"/>
  <c r="N306" i="9"/>
  <c r="N246" i="9"/>
  <c r="N198" i="9"/>
  <c r="N186" i="9"/>
  <c r="N150" i="9"/>
  <c r="N126" i="9"/>
  <c r="N114" i="9"/>
  <c r="N102" i="9"/>
  <c r="N90" i="9"/>
  <c r="N78" i="9"/>
  <c r="N66" i="9"/>
  <c r="N54" i="9"/>
  <c r="N42" i="9"/>
  <c r="N18" i="9"/>
  <c r="N1538" i="9"/>
  <c r="N1528" i="9"/>
  <c r="N1516" i="9"/>
  <c r="N1504" i="9"/>
  <c r="N1492" i="9"/>
  <c r="N1480" i="9"/>
  <c r="N1468" i="9"/>
  <c r="N1456" i="9"/>
  <c r="N1444" i="9"/>
  <c r="N1432" i="9"/>
  <c r="N1527" i="9"/>
  <c r="N1515" i="9"/>
  <c r="N1503" i="9"/>
  <c r="N1491" i="9"/>
  <c r="N1479" i="9"/>
  <c r="N1467" i="9"/>
  <c r="N1455" i="9"/>
  <c r="N1443" i="9"/>
  <c r="N1431" i="9"/>
  <c r="N1419" i="9"/>
  <c r="N1407" i="9"/>
  <c r="N1395" i="9"/>
  <c r="N1383" i="9"/>
  <c r="N1371" i="9"/>
  <c r="N1359" i="9"/>
  <c r="N1347" i="9"/>
  <c r="N1335" i="9"/>
  <c r="N1323" i="9"/>
  <c r="N1311" i="9"/>
  <c r="N1299" i="9"/>
  <c r="N1287" i="9"/>
  <c r="N1275" i="9"/>
  <c r="N1263" i="9"/>
  <c r="N1251" i="9"/>
  <c r="N1239" i="9"/>
  <c r="N1227" i="9"/>
  <c r="N1215" i="9"/>
  <c r="N1525" i="9"/>
  <c r="N1513" i="9"/>
  <c r="N1501" i="9"/>
  <c r="N1489" i="9"/>
  <c r="N1477" i="9"/>
  <c r="N1465" i="9"/>
  <c r="N1453" i="9"/>
  <c r="N1441" i="9"/>
  <c r="N1429" i="9"/>
  <c r="N1417" i="9"/>
  <c r="N1405" i="9"/>
  <c r="N1393" i="9"/>
  <c r="N1381" i="9"/>
  <c r="N1369" i="9"/>
  <c r="N1357" i="9"/>
  <c r="N1345" i="9"/>
  <c r="N1333" i="9"/>
  <c r="N1321" i="9"/>
  <c r="N1309" i="9"/>
  <c r="N1297" i="9"/>
  <c r="N1285" i="9"/>
  <c r="N1273" i="9"/>
  <c r="N1261" i="9"/>
  <c r="N1249" i="9"/>
  <c r="N1237" i="9"/>
  <c r="N1225" i="9"/>
  <c r="N1213" i="9"/>
  <c r="N1201" i="9"/>
  <c r="N1189" i="9"/>
  <c r="N1177" i="9"/>
  <c r="N1165" i="9"/>
  <c r="N1153" i="9"/>
  <c r="N1141" i="9"/>
  <c r="N1129" i="9"/>
  <c r="N1117" i="9"/>
  <c r="N1105" i="9"/>
  <c r="N1093" i="9"/>
  <c r="N1081" i="9"/>
  <c r="N1069" i="9"/>
  <c r="N1057" i="9"/>
  <c r="N1045" i="9"/>
  <c r="N1033" i="9"/>
  <c r="N1021" i="9"/>
  <c r="N1009" i="9"/>
  <c r="N997" i="9"/>
  <c r="N985" i="9"/>
  <c r="N973" i="9"/>
  <c r="N961" i="9"/>
  <c r="N949" i="9"/>
  <c r="N925" i="9"/>
  <c r="N913" i="9"/>
  <c r="N901" i="9"/>
  <c r="N889" i="9"/>
  <c r="N877" i="9"/>
  <c r="N865" i="9"/>
  <c r="N853" i="9"/>
  <c r="N841" i="9"/>
  <c r="N829" i="9"/>
  <c r="N817" i="9"/>
  <c r="N805" i="9"/>
  <c r="N793" i="9"/>
  <c r="N781" i="9"/>
  <c r="N757" i="9"/>
  <c r="N745" i="9"/>
  <c r="N733" i="9"/>
  <c r="N721" i="9"/>
  <c r="N709" i="9"/>
  <c r="N697" i="9"/>
  <c r="N685" i="9"/>
  <c r="N673" i="9"/>
  <c r="N661" i="9"/>
  <c r="N649" i="9"/>
  <c r="N637" i="9"/>
  <c r="N625" i="9"/>
  <c r="N613" i="9"/>
  <c r="N601" i="9"/>
  <c r="N589" i="9"/>
  <c r="N577" i="9"/>
  <c r="N565" i="9"/>
  <c r="N553" i="9"/>
  <c r="N541" i="9"/>
  <c r="N529" i="9"/>
  <c r="N517" i="9"/>
  <c r="N1531" i="9"/>
  <c r="N1519" i="9"/>
  <c r="N1507" i="9"/>
  <c r="N1495" i="9"/>
  <c r="N1483" i="9"/>
  <c r="N1471" i="9"/>
  <c r="N1459" i="9"/>
  <c r="N1447" i="9"/>
  <c r="N1435" i="9"/>
  <c r="N1423" i="9"/>
  <c r="N1411" i="9"/>
  <c r="N1420" i="9"/>
  <c r="N1408" i="9"/>
  <c r="N1396" i="9"/>
  <c r="N1384" i="9"/>
  <c r="N1372" i="9"/>
  <c r="N1360" i="9"/>
  <c r="N1348" i="9"/>
  <c r="N1336" i="9"/>
  <c r="N1324" i="9"/>
  <c r="N1312" i="9"/>
  <c r="N1300" i="9"/>
  <c r="N1288" i="9"/>
  <c r="N1276" i="9"/>
  <c r="N1264" i="9"/>
  <c r="N1252" i="9"/>
  <c r="N1240" i="9"/>
  <c r="N1228" i="9"/>
  <c r="N1216" i="9"/>
  <c r="N1204" i="9"/>
  <c r="N1192" i="9"/>
  <c r="N1180" i="9"/>
  <c r="N1168" i="9"/>
  <c r="N1156" i="9"/>
  <c r="N1144" i="9"/>
  <c r="N1132" i="9"/>
  <c r="N1120" i="9"/>
  <c r="N1108" i="9"/>
  <c r="N1096" i="9"/>
  <c r="N1084" i="9"/>
  <c r="N1072" i="9"/>
  <c r="N1060" i="9"/>
  <c r="N1048" i="9"/>
  <c r="N1036" i="9"/>
  <c r="N1024" i="9"/>
  <c r="N1012" i="9"/>
  <c r="N1000" i="9"/>
  <c r="N988" i="9"/>
  <c r="N976" i="9"/>
  <c r="N964" i="9"/>
  <c r="N952" i="9"/>
  <c r="N940" i="9"/>
  <c r="N928" i="9"/>
  <c r="N916" i="9"/>
  <c r="N904" i="9"/>
  <c r="N892" i="9"/>
  <c r="N880" i="9"/>
  <c r="N868" i="9"/>
  <c r="N856" i="9"/>
  <c r="N844" i="9"/>
  <c r="N832" i="9"/>
  <c r="N820" i="9"/>
  <c r="N808" i="9"/>
  <c r="N796" i="9"/>
  <c r="N784" i="9"/>
  <c r="N772" i="9"/>
  <c r="N760" i="9"/>
  <c r="N748" i="9"/>
  <c r="N736" i="9"/>
  <c r="N724" i="9"/>
  <c r="N712" i="9"/>
  <c r="N700" i="9"/>
  <c r="N688" i="9"/>
  <c r="N676" i="9"/>
  <c r="N664" i="9"/>
  <c r="N652" i="9"/>
  <c r="N640" i="9"/>
  <c r="N628" i="9"/>
  <c r="N616" i="9"/>
  <c r="N604" i="9"/>
  <c r="N592" i="9"/>
  <c r="N580" i="9"/>
  <c r="N568" i="9"/>
  <c r="N556" i="9"/>
  <c r="N544" i="9"/>
  <c r="N532" i="9"/>
  <c r="N520" i="9"/>
  <c r="N508" i="9"/>
  <c r="N496" i="9"/>
  <c r="N484" i="9"/>
  <c r="N472" i="9"/>
  <c r="N460" i="9"/>
  <c r="N505" i="9"/>
  <c r="N493" i="9"/>
  <c r="N481" i="9"/>
  <c r="N469" i="9"/>
  <c r="N457" i="9"/>
  <c r="N445" i="9"/>
  <c r="N433" i="9"/>
  <c r="N421" i="9"/>
  <c r="N409" i="9"/>
  <c r="N397" i="9"/>
  <c r="N385" i="9"/>
  <c r="N373" i="9"/>
  <c r="N361" i="9"/>
  <c r="N349" i="9"/>
  <c r="N337" i="9"/>
  <c r="N311" i="9"/>
  <c r="N299" i="9"/>
  <c r="N275" i="9"/>
  <c r="N263" i="9"/>
  <c r="N251" i="9"/>
  <c r="N239" i="9"/>
  <c r="N227" i="9"/>
  <c r="N215" i="9"/>
  <c r="N203" i="9"/>
  <c r="N191" i="9"/>
  <c r="N179" i="9"/>
  <c r="N167" i="9"/>
  <c r="N155" i="9"/>
  <c r="N143" i="9"/>
  <c r="N131" i="9"/>
  <c r="N119" i="9"/>
  <c r="N107" i="9"/>
  <c r="N95" i="9"/>
  <c r="N83" i="9"/>
  <c r="N71" i="9"/>
  <c r="N47" i="9"/>
  <c r="N35" i="9"/>
  <c r="N23" i="9"/>
  <c r="N11" i="9"/>
  <c r="N322" i="9"/>
  <c r="N1545" i="9"/>
  <c r="N1522" i="9"/>
  <c r="N1510" i="9"/>
  <c r="N1498" i="9"/>
  <c r="N1486" i="9"/>
  <c r="N1474" i="9"/>
  <c r="N1462" i="9"/>
  <c r="N1450" i="9"/>
  <c r="N1438" i="9"/>
  <c r="N1426" i="9"/>
  <c r="N1414" i="9"/>
  <c r="N1402" i="9"/>
  <c r="N1390" i="9"/>
  <c r="N1378" i="9"/>
  <c r="N1366" i="9"/>
  <c r="N1342" i="9"/>
  <c r="N1330" i="9"/>
  <c r="N1318" i="9"/>
  <c r="N1306" i="9"/>
  <c r="N1294" i="9"/>
  <c r="N1282" i="9"/>
  <c r="N1270" i="9"/>
  <c r="N1258" i="9"/>
  <c r="N1246" i="9"/>
  <c r="N1234" i="9"/>
  <c r="N1222" i="9"/>
  <c r="N1210" i="9"/>
  <c r="N1198" i="9"/>
  <c r="N1186" i="9"/>
  <c r="N1174" i="9"/>
  <c r="N1162" i="9"/>
  <c r="N1150" i="9"/>
  <c r="N1138" i="9"/>
  <c r="N1126" i="9"/>
  <c r="N1114" i="9"/>
  <c r="N1102" i="9"/>
  <c r="N1090" i="9"/>
  <c r="N1078" i="9"/>
  <c r="N1066" i="9"/>
  <c r="N1054" i="9"/>
  <c r="N1042" i="9"/>
  <c r="N1399" i="9"/>
  <c r="N1387" i="9"/>
  <c r="N1375" i="9"/>
  <c r="N1363" i="9"/>
  <c r="N1351" i="9"/>
  <c r="N1339" i="9"/>
  <c r="N1327" i="9"/>
  <c r="N1315" i="9"/>
  <c r="N1303" i="9"/>
  <c r="N1291" i="9"/>
  <c r="N1279" i="9"/>
  <c r="N1267" i="9"/>
  <c r="N1255" i="9"/>
  <c r="N1243" i="9"/>
  <c r="N1231" i="9"/>
  <c r="N1219" i="9"/>
  <c r="N1207" i="9"/>
  <c r="N1195" i="9"/>
  <c r="N1183" i="9"/>
  <c r="N1171" i="9"/>
  <c r="N1159" i="9"/>
  <c r="N1147" i="9"/>
  <c r="N1135" i="9"/>
  <c r="N1123" i="9"/>
  <c r="N1111" i="9"/>
  <c r="N1099" i="9"/>
  <c r="N1087" i="9"/>
  <c r="N1075" i="9"/>
  <c r="N1051" i="9"/>
  <c r="N1039" i="9"/>
  <c r="N1027" i="9"/>
  <c r="N1015" i="9"/>
  <c r="N1003" i="9"/>
  <c r="N991" i="9"/>
  <c r="N979" i="9"/>
  <c r="N967" i="9"/>
  <c r="N955" i="9"/>
  <c r="N943" i="9"/>
  <c r="N931" i="9"/>
  <c r="N919" i="9"/>
  <c r="N907" i="9"/>
  <c r="N895" i="9"/>
  <c r="N883" i="9"/>
  <c r="N871" i="9"/>
  <c r="N859" i="9"/>
  <c r="N847" i="9"/>
  <c r="N835" i="9"/>
  <c r="N823" i="9"/>
  <c r="N811" i="9"/>
  <c r="N799" i="9"/>
  <c r="N787" i="9"/>
  <c r="N775" i="9"/>
  <c r="N763" i="9"/>
  <c r="N751" i="9"/>
  <c r="N727" i="9"/>
  <c r="N715" i="9"/>
  <c r="N703" i="9"/>
  <c r="N691" i="9"/>
  <c r="N679" i="9"/>
  <c r="N667" i="9"/>
  <c r="N655" i="9"/>
  <c r="N643" i="9"/>
  <c r="N631" i="9"/>
  <c r="N619" i="9"/>
  <c r="N607" i="9"/>
  <c r="N595" i="9"/>
  <c r="N571" i="9"/>
  <c r="N559" i="9"/>
  <c r="N547" i="9"/>
  <c r="N535" i="9"/>
  <c r="N523" i="9"/>
  <c r="N511" i="9"/>
  <c r="N499" i="9"/>
  <c r="N487" i="9"/>
  <c r="N475" i="9"/>
  <c r="N463" i="9"/>
  <c r="N451" i="9"/>
  <c r="N439" i="9"/>
  <c r="N427" i="9"/>
  <c r="N415" i="9"/>
  <c r="N403" i="9"/>
  <c r="N391" i="9"/>
  <c r="N379" i="9"/>
  <c r="N367" i="9"/>
  <c r="N1551" i="9"/>
  <c r="N1563" i="9"/>
  <c r="N1575" i="9"/>
  <c r="N1587" i="9"/>
  <c r="N1599" i="9"/>
  <c r="N1630" i="9"/>
  <c r="N1618" i="9"/>
  <c r="N1606" i="9"/>
  <c r="N448" i="9"/>
  <c r="N436" i="9"/>
  <c r="N424" i="9"/>
  <c r="N412" i="9"/>
  <c r="N400" i="9"/>
  <c r="N388" i="9"/>
  <c r="N376" i="9"/>
  <c r="N364" i="9"/>
  <c r="N352" i="9"/>
  <c r="N340" i="9"/>
  <c r="N328" i="9"/>
  <c r="N314" i="9"/>
  <c r="N302" i="9"/>
  <c r="N290" i="9"/>
  <c r="N278" i="9"/>
  <c r="N266" i="9"/>
  <c r="N254" i="9"/>
  <c r="N242" i="9"/>
  <c r="N230" i="9"/>
  <c r="N218" i="9"/>
  <c r="N206" i="9"/>
  <c r="N194" i="9"/>
  <c r="N182" i="9"/>
  <c r="N170" i="9"/>
  <c r="N158" i="9"/>
  <c r="N146" i="9"/>
  <c r="N134" i="9"/>
  <c r="N122" i="9"/>
  <c r="N110" i="9"/>
  <c r="N98" i="9"/>
  <c r="N86" i="9"/>
  <c r="N74" i="9"/>
  <c r="N62" i="9"/>
  <c r="N50" i="9"/>
  <c r="N38" i="9"/>
  <c r="N26" i="9"/>
  <c r="N14" i="9"/>
  <c r="N1540" i="9"/>
  <c r="N1653" i="9"/>
  <c r="N1665" i="9"/>
  <c r="N1696" i="9"/>
  <c r="N1684" i="9"/>
  <c r="N1672" i="9"/>
  <c r="N1643" i="9"/>
  <c r="N1655" i="9"/>
  <c r="N1638" i="9"/>
  <c r="N1626" i="9"/>
  <c r="N1614" i="9"/>
  <c r="N1644" i="9"/>
  <c r="N1656" i="9"/>
  <c r="N1693" i="9"/>
  <c r="N1681" i="9"/>
  <c r="N1669" i="9"/>
  <c r="N1557" i="9"/>
  <c r="N1569" i="9"/>
  <c r="N1581" i="9"/>
  <c r="N1636" i="9"/>
  <c r="N1624" i="9"/>
  <c r="N1612" i="9"/>
  <c r="N1030" i="9"/>
  <c r="N1018" i="9"/>
  <c r="N1006" i="9"/>
  <c r="N994" i="9"/>
  <c r="N982" i="9"/>
  <c r="N970" i="9"/>
  <c r="N958" i="9"/>
  <c r="N946" i="9"/>
  <c r="N934" i="9"/>
  <c r="N922" i="9"/>
  <c r="N910" i="9"/>
  <c r="N898" i="9"/>
  <c r="N886" i="9"/>
  <c r="N874" i="9"/>
  <c r="N862" i="9"/>
  <c r="N850" i="9"/>
  <c r="N838" i="9"/>
  <c r="N826" i="9"/>
  <c r="N814" i="9"/>
  <c r="N802" i="9"/>
  <c r="N790" i="9"/>
  <c r="N778" i="9"/>
  <c r="N766" i="9"/>
  <c r="N754" i="9"/>
  <c r="N742" i="9"/>
  <c r="N730" i="9"/>
  <c r="N718" i="9"/>
  <c r="N706" i="9"/>
  <c r="N694" i="9"/>
  <c r="N682" i="9"/>
  <c r="N670" i="9"/>
  <c r="N658" i="9"/>
  <c r="N646" i="9"/>
  <c r="N634" i="9"/>
  <c r="N622" i="9"/>
  <c r="N610" i="9"/>
  <c r="N598" i="9"/>
  <c r="N586" i="9"/>
  <c r="N574" i="9"/>
  <c r="N562" i="9"/>
  <c r="N550" i="9"/>
  <c r="N538" i="9"/>
  <c r="N526" i="9"/>
  <c r="N514" i="9"/>
  <c r="N502" i="9"/>
  <c r="N490" i="9"/>
  <c r="N478" i="9"/>
  <c r="N466" i="9"/>
  <c r="N454" i="9"/>
  <c r="N442" i="9"/>
  <c r="N430" i="9"/>
  <c r="N418" i="9"/>
  <c r="N406" i="9"/>
  <c r="N394" i="9"/>
  <c r="N382" i="9"/>
  <c r="N358" i="9"/>
  <c r="N346" i="9"/>
  <c r="N334" i="9"/>
  <c r="N308" i="9"/>
  <c r="N296" i="9"/>
  <c r="N284" i="9"/>
  <c r="N272" i="9"/>
  <c r="N260" i="9"/>
  <c r="N248" i="9"/>
  <c r="N236" i="9"/>
  <c r="N224" i="9"/>
  <c r="N212" i="9"/>
  <c r="N200" i="9"/>
  <c r="N188" i="9"/>
  <c r="N176" i="9"/>
  <c r="N164" i="9"/>
  <c r="N152" i="9"/>
  <c r="N140" i="9"/>
  <c r="N128" i="9"/>
  <c r="N116" i="9"/>
  <c r="N104" i="9"/>
  <c r="N92" i="9"/>
  <c r="N80" i="9"/>
  <c r="N68" i="9"/>
  <c r="N56" i="9"/>
  <c r="N44" i="9"/>
  <c r="N32" i="9"/>
  <c r="N20" i="9"/>
  <c r="N8" i="9"/>
  <c r="N1666" i="9"/>
  <c r="N1547" i="9"/>
  <c r="N1559" i="9"/>
  <c r="N1571" i="9"/>
  <c r="N1583" i="9"/>
  <c r="N1595" i="9"/>
  <c r="N1634" i="9"/>
  <c r="N1622" i="9"/>
  <c r="N1610" i="9"/>
  <c r="N355" i="9"/>
  <c r="N343" i="9"/>
  <c r="N331" i="9"/>
  <c r="N305" i="9"/>
  <c r="N293" i="9"/>
  <c r="N281" i="9"/>
  <c r="N269" i="9"/>
  <c r="N257" i="9"/>
  <c r="N245" i="9"/>
  <c r="N233" i="9"/>
  <c r="N221" i="9"/>
  <c r="N197" i="9"/>
  <c r="N185" i="9"/>
  <c r="N173" i="9"/>
  <c r="N161" i="9"/>
  <c r="N149" i="9"/>
  <c r="N137" i="9"/>
  <c r="N125" i="9"/>
  <c r="N113" i="9"/>
  <c r="N101" i="9"/>
  <c r="N89" i="9"/>
  <c r="N77" i="9"/>
  <c r="N65" i="9"/>
  <c r="N53" i="9"/>
  <c r="N41" i="9"/>
  <c r="N29" i="9"/>
  <c r="N17" i="9"/>
  <c r="N5" i="9"/>
  <c r="X13" i="13"/>
  <c r="N1662" i="9"/>
  <c r="N1537" i="9"/>
  <c r="N318" i="9"/>
  <c r="N1533" i="9"/>
  <c r="N1521" i="9"/>
  <c r="N1509" i="9"/>
  <c r="N1497" i="9"/>
  <c r="N1485" i="9"/>
  <c r="N1473" i="9"/>
  <c r="N1449" i="9"/>
  <c r="N1437" i="9"/>
  <c r="N1425" i="9"/>
  <c r="N1413" i="9"/>
  <c r="N1401" i="9"/>
  <c r="N1389" i="9"/>
  <c r="N1377" i="9"/>
  <c r="N1365" i="9"/>
  <c r="N1353" i="9"/>
  <c r="N1341" i="9"/>
  <c r="N1329" i="9"/>
  <c r="N1317" i="9"/>
  <c r="N1305" i="9"/>
  <c r="N1293" i="9"/>
  <c r="N1281" i="9"/>
  <c r="N1269" i="9"/>
  <c r="N1245" i="9"/>
  <c r="N1233" i="9"/>
  <c r="N1221" i="9"/>
  <c r="N1209" i="9"/>
  <c r="N1197" i="9"/>
  <c r="N1185" i="9"/>
  <c r="N1173" i="9"/>
  <c r="N1161" i="9"/>
  <c r="N1149" i="9"/>
  <c r="N1137" i="9"/>
  <c r="N1125" i="9"/>
  <c r="N1113" i="9"/>
  <c r="N1101" i="9"/>
  <c r="N1089" i="9"/>
  <c r="N1077" i="9"/>
  <c r="N1065" i="9"/>
  <c r="N1518" i="9"/>
  <c r="N1494" i="9"/>
  <c r="N1470" i="9"/>
  <c r="N1446" i="9"/>
  <c r="N1422" i="9"/>
  <c r="N1398" i="9"/>
  <c r="N1386" i="9"/>
  <c r="N1350" i="9"/>
  <c r="N1326" i="9"/>
  <c r="N1302" i="9"/>
  <c r="N1278" i="9"/>
  <c r="N1254" i="9"/>
  <c r="N1230" i="9"/>
  <c r="N1206" i="9"/>
  <c r="N1182" i="9"/>
  <c r="N1158" i="9"/>
  <c r="N1134" i="9"/>
  <c r="N1110" i="9"/>
  <c r="N1086" i="9"/>
  <c r="N1038" i="9"/>
  <c r="N1014" i="9"/>
  <c r="N990" i="9"/>
  <c r="N954" i="9"/>
  <c r="N930" i="9"/>
  <c r="N906" i="9"/>
  <c r="N894" i="9"/>
  <c r="N858" i="9"/>
  <c r="N846" i="9"/>
  <c r="N822" i="9"/>
  <c r="N798" i="9"/>
  <c r="N774" i="9"/>
  <c r="N750" i="9"/>
  <c r="N726" i="9"/>
  <c r="N702" i="9"/>
  <c r="N678" i="9"/>
  <c r="N654" i="9"/>
  <c r="N630" i="9"/>
  <c r="N606" i="9"/>
  <c r="N558" i="9"/>
  <c r="N534" i="9"/>
  <c r="N510" i="9"/>
  <c r="N486" i="9"/>
  <c r="N462" i="9"/>
  <c r="N438" i="9"/>
  <c r="N414" i="9"/>
  <c r="N390" i="9"/>
  <c r="N366" i="9"/>
  <c r="N342" i="9"/>
  <c r="N292" i="9"/>
  <c r="N268" i="9"/>
  <c r="N244" i="9"/>
  <c r="N220" i="9"/>
  <c r="N184" i="9"/>
  <c r="N160" i="9"/>
  <c r="N136" i="9"/>
  <c r="N112" i="9"/>
  <c r="N76" i="9"/>
  <c r="N1530" i="9"/>
  <c r="N1506" i="9"/>
  <c r="N1482" i="9"/>
  <c r="N1458" i="9"/>
  <c r="N1434" i="9"/>
  <c r="N1410" i="9"/>
  <c r="N1374" i="9"/>
  <c r="N1362" i="9"/>
  <c r="N1338" i="9"/>
  <c r="N1314" i="9"/>
  <c r="N1290" i="9"/>
  <c r="N1266" i="9"/>
  <c r="N1242" i="9"/>
  <c r="N1218" i="9"/>
  <c r="N1194" i="9"/>
  <c r="N1170" i="9"/>
  <c r="N1146" i="9"/>
  <c r="N1122" i="9"/>
  <c r="N1098" i="9"/>
  <c r="N1074" i="9"/>
  <c r="N1050" i="9"/>
  <c r="N1026" i="9"/>
  <c r="N1002" i="9"/>
  <c r="N978" i="9"/>
  <c r="N966" i="9"/>
  <c r="N942" i="9"/>
  <c r="N918" i="9"/>
  <c r="N882" i="9"/>
  <c r="N870" i="9"/>
  <c r="N834" i="9"/>
  <c r="N810" i="9"/>
  <c r="N786" i="9"/>
  <c r="N762" i="9"/>
  <c r="N738" i="9"/>
  <c r="N714" i="9"/>
  <c r="N690" i="9"/>
  <c r="N666" i="9"/>
  <c r="N642" i="9"/>
  <c r="N618" i="9"/>
  <c r="N594" i="9"/>
  <c r="N570" i="9"/>
  <c r="N546" i="9"/>
  <c r="N522" i="9"/>
  <c r="N498" i="9"/>
  <c r="N474" i="9"/>
  <c r="N450" i="9"/>
  <c r="N426" i="9"/>
  <c r="N402" i="9"/>
  <c r="N378" i="9"/>
  <c r="N354" i="9"/>
  <c r="N330" i="9"/>
  <c r="N304" i="9"/>
  <c r="N280" i="9"/>
  <c r="N256" i="9"/>
  <c r="N232" i="9"/>
  <c r="N196" i="9"/>
  <c r="N172" i="9"/>
  <c r="N148" i="9"/>
  <c r="N124" i="9"/>
  <c r="N100" i="9"/>
  <c r="N88" i="9"/>
  <c r="N64" i="9"/>
  <c r="N52" i="9"/>
  <c r="N40" i="9"/>
  <c r="N28" i="9"/>
  <c r="N16" i="9"/>
  <c r="N4" i="9"/>
  <c r="N1203" i="9"/>
  <c r="N1191" i="9"/>
  <c r="N1179" i="9"/>
  <c r="N1167" i="9"/>
  <c r="N1155" i="9"/>
  <c r="N1490" i="9"/>
  <c r="N1454" i="9"/>
  <c r="N1418" i="9"/>
  <c r="N1370" i="9"/>
  <c r="N1358" i="9"/>
  <c r="N1298" i="9"/>
  <c r="N1262" i="9"/>
  <c r="N1238" i="9"/>
  <c r="N1514" i="9"/>
  <c r="N1478" i="9"/>
  <c r="N1442" i="9"/>
  <c r="N1406" i="9"/>
  <c r="N1382" i="9"/>
  <c r="N1334" i="9"/>
  <c r="N1310" i="9"/>
  <c r="N1274" i="9"/>
  <c r="N1226" i="9"/>
  <c r="N1526" i="9"/>
  <c r="N1502" i="9"/>
  <c r="N1466" i="9"/>
  <c r="N1430" i="9"/>
  <c r="N1394" i="9"/>
  <c r="N1346" i="9"/>
  <c r="N1322" i="9"/>
  <c r="N1286" i="9"/>
  <c r="N1250" i="9"/>
  <c r="N321" i="9"/>
  <c r="N1534" i="9"/>
  <c r="N1053" i="9"/>
  <c r="N1041" i="9"/>
  <c r="N1029" i="9"/>
  <c r="N1017" i="9"/>
  <c r="N1005" i="9"/>
  <c r="N993" i="9"/>
  <c r="N981" i="9"/>
  <c r="N969" i="9"/>
  <c r="N957" i="9"/>
  <c r="N945" i="9"/>
  <c r="N933" i="9"/>
  <c r="N921" i="9"/>
  <c r="N909" i="9"/>
  <c r="N897" i="9"/>
  <c r="N885" i="9"/>
  <c r="N873" i="9"/>
  <c r="N861" i="9"/>
  <c r="N849" i="9"/>
  <c r="N837" i="9"/>
  <c r="N825" i="9"/>
  <c r="N813" i="9"/>
  <c r="N789" i="9"/>
  <c r="N777" i="9"/>
  <c r="N765" i="9"/>
  <c r="N753" i="9"/>
  <c r="N741" i="9"/>
  <c r="N729" i="9"/>
  <c r="N717" i="9"/>
  <c r="N705" i="9"/>
  <c r="N693" i="9"/>
  <c r="N681" i="9"/>
  <c r="N669" i="9"/>
  <c r="N657" i="9"/>
  <c r="N645" i="9"/>
  <c r="N633" i="9"/>
  <c r="N621" i="9"/>
  <c r="N609" i="9"/>
  <c r="N597" i="9"/>
  <c r="N585" i="9"/>
  <c r="N573" i="9"/>
  <c r="N561" i="9"/>
  <c r="N549" i="9"/>
  <c r="N537" i="9"/>
  <c r="N525" i="9"/>
  <c r="N513" i="9"/>
  <c r="N501" i="9"/>
  <c r="N489" i="9"/>
  <c r="N477" i="9"/>
  <c r="N465" i="9"/>
  <c r="N453" i="9"/>
  <c r="N441" i="9"/>
  <c r="N429" i="9"/>
  <c r="N417" i="9"/>
  <c r="N405" i="9"/>
  <c r="N393" i="9"/>
  <c r="N381" i="9"/>
  <c r="N369" i="9"/>
  <c r="N357" i="9"/>
  <c r="N345" i="9"/>
  <c r="N333" i="9"/>
  <c r="N307" i="9"/>
  <c r="N283" i="9"/>
  <c r="N271" i="9"/>
  <c r="N259" i="9"/>
  <c r="N247" i="9"/>
  <c r="N235" i="9"/>
  <c r="N223" i="9"/>
  <c r="N211" i="9"/>
  <c r="N199" i="9"/>
  <c r="N187" i="9"/>
  <c r="N175" i="9"/>
  <c r="N163" i="9"/>
  <c r="N151" i="9"/>
  <c r="N139" i="9"/>
  <c r="N127" i="9"/>
  <c r="N115" i="9"/>
  <c r="N103" i="9"/>
  <c r="N91" i="9"/>
  <c r="N79" i="9"/>
  <c r="N67" i="9"/>
  <c r="N55" i="9"/>
  <c r="N43" i="9"/>
  <c r="N31" i="9"/>
  <c r="N19" i="9"/>
  <c r="N1529" i="9"/>
  <c r="N1517" i="9"/>
  <c r="N1505" i="9"/>
  <c r="N1493" i="9"/>
  <c r="N1481" i="9"/>
  <c r="N1469" i="9"/>
  <c r="N1457" i="9"/>
  <c r="N1445" i="9"/>
  <c r="N1433" i="9"/>
  <c r="N1421" i="9"/>
  <c r="N1409" i="9"/>
  <c r="N1397" i="9"/>
  <c r="N1385" i="9"/>
  <c r="N1373" i="9"/>
  <c r="N1361" i="9"/>
  <c r="N1349" i="9"/>
  <c r="N1337" i="9"/>
  <c r="N1325" i="9"/>
  <c r="N1313" i="9"/>
  <c r="N1301" i="9"/>
  <c r="N1289" i="9"/>
  <c r="N1277" i="9"/>
  <c r="N1265" i="9"/>
  <c r="N1253" i="9"/>
  <c r="N1241" i="9"/>
  <c r="N1229" i="9"/>
  <c r="N1217" i="9"/>
  <c r="N1205" i="9"/>
  <c r="N1193" i="9"/>
  <c r="N1181" i="9"/>
  <c r="N1169" i="9"/>
  <c r="N1157" i="9"/>
  <c r="N1145" i="9"/>
  <c r="N1133" i="9"/>
  <c r="N1121" i="9"/>
  <c r="N1109" i="9"/>
  <c r="N1097" i="9"/>
  <c r="N1085" i="9"/>
  <c r="N1073" i="9"/>
  <c r="N1061" i="9"/>
  <c r="N1049" i="9"/>
  <c r="N1037" i="9"/>
  <c r="N1025" i="9"/>
  <c r="N1143" i="9"/>
  <c r="N1131" i="9"/>
  <c r="N1119" i="9"/>
  <c r="N1107" i="9"/>
  <c r="N1095" i="9"/>
  <c r="N1083" i="9"/>
  <c r="N1059" i="9"/>
  <c r="N1047" i="9"/>
  <c r="N1035" i="9"/>
  <c r="N1023" i="9"/>
  <c r="N1011" i="9"/>
  <c r="N999" i="9"/>
  <c r="N987" i="9"/>
  <c r="N975" i="9"/>
  <c r="N963" i="9"/>
  <c r="N951" i="9"/>
  <c r="N939" i="9"/>
  <c r="N927" i="9"/>
  <c r="N915" i="9"/>
  <c r="N903" i="9"/>
  <c r="N891" i="9"/>
  <c r="N879" i="9"/>
  <c r="N867" i="9"/>
  <c r="N855" i="9"/>
  <c r="N843" i="9"/>
  <c r="N831" i="9"/>
  <c r="N819" i="9"/>
  <c r="N807" i="9"/>
  <c r="N795" i="9"/>
  <c r="N783" i="9"/>
  <c r="N771" i="9"/>
  <c r="N759" i="9"/>
  <c r="N747" i="9"/>
  <c r="N735" i="9"/>
  <c r="N723" i="9"/>
  <c r="N711" i="9"/>
  <c r="N699" i="9"/>
  <c r="N687" i="9"/>
  <c r="N675" i="9"/>
  <c r="N663" i="9"/>
  <c r="N651" i="9"/>
  <c r="N639" i="9"/>
  <c r="N627" i="9"/>
  <c r="N615" i="9"/>
  <c r="N603" i="9"/>
  <c r="N591" i="9"/>
  <c r="N579" i="9"/>
  <c r="N567" i="9"/>
  <c r="N555" i="9"/>
  <c r="N543" i="9"/>
  <c r="N531" i="9"/>
  <c r="N519" i="9"/>
  <c r="N507" i="9"/>
  <c r="N495" i="9"/>
  <c r="N483" i="9"/>
  <c r="N471" i="9"/>
  <c r="N459" i="9"/>
  <c r="N447" i="9"/>
  <c r="N435" i="9"/>
  <c r="N423" i="9"/>
  <c r="N411" i="9"/>
  <c r="N399" i="9"/>
  <c r="N387" i="9"/>
  <c r="N375" i="9"/>
  <c r="N363" i="9"/>
  <c r="N351" i="9"/>
  <c r="N339" i="9"/>
  <c r="N327" i="9"/>
  <c r="N313" i="9"/>
  <c r="N301" i="9"/>
  <c r="N289" i="9"/>
  <c r="N277" i="9"/>
  <c r="N265" i="9"/>
  <c r="N253" i="9"/>
  <c r="N241" i="9"/>
  <c r="N229" i="9"/>
  <c r="N217" i="9"/>
  <c r="N205" i="9"/>
  <c r="N193" i="9"/>
  <c r="N181" i="9"/>
  <c r="N157" i="9"/>
  <c r="N145" i="9"/>
  <c r="N133" i="9"/>
  <c r="N1013" i="9"/>
  <c r="N1001" i="9"/>
  <c r="N989" i="9"/>
  <c r="N977" i="9"/>
  <c r="N965" i="9"/>
  <c r="N953" i="9"/>
  <c r="N941" i="9"/>
  <c r="N929" i="9"/>
  <c r="N917" i="9"/>
  <c r="N905" i="9"/>
  <c r="N893" i="9"/>
  <c r="N881" i="9"/>
  <c r="N869" i="9"/>
  <c r="N857" i="9"/>
  <c r="N845" i="9"/>
  <c r="N833" i="9"/>
  <c r="N821" i="9"/>
  <c r="N809" i="9"/>
  <c r="N797" i="9"/>
  <c r="N785" i="9"/>
  <c r="N773" i="9"/>
  <c r="N761" i="9"/>
  <c r="N749" i="9"/>
  <c r="N737" i="9"/>
  <c r="N725" i="9"/>
  <c r="N713" i="9"/>
  <c r="N701" i="9"/>
  <c r="N689" i="9"/>
  <c r="N677" i="9"/>
  <c r="N665" i="9"/>
  <c r="N653" i="9"/>
  <c r="N641" i="9"/>
  <c r="N629" i="9"/>
  <c r="N617" i="9"/>
  <c r="N605" i="9"/>
  <c r="N593" i="9"/>
  <c r="N581" i="9"/>
  <c r="N569" i="9"/>
  <c r="N557" i="9"/>
  <c r="N545" i="9"/>
  <c r="N533" i="9"/>
  <c r="N521" i="9"/>
  <c r="N509" i="9"/>
  <c r="N497" i="9"/>
  <c r="N485" i="9"/>
  <c r="N473" i="9"/>
  <c r="N461" i="9"/>
  <c r="N449" i="9"/>
  <c r="N437" i="9"/>
  <c r="N425" i="9"/>
  <c r="N413" i="9"/>
  <c r="N401" i="9"/>
  <c r="N389" i="9"/>
  <c r="N377" i="9"/>
  <c r="N365" i="9"/>
  <c r="N353" i="9"/>
  <c r="N341" i="9"/>
  <c r="N329" i="9"/>
  <c r="N315" i="9"/>
  <c r="N303" i="9"/>
  <c r="N291" i="9"/>
  <c r="N279" i="9"/>
  <c r="N267" i="9"/>
  <c r="N255" i="9"/>
  <c r="N243" i="9"/>
  <c r="N231" i="9"/>
  <c r="N219" i="9"/>
  <c r="N207" i="9"/>
  <c r="N195" i="9"/>
  <c r="N183" i="9"/>
  <c r="N171" i="9"/>
  <c r="N159" i="9"/>
  <c r="N147" i="9"/>
  <c r="N135" i="9"/>
  <c r="N123" i="9"/>
  <c r="N111" i="9"/>
  <c r="N99" i="9"/>
  <c r="N87" i="9"/>
  <c r="N75" i="9"/>
  <c r="N63" i="9"/>
  <c r="N51" i="9"/>
  <c r="N39" i="9"/>
  <c r="N27" i="9"/>
  <c r="N15" i="9"/>
  <c r="N1539" i="9"/>
  <c r="N121" i="9"/>
  <c r="N109" i="9"/>
  <c r="N97" i="9"/>
  <c r="N85" i="9"/>
  <c r="N73" i="9"/>
  <c r="N49" i="9"/>
  <c r="N37" i="9"/>
  <c r="N25" i="9"/>
  <c r="N1541" i="9"/>
  <c r="N1543" i="9"/>
  <c r="N1523" i="9"/>
  <c r="N1511" i="9"/>
  <c r="N1499" i="9"/>
  <c r="N1487" i="9"/>
  <c r="N1475" i="9"/>
  <c r="N1463" i="9"/>
  <c r="N1451" i="9"/>
  <c r="N1439" i="9"/>
  <c r="N1427" i="9"/>
  <c r="N1415" i="9"/>
  <c r="N1403" i="9"/>
  <c r="N1391" i="9"/>
  <c r="N1379" i="9"/>
  <c r="N1367" i="9"/>
  <c r="N1343" i="9"/>
  <c r="N1331" i="9"/>
  <c r="N1319" i="9"/>
  <c r="N1307" i="9"/>
  <c r="N1295" i="9"/>
  <c r="N1283" i="9"/>
  <c r="N1271" i="9"/>
  <c r="N1259" i="9"/>
  <c r="N1247" i="9"/>
  <c r="N1235" i="9"/>
  <c r="N1223" i="9"/>
  <c r="N1211" i="9"/>
  <c r="N1199" i="9"/>
  <c r="N1187" i="9"/>
  <c r="N1175" i="9"/>
  <c r="N1163" i="9"/>
  <c r="N1151" i="9"/>
  <c r="N1139" i="9"/>
  <c r="N1127" i="9"/>
  <c r="N1115" i="9"/>
  <c r="N1103" i="9"/>
  <c r="N1091" i="9"/>
  <c r="N1079" i="9"/>
  <c r="N1067" i="9"/>
  <c r="N1055" i="9"/>
  <c r="N1043" i="9"/>
  <c r="N1031" i="9"/>
  <c r="N1550" i="9"/>
  <c r="N1562" i="9"/>
  <c r="N1574" i="9"/>
  <c r="N1586" i="9"/>
  <c r="N1598" i="9"/>
  <c r="N1631" i="9"/>
  <c r="N1619" i="9"/>
  <c r="N1607" i="9"/>
  <c r="N1663" i="9"/>
  <c r="N1652" i="9"/>
  <c r="N1664" i="9"/>
  <c r="N1697" i="9"/>
  <c r="N1685" i="9"/>
  <c r="N1673" i="9"/>
  <c r="N1552" i="9"/>
  <c r="N1564" i="9"/>
  <c r="N1576" i="9"/>
  <c r="N1588" i="9"/>
  <c r="N1600" i="9"/>
  <c r="N1605" i="9"/>
  <c r="N1640" i="9"/>
  <c r="N1628" i="9"/>
  <c r="N1616" i="9"/>
  <c r="N1642" i="9"/>
  <c r="N1654" i="9"/>
  <c r="N1639" i="9"/>
  <c r="N1627" i="9"/>
  <c r="N1615" i="9"/>
  <c r="N1694" i="9"/>
  <c r="N1682" i="9"/>
  <c r="N1670" i="9"/>
  <c r="N1555" i="9"/>
  <c r="N1567" i="9"/>
  <c r="N1579" i="9"/>
  <c r="N1591" i="9"/>
  <c r="N1603" i="9"/>
  <c r="N1524" i="9"/>
  <c r="N1512" i="9"/>
  <c r="N1500" i="9"/>
  <c r="N1488" i="9"/>
  <c r="N1476" i="9"/>
  <c r="N1464" i="9"/>
  <c r="N1452" i="9"/>
  <c r="N1440" i="9"/>
  <c r="N1428" i="9"/>
  <c r="N1416" i="9"/>
  <c r="N1404" i="9"/>
  <c r="N1392" i="9"/>
  <c r="N1380" i="9"/>
  <c r="N1368" i="9"/>
  <c r="N1356" i="9"/>
  <c r="N1344" i="9"/>
  <c r="N1332" i="9"/>
  <c r="N1320" i="9"/>
  <c r="N1308" i="9"/>
  <c r="N1296" i="9"/>
  <c r="N1284" i="9"/>
  <c r="N1272" i="9"/>
  <c r="N1260" i="9"/>
  <c r="N1248" i="9"/>
  <c r="N1224" i="9"/>
  <c r="N1212" i="9"/>
  <c r="N1188" i="9"/>
  <c r="N1176" i="9"/>
  <c r="N1164" i="9"/>
  <c r="N1152" i="9"/>
  <c r="N1140" i="9"/>
  <c r="N1128" i="9"/>
  <c r="N1116" i="9"/>
  <c r="N1104" i="9"/>
  <c r="N1092" i="9"/>
  <c r="N1080" i="9"/>
  <c r="N1068" i="9"/>
  <c r="N1056" i="9"/>
  <c r="N1044" i="9"/>
  <c r="N1032" i="9"/>
  <c r="N1020" i="9"/>
  <c r="N1008" i="9"/>
  <c r="N996" i="9"/>
  <c r="N984" i="9"/>
  <c r="N972" i="9"/>
  <c r="N960" i="9"/>
  <c r="N924" i="9"/>
  <c r="N912" i="9"/>
  <c r="N900" i="9"/>
  <c r="N888" i="9"/>
  <c r="N876" i="9"/>
  <c r="N864" i="9"/>
  <c r="N852" i="9"/>
  <c r="N840" i="9"/>
  <c r="N828" i="9"/>
  <c r="N816" i="9"/>
  <c r="N804" i="9"/>
  <c r="N792" i="9"/>
  <c r="N780" i="9"/>
  <c r="N756" i="9"/>
  <c r="N744" i="9"/>
  <c r="N732" i="9"/>
  <c r="N720" i="9"/>
  <c r="N708" i="9"/>
  <c r="N696" i="9"/>
  <c r="N684" i="9"/>
  <c r="N672" i="9"/>
  <c r="N660" i="9"/>
  <c r="N648" i="9"/>
  <c r="N636" i="9"/>
  <c r="N624" i="9"/>
  <c r="N612" i="9"/>
  <c r="N600" i="9"/>
  <c r="N588" i="9"/>
  <c r="N576" i="9"/>
  <c r="N564" i="9"/>
  <c r="N552" i="9"/>
  <c r="N540" i="9"/>
  <c r="N528" i="9"/>
  <c r="N516" i="9"/>
  <c r="N504" i="9"/>
  <c r="N492" i="9"/>
  <c r="N480" i="9"/>
  <c r="N468" i="9"/>
  <c r="N456" i="9"/>
  <c r="N444" i="9"/>
  <c r="N432" i="9"/>
  <c r="N420" i="9"/>
  <c r="N408" i="9"/>
  <c r="N396" i="9"/>
  <c r="N384" i="9"/>
  <c r="N372" i="9"/>
  <c r="N360" i="9"/>
  <c r="N348" i="9"/>
  <c r="N336" i="9"/>
  <c r="N323" i="9"/>
  <c r="N310" i="9"/>
  <c r="N298" i="9"/>
  <c r="N274" i="9"/>
  <c r="N262" i="9"/>
  <c r="N250" i="9"/>
  <c r="N238" i="9"/>
  <c r="N226" i="9"/>
  <c r="N214" i="9"/>
  <c r="N202" i="9"/>
  <c r="N190" i="9"/>
  <c r="N178" i="9"/>
  <c r="N166" i="9"/>
  <c r="N142" i="9"/>
  <c r="N130" i="9"/>
  <c r="N118" i="9"/>
  <c r="N106" i="9"/>
  <c r="N94" i="9"/>
  <c r="N82" i="9"/>
  <c r="N70" i="9"/>
  <c r="N46" i="9"/>
  <c r="N34" i="9"/>
  <c r="N22" i="9"/>
  <c r="N10" i="9"/>
  <c r="N1544" i="9"/>
  <c r="N1556" i="9"/>
  <c r="N1568" i="9"/>
  <c r="N1580" i="9"/>
  <c r="N1637" i="9"/>
  <c r="N1625" i="9"/>
  <c r="N1613" i="9"/>
  <c r="N1645" i="9"/>
  <c r="N1657" i="9"/>
  <c r="N1692" i="9"/>
  <c r="N1680" i="9"/>
  <c r="N1668" i="9"/>
  <c r="N1019" i="9"/>
  <c r="N1007" i="9"/>
  <c r="N995" i="9"/>
  <c r="N983" i="9"/>
  <c r="N971" i="9"/>
  <c r="N959" i="9"/>
  <c r="N947" i="9"/>
  <c r="N935" i="9"/>
  <c r="N923" i="9"/>
  <c r="N911" i="9"/>
  <c r="N899" i="9"/>
  <c r="N887" i="9"/>
  <c r="N875" i="9"/>
  <c r="N863" i="9"/>
  <c r="N851" i="9"/>
  <c r="N839" i="9"/>
  <c r="N827" i="9"/>
  <c r="N815" i="9"/>
  <c r="N803" i="9"/>
  <c r="N791" i="9"/>
  <c r="N779" i="9"/>
  <c r="N767" i="9"/>
  <c r="N755" i="9"/>
  <c r="N743" i="9"/>
  <c r="N731" i="9"/>
  <c r="N719" i="9"/>
  <c r="N707" i="9"/>
  <c r="N695" i="9"/>
  <c r="N683" i="9"/>
  <c r="N671" i="9"/>
  <c r="N659" i="9"/>
  <c r="N647" i="9"/>
  <c r="N635" i="9"/>
  <c r="N623" i="9"/>
  <c r="N611" i="9"/>
  <c r="N599" i="9"/>
  <c r="N587" i="9"/>
  <c r="N575" i="9"/>
  <c r="N563" i="9"/>
  <c r="N551" i="9"/>
  <c r="N539" i="9"/>
  <c r="N527" i="9"/>
  <c r="N515" i="9"/>
  <c r="N503" i="9"/>
  <c r="N491" i="9"/>
  <c r="N479" i="9"/>
  <c r="N467" i="9"/>
  <c r="N455" i="9"/>
  <c r="N443" i="9"/>
  <c r="N431" i="9"/>
  <c r="N419" i="9"/>
  <c r="N407" i="9"/>
  <c r="N395" i="9"/>
  <c r="N383" i="9"/>
  <c r="N359" i="9"/>
  <c r="N347" i="9"/>
  <c r="N335" i="9"/>
  <c r="N309" i="9"/>
  <c r="N297" i="9"/>
  <c r="N285" i="9"/>
  <c r="N273" i="9"/>
  <c r="N261" i="9"/>
  <c r="N249" i="9"/>
  <c r="N237" i="9"/>
  <c r="N225" i="9"/>
  <c r="N213" i="9"/>
  <c r="N201" i="9"/>
  <c r="N189" i="9"/>
  <c r="N177" i="9"/>
  <c r="N165" i="9"/>
  <c r="N153" i="9"/>
  <c r="N141" i="9"/>
  <c r="N129" i="9"/>
  <c r="N117" i="9"/>
  <c r="N105" i="9"/>
  <c r="N93" i="9"/>
  <c r="N81" i="9"/>
  <c r="N69" i="9"/>
  <c r="N57" i="9"/>
  <c r="N45" i="9"/>
  <c r="N33" i="9"/>
  <c r="N21" i="9"/>
  <c r="N9" i="9"/>
  <c r="N1593" i="9"/>
  <c r="B1730" i="9"/>
  <c r="N1546" i="9"/>
  <c r="N1558" i="9"/>
  <c r="N1570" i="9"/>
  <c r="N1582" i="9"/>
  <c r="N1594" i="9"/>
  <c r="N1635" i="9"/>
  <c r="N1623" i="9"/>
  <c r="N1611" i="9"/>
  <c r="N1647" i="9"/>
  <c r="N1659" i="9"/>
  <c r="N1690" i="9"/>
  <c r="N1678" i="9"/>
  <c r="N1648" i="9"/>
  <c r="N1660" i="9"/>
  <c r="N1701" i="9"/>
  <c r="N1689" i="9"/>
  <c r="N1677" i="9"/>
  <c r="N1549" i="9"/>
  <c r="N1561" i="9"/>
  <c r="N1573" i="9"/>
  <c r="N1585" i="9"/>
  <c r="N1597" i="9"/>
  <c r="N1632" i="9"/>
  <c r="N1620" i="9"/>
  <c r="N1608" i="9"/>
  <c r="N1650" i="9"/>
  <c r="N1699" i="9"/>
  <c r="N1687" i="9"/>
  <c r="N1675" i="9"/>
  <c r="K6" i="11"/>
  <c r="J16" i="11"/>
  <c r="I18" i="11"/>
  <c r="I20" i="11"/>
  <c r="I7" i="11"/>
  <c r="B31" i="13"/>
  <c r="D31" i="13"/>
  <c r="N2" i="9"/>
  <c r="B1721" i="9"/>
  <c r="B1753" i="9"/>
  <c r="B1747" i="9"/>
  <c r="B1728" i="9"/>
  <c r="B1744" i="9"/>
  <c r="B1726" i="9"/>
  <c r="B1755" i="9"/>
  <c r="B1729" i="9"/>
  <c r="B1751" i="9"/>
  <c r="B1717" i="9"/>
  <c r="B1727" i="9"/>
  <c r="B1745" i="9"/>
  <c r="B1757" i="9"/>
  <c r="B1749" i="9"/>
  <c r="B1723" i="9"/>
  <c r="B1739" i="9"/>
  <c r="B1746" i="9"/>
  <c r="B1742" i="9"/>
  <c r="B1750" i="9"/>
  <c r="B1737" i="9"/>
  <c r="B1733" i="9"/>
  <c r="B1732" i="9"/>
  <c r="B1725" i="9"/>
  <c r="B1752" i="9"/>
  <c r="B1740" i="9"/>
  <c r="B1722" i="9"/>
  <c r="B1720" i="9"/>
  <c r="B1748" i="9"/>
  <c r="B1734" i="9"/>
  <c r="B1716" i="9"/>
  <c r="B1731" i="9"/>
  <c r="B1718" i="9"/>
  <c r="B1735" i="9"/>
  <c r="B1756" i="9"/>
  <c r="B1738" i="9"/>
  <c r="B1736" i="9"/>
  <c r="B1754" i="9"/>
  <c r="B1741" i="9"/>
  <c r="B1724" i="9"/>
  <c r="B1743" i="9"/>
  <c r="B1719" i="9"/>
  <c r="N3" i="9"/>
  <c r="M168" i="9"/>
  <c r="N168" i="9" s="1"/>
  <c r="M60" i="9"/>
  <c r="N60" i="9" s="1"/>
  <c r="M316" i="9"/>
  <c r="N316" i="9" s="1"/>
  <c r="M209" i="9"/>
  <c r="N209" i="9" s="1"/>
  <c r="M937" i="9"/>
  <c r="N937" i="9" s="1"/>
  <c r="M287" i="9"/>
  <c r="M768" i="9"/>
  <c r="N768" i="9" s="1"/>
  <c r="M58" i="9"/>
  <c r="N58" i="9" s="1"/>
  <c r="M1063" i="9"/>
  <c r="N1063" i="9" s="1"/>
  <c r="M1355" i="9"/>
  <c r="N1355" i="9" s="1"/>
  <c r="M371" i="9"/>
  <c r="N371" i="9" s="1"/>
  <c r="K2" i="9"/>
  <c r="M1257" i="9"/>
  <c r="N1257" i="9" s="1"/>
  <c r="M801" i="9"/>
  <c r="N801" i="9" s="1"/>
  <c r="M7" i="9"/>
  <c r="N7" i="9" s="1"/>
  <c r="M583" i="9"/>
  <c r="N583" i="9" s="1"/>
  <c r="M1460" i="9"/>
  <c r="N1460" i="9" s="1"/>
  <c r="M294" i="9"/>
  <c r="N294" i="9" s="1"/>
  <c r="M325" i="9"/>
  <c r="N325" i="9" s="1"/>
  <c r="K287" i="9"/>
  <c r="B593" i="9"/>
  <c r="A127" i="14"/>
  <c r="A117" i="14"/>
  <c r="A105" i="14"/>
  <c r="A93" i="14"/>
  <c r="A81" i="14"/>
  <c r="A69" i="14"/>
  <c r="A57" i="14"/>
  <c r="A45" i="14"/>
  <c r="A33" i="14"/>
  <c r="A21" i="14"/>
  <c r="A9" i="14"/>
  <c r="A128" i="14"/>
  <c r="A116" i="14"/>
  <c r="A104" i="14"/>
  <c r="A92" i="14"/>
  <c r="A80" i="14"/>
  <c r="A68" i="14"/>
  <c r="A56" i="14"/>
  <c r="A44" i="14"/>
  <c r="A32" i="14"/>
  <c r="A20" i="14"/>
  <c r="A8" i="14"/>
  <c r="A115" i="14"/>
  <c r="A103" i="14"/>
  <c r="A91" i="14"/>
  <c r="A79" i="14"/>
  <c r="A67" i="14"/>
  <c r="A55" i="14"/>
  <c r="A43" i="14"/>
  <c r="A31" i="14"/>
  <c r="A19" i="14"/>
  <c r="A7" i="14"/>
  <c r="A126" i="14"/>
  <c r="A114" i="14"/>
  <c r="A102" i="14"/>
  <c r="A90" i="14"/>
  <c r="A78" i="14"/>
  <c r="A66" i="14"/>
  <c r="A54" i="14"/>
  <c r="A42" i="14"/>
  <c r="A30" i="14"/>
  <c r="A18" i="14"/>
  <c r="A6" i="14"/>
  <c r="A125" i="14"/>
  <c r="A113" i="14"/>
  <c r="A101" i="14"/>
  <c r="A89" i="14"/>
  <c r="A77" i="14"/>
  <c r="A65" i="14"/>
  <c r="A53" i="14"/>
  <c r="A41" i="14"/>
  <c r="A29" i="14"/>
  <c r="A17" i="14"/>
  <c r="A5" i="14"/>
  <c r="A124" i="14"/>
  <c r="A112" i="14"/>
  <c r="A100" i="14"/>
  <c r="A88" i="14"/>
  <c r="A76" i="14"/>
  <c r="A64" i="14"/>
  <c r="A52" i="14"/>
  <c r="A40" i="14"/>
  <c r="A28" i="14"/>
  <c r="A16" i="14"/>
  <c r="A4" i="14"/>
  <c r="A123" i="14"/>
  <c r="A111" i="14"/>
  <c r="A99" i="14"/>
  <c r="A87" i="14"/>
  <c r="A75" i="14"/>
  <c r="A63" i="14"/>
  <c r="A51" i="14"/>
  <c r="A39" i="14"/>
  <c r="A27" i="14"/>
  <c r="A15" i="14"/>
  <c r="A3" i="14"/>
  <c r="A122" i="14"/>
  <c r="A110" i="14"/>
  <c r="A98" i="14"/>
  <c r="A86" i="14"/>
  <c r="A74" i="14"/>
  <c r="A62" i="14"/>
  <c r="A50" i="14"/>
  <c r="A38" i="14"/>
  <c r="A26" i="14"/>
  <c r="A14" i="14"/>
  <c r="A120" i="14"/>
  <c r="A108" i="14"/>
  <c r="A96" i="14"/>
  <c r="A84" i="14"/>
  <c r="A72" i="14"/>
  <c r="A60" i="14"/>
  <c r="A48" i="14"/>
  <c r="A36" i="14"/>
  <c r="A24" i="14"/>
  <c r="A12" i="14"/>
  <c r="A2" i="14"/>
  <c r="A118" i="14"/>
  <c r="A106" i="14"/>
  <c r="A94" i="14"/>
  <c r="A82" i="14"/>
  <c r="A70" i="14"/>
  <c r="A58" i="14"/>
  <c r="A46" i="14"/>
  <c r="A34" i="14"/>
  <c r="A22" i="14"/>
  <c r="A10" i="14"/>
  <c r="A121" i="14"/>
  <c r="A109" i="14"/>
  <c r="A97" i="14"/>
  <c r="A85" i="14"/>
  <c r="A73" i="14"/>
  <c r="A61" i="14"/>
  <c r="A49" i="14"/>
  <c r="A37" i="14"/>
  <c r="A25" i="14"/>
  <c r="A13" i="14"/>
  <c r="A119" i="14"/>
  <c r="A107" i="14"/>
  <c r="A95" i="14"/>
  <c r="A83" i="14"/>
  <c r="A71" i="14"/>
  <c r="A59" i="14"/>
  <c r="A47" i="14"/>
  <c r="A35" i="14"/>
  <c r="A23" i="14"/>
  <c r="A11" i="14"/>
  <c r="G17" i="11"/>
  <c r="G21" i="11"/>
  <c r="B472" i="9"/>
  <c r="B419" i="9"/>
  <c r="B1559" i="9"/>
  <c r="B1102" i="9"/>
  <c r="B1360" i="9"/>
  <c r="G10" i="11"/>
  <c r="B82" i="9"/>
  <c r="B470" i="9"/>
  <c r="B890" i="9"/>
  <c r="G12" i="13"/>
  <c r="G15" i="13"/>
  <c r="G19" i="13"/>
  <c r="G7" i="11"/>
  <c r="B708" i="9"/>
  <c r="B563" i="9"/>
  <c r="B649" i="9"/>
  <c r="B545" i="9"/>
  <c r="B958" i="9"/>
  <c r="G15" i="11"/>
  <c r="G8" i="11"/>
  <c r="B374" i="9"/>
  <c r="B790" i="9"/>
  <c r="B348" i="9"/>
  <c r="B255" i="9"/>
  <c r="B417" i="9"/>
  <c r="B1238" i="9"/>
  <c r="G6" i="11"/>
  <c r="G20" i="11"/>
  <c r="B382" i="9"/>
  <c r="B798" i="9"/>
  <c r="B456" i="9"/>
  <c r="B399" i="9"/>
  <c r="B561" i="9"/>
  <c r="B1153" i="9"/>
  <c r="B1565" i="9"/>
  <c r="G11" i="11"/>
  <c r="H20" i="11"/>
  <c r="B94" i="9"/>
  <c r="B486" i="9"/>
  <c r="B902" i="9"/>
  <c r="B600" i="9"/>
  <c r="B579" i="9"/>
  <c r="B765" i="9"/>
  <c r="B1080" i="9"/>
  <c r="H18" i="11"/>
  <c r="B474" i="9"/>
  <c r="B567" i="9"/>
  <c r="H19" i="11"/>
  <c r="G9" i="13"/>
  <c r="B178" i="9"/>
  <c r="B574" i="9"/>
  <c r="B92" i="9"/>
  <c r="B712" i="9"/>
  <c r="B751" i="9"/>
  <c r="B15" i="9"/>
  <c r="B1337" i="9"/>
  <c r="H17" i="11"/>
  <c r="H16" i="11"/>
  <c r="B182" i="9"/>
  <c r="B582" i="9"/>
  <c r="B96" i="9"/>
  <c r="B724" i="9"/>
  <c r="B767" i="9"/>
  <c r="B924" i="9"/>
  <c r="B1355" i="9"/>
  <c r="G12" i="11"/>
  <c r="H15" i="11"/>
  <c r="H12" i="11"/>
  <c r="B190" i="9"/>
  <c r="B590" i="9"/>
  <c r="B104" i="9"/>
  <c r="B832" i="9"/>
  <c r="B31" i="9"/>
  <c r="B989" i="9"/>
  <c r="B1203" i="9"/>
  <c r="H10" i="11"/>
  <c r="B274" i="9"/>
  <c r="B682" i="9"/>
  <c r="B204" i="9"/>
  <c r="B852" i="9"/>
  <c r="B71" i="9"/>
  <c r="B1020" i="9"/>
  <c r="B1450" i="9"/>
  <c r="G9" i="11"/>
  <c r="B86" i="9"/>
  <c r="B894" i="9"/>
  <c r="B584" i="9"/>
  <c r="B753" i="9"/>
  <c r="B1110" i="9"/>
  <c r="H11" i="11"/>
  <c r="H9" i="11"/>
  <c r="H8" i="11"/>
  <c r="B278" i="9"/>
  <c r="B686" i="9"/>
  <c r="B208" i="9"/>
  <c r="B53" i="9"/>
  <c r="B205" i="9"/>
  <c r="B1017" i="9"/>
  <c r="B1415" i="9"/>
  <c r="G16" i="11"/>
  <c r="H6" i="11"/>
  <c r="B286" i="9"/>
  <c r="B694" i="9"/>
  <c r="B220" i="9"/>
  <c r="B65" i="9"/>
  <c r="B225" i="9"/>
  <c r="B1041" i="9"/>
  <c r="B1220" i="9"/>
  <c r="G19" i="11"/>
  <c r="B370" i="9"/>
  <c r="B786" i="9"/>
  <c r="B336" i="9"/>
  <c r="B231" i="9"/>
  <c r="B385" i="9"/>
  <c r="B1047" i="9"/>
  <c r="K1509" i="9"/>
  <c r="B1509" i="9"/>
  <c r="K1449" i="9"/>
  <c r="B1449" i="9"/>
  <c r="B1257" i="9"/>
  <c r="K1245" i="9"/>
  <c r="B1245" i="9"/>
  <c r="K1197" i="9"/>
  <c r="B1197" i="9"/>
  <c r="K1185" i="9"/>
  <c r="B1185" i="9"/>
  <c r="K1161" i="9"/>
  <c r="B1161" i="9"/>
  <c r="K1125" i="9"/>
  <c r="B1125" i="9"/>
  <c r="K1113" i="9"/>
  <c r="B1113" i="9"/>
  <c r="K1077" i="9"/>
  <c r="B1077" i="9"/>
  <c r="K1065" i="9"/>
  <c r="B1065" i="9"/>
  <c r="K1053" i="9"/>
  <c r="B1053" i="9"/>
  <c r="K1029" i="9"/>
  <c r="B1029" i="9"/>
  <c r="K1005" i="9"/>
  <c r="B1005" i="9"/>
  <c r="K993" i="9"/>
  <c r="B993" i="9"/>
  <c r="K957" i="9"/>
  <c r="AG124" i="11" s="1"/>
  <c r="B957" i="9"/>
  <c r="K921" i="9"/>
  <c r="B921" i="9"/>
  <c r="K897" i="9"/>
  <c r="B897" i="9"/>
  <c r="K885" i="9"/>
  <c r="B885" i="9"/>
  <c r="K873" i="9"/>
  <c r="B873" i="9"/>
  <c r="K861" i="9"/>
  <c r="B861" i="9"/>
  <c r="K837" i="9"/>
  <c r="B837" i="9"/>
  <c r="K813" i="9"/>
  <c r="B813" i="9"/>
  <c r="K801" i="9"/>
  <c r="K789" i="9"/>
  <c r="B789" i="9"/>
  <c r="K741" i="9"/>
  <c r="B741" i="9"/>
  <c r="K729" i="9"/>
  <c r="B729" i="9"/>
  <c r="K717" i="9"/>
  <c r="B717" i="9"/>
  <c r="K705" i="9"/>
  <c r="B705" i="9"/>
  <c r="K693" i="9"/>
  <c r="B693" i="9"/>
  <c r="K681" i="9"/>
  <c r="B681" i="9"/>
  <c r="K657" i="9"/>
  <c r="B657" i="9"/>
  <c r="K645" i="9"/>
  <c r="B645" i="9"/>
  <c r="K609" i="9"/>
  <c r="B609" i="9"/>
  <c r="K597" i="9"/>
  <c r="B597" i="9"/>
  <c r="K585" i="9"/>
  <c r="B585" i="9"/>
  <c r="K549" i="9"/>
  <c r="B549" i="9"/>
  <c r="K537" i="9"/>
  <c r="B537" i="9"/>
  <c r="K525" i="9"/>
  <c r="B525" i="9"/>
  <c r="K501" i="9"/>
  <c r="B501" i="9"/>
  <c r="K489" i="9"/>
  <c r="B489" i="9"/>
  <c r="K453" i="9"/>
  <c r="B453" i="9"/>
  <c r="K441" i="9"/>
  <c r="B441" i="9"/>
  <c r="K393" i="9"/>
  <c r="B393" i="9"/>
  <c r="B381" i="9"/>
  <c r="G8" i="13"/>
  <c r="K369" i="9"/>
  <c r="B369" i="9"/>
  <c r="G16" i="13"/>
  <c r="K345" i="9"/>
  <c r="B345" i="9"/>
  <c r="K333" i="9"/>
  <c r="B333" i="9"/>
  <c r="K320" i="9"/>
  <c r="B320" i="9"/>
  <c r="K307" i="9"/>
  <c r="B307" i="9"/>
  <c r="B283" i="9"/>
  <c r="K259" i="9"/>
  <c r="B259" i="9"/>
  <c r="G32" i="13"/>
  <c r="G5" i="13"/>
  <c r="K211" i="9"/>
  <c r="B211" i="9"/>
  <c r="K175" i="9"/>
  <c r="B175" i="9"/>
  <c r="K163" i="9"/>
  <c r="B163" i="9"/>
  <c r="G18" i="11"/>
  <c r="B115" i="9"/>
  <c r="K91" i="9"/>
  <c r="B91" i="9"/>
  <c r="K79" i="9"/>
  <c r="B79" i="9"/>
  <c r="K67" i="9"/>
  <c r="B67" i="9"/>
  <c r="G38" i="13"/>
  <c r="G11" i="13"/>
  <c r="B55" i="9"/>
  <c r="B43" i="9"/>
  <c r="G17" i="13"/>
  <c r="G18" i="13"/>
  <c r="G46" i="13"/>
  <c r="G36" i="13"/>
  <c r="B1447" i="9"/>
  <c r="B1242" i="9"/>
  <c r="B1299" i="9"/>
  <c r="B1439" i="9"/>
  <c r="B1251" i="9"/>
  <c r="B1206" i="9"/>
  <c r="B1330" i="9"/>
  <c r="B1237" i="9"/>
  <c r="B1515" i="9"/>
  <c r="B1373" i="9"/>
  <c r="B1475" i="9"/>
  <c r="B1223" i="9"/>
  <c r="B1477" i="9"/>
  <c r="B1467" i="9"/>
  <c r="B1159" i="9"/>
  <c r="B1090" i="9"/>
  <c r="B1084" i="9"/>
  <c r="B1120" i="9"/>
  <c r="B1148" i="9"/>
  <c r="B1058" i="9"/>
  <c r="B1051" i="9"/>
  <c r="B1010" i="9"/>
  <c r="B946" i="9"/>
  <c r="B1024" i="9"/>
  <c r="B1015" i="9"/>
  <c r="B1013" i="9"/>
  <c r="B999" i="9"/>
  <c r="B942" i="9"/>
  <c r="B940" i="9"/>
  <c r="B901" i="9"/>
  <c r="B769" i="9"/>
  <c r="B709" i="9"/>
  <c r="B273" i="9"/>
  <c r="B209" i="9"/>
  <c r="B141" i="9"/>
  <c r="B35" i="9"/>
  <c r="B863" i="9"/>
  <c r="B803" i="9"/>
  <c r="B731" i="9"/>
  <c r="B671" i="9"/>
  <c r="B611" i="9"/>
  <c r="B555" i="9"/>
  <c r="B499" i="9"/>
  <c r="B435" i="9"/>
  <c r="B379" i="9"/>
  <c r="B323" i="9"/>
  <c r="B267" i="9"/>
  <c r="B147" i="9"/>
  <c r="B10" i="9"/>
  <c r="B896" i="9"/>
  <c r="B848" i="9"/>
  <c r="B800" i="9"/>
  <c r="B752" i="9"/>
  <c r="B704" i="9"/>
  <c r="B656" i="9"/>
  <c r="B608" i="9"/>
  <c r="B560" i="9"/>
  <c r="B512" i="9"/>
  <c r="B464" i="9"/>
  <c r="B416" i="9"/>
  <c r="B368" i="9"/>
  <c r="B272" i="9"/>
  <c r="B224" i="9"/>
  <c r="B176" i="9"/>
  <c r="B128" i="9"/>
  <c r="B66" i="9"/>
  <c r="B1551" i="9"/>
  <c r="B1463" i="9"/>
  <c r="B1510" i="9"/>
  <c r="B1236" i="9"/>
  <c r="B1358" i="9"/>
  <c r="B1265" i="9"/>
  <c r="B1387" i="9"/>
  <c r="B1462" i="9"/>
  <c r="B1391" i="9"/>
  <c r="B1501" i="9"/>
  <c r="B1335" i="9"/>
  <c r="B1205" i="9"/>
  <c r="B1481" i="9"/>
  <c r="B1157" i="9"/>
  <c r="B1190" i="9"/>
  <c r="B1106" i="9"/>
  <c r="B1172" i="9"/>
  <c r="B1140" i="9"/>
  <c r="B1107" i="9"/>
  <c r="B1073" i="9"/>
  <c r="B1042" i="9"/>
  <c r="B991" i="9"/>
  <c r="B1002" i="9"/>
  <c r="B925" i="9"/>
  <c r="B920" i="9"/>
  <c r="B983" i="9"/>
  <c r="B918" i="9"/>
  <c r="B11" i="9"/>
  <c r="B809" i="9"/>
  <c r="B677" i="9"/>
  <c r="B601" i="9"/>
  <c r="B473" i="9"/>
  <c r="B397" i="9"/>
  <c r="B329" i="9"/>
  <c r="B261" i="9"/>
  <c r="B189" i="9"/>
  <c r="B121" i="9"/>
  <c r="B891" i="9"/>
  <c r="B823" i="9"/>
  <c r="B759" i="9"/>
  <c r="B691" i="9"/>
  <c r="B619" i="9"/>
  <c r="B559" i="9"/>
  <c r="B495" i="9"/>
  <c r="B427" i="9"/>
  <c r="B367" i="9"/>
  <c r="B239" i="9"/>
  <c r="B179" i="9"/>
  <c r="B119" i="9"/>
  <c r="B81" i="9"/>
  <c r="B908" i="9"/>
  <c r="B856" i="9"/>
  <c r="B804" i="9"/>
  <c r="B748" i="9"/>
  <c r="B696" i="9"/>
  <c r="B644" i="9"/>
  <c r="B592" i="9"/>
  <c r="B540" i="9"/>
  <c r="B488" i="9"/>
  <c r="B436" i="9"/>
  <c r="B384" i="9"/>
  <c r="B332" i="9"/>
  <c r="B280" i="9"/>
  <c r="B228" i="9"/>
  <c r="B1445" i="9"/>
  <c r="B1374" i="9"/>
  <c r="B1354" i="9"/>
  <c r="B1368" i="9"/>
  <c r="B1490" i="9"/>
  <c r="B1397" i="9"/>
  <c r="B1326" i="9"/>
  <c r="B1315" i="9"/>
  <c r="B1235" i="9"/>
  <c r="B1489" i="9"/>
  <c r="B1286" i="9"/>
  <c r="B1418" i="9"/>
  <c r="B1083" i="9"/>
  <c r="B1124" i="9"/>
  <c r="B1171" i="9"/>
  <c r="B1114" i="9"/>
  <c r="B1060" i="9"/>
  <c r="B1049" i="9"/>
  <c r="B939" i="9"/>
  <c r="B954" i="9"/>
  <c r="B1016" i="9"/>
  <c r="B1034" i="9"/>
  <c r="B988" i="9"/>
  <c r="B915" i="9"/>
  <c r="B37" i="9"/>
  <c r="B793" i="9"/>
  <c r="B589" i="9"/>
  <c r="B521" i="9"/>
  <c r="B445" i="9"/>
  <c r="B313" i="9"/>
  <c r="B241" i="9"/>
  <c r="B177" i="9"/>
  <c r="B109" i="9"/>
  <c r="B21" i="9"/>
  <c r="B875" i="9"/>
  <c r="B811" i="9"/>
  <c r="B747" i="9"/>
  <c r="B667" i="9"/>
  <c r="B603" i="9"/>
  <c r="B543" i="9"/>
  <c r="B475" i="9"/>
  <c r="B415" i="9"/>
  <c r="B355" i="9"/>
  <c r="B287" i="9"/>
  <c r="B227" i="9"/>
  <c r="B167" i="9"/>
  <c r="B99" i="9"/>
  <c r="B3" i="9"/>
  <c r="B892" i="9"/>
  <c r="B840" i="9"/>
  <c r="B788" i="9"/>
  <c r="B736" i="9"/>
  <c r="B684" i="9"/>
  <c r="B632" i="9"/>
  <c r="B580" i="9"/>
  <c r="B528" i="9"/>
  <c r="B476" i="9"/>
  <c r="B424" i="9"/>
  <c r="B372" i="9"/>
  <c r="B264" i="9"/>
  <c r="B212" i="9"/>
  <c r="B160" i="9"/>
  <c r="B108" i="9"/>
  <c r="B78" i="9"/>
  <c r="B26" i="9"/>
  <c r="B866" i="9"/>
  <c r="B818" i="9"/>
  <c r="B770" i="9"/>
  <c r="B722" i="9"/>
  <c r="B674" i="9"/>
  <c r="B626" i="9"/>
  <c r="B578" i="9"/>
  <c r="B530" i="9"/>
  <c r="B482" i="9"/>
  <c r="B434" i="9"/>
  <c r="H36" i="13"/>
  <c r="B1256" i="9"/>
  <c r="B1516" i="9"/>
  <c r="B1289" i="9"/>
  <c r="B1246" i="9"/>
  <c r="B1486" i="9"/>
  <c r="B1500" i="9"/>
  <c r="B1468" i="9"/>
  <c r="B1385" i="9"/>
  <c r="B1363" i="9"/>
  <c r="B1294" i="9"/>
  <c r="B1426" i="9"/>
  <c r="B1440" i="9"/>
  <c r="B1321" i="9"/>
  <c r="B1115" i="9"/>
  <c r="B1144" i="9"/>
  <c r="B1164" i="9"/>
  <c r="B1193" i="9"/>
  <c r="B1108" i="9"/>
  <c r="B1169" i="9"/>
  <c r="B1011" i="9"/>
  <c r="B930" i="9"/>
  <c r="B1000" i="9"/>
  <c r="B955" i="9"/>
  <c r="B948" i="9"/>
  <c r="B1035" i="9"/>
  <c r="B29" i="9"/>
  <c r="B853" i="9"/>
  <c r="B785" i="9"/>
  <c r="B713" i="9"/>
  <c r="B641" i="9"/>
  <c r="B577" i="9"/>
  <c r="B437" i="9"/>
  <c r="B373" i="9"/>
  <c r="B297" i="9"/>
  <c r="B233" i="9"/>
  <c r="B165" i="9"/>
  <c r="B101" i="9"/>
  <c r="B867" i="9"/>
  <c r="B799" i="9"/>
  <c r="B723" i="9"/>
  <c r="B659" i="9"/>
  <c r="B595" i="9"/>
  <c r="B527" i="9"/>
  <c r="B467" i="9"/>
  <c r="B407" i="9"/>
  <c r="B339" i="9"/>
  <c r="B279" i="9"/>
  <c r="B219" i="9"/>
  <c r="B159" i="9"/>
  <c r="B87" i="9"/>
  <c r="B18" i="9"/>
  <c r="B1554" i="9"/>
  <c r="B1240" i="9"/>
  <c r="B1285" i="9"/>
  <c r="B1295" i="9"/>
  <c r="B1342" i="9"/>
  <c r="B1474" i="9"/>
  <c r="B1328" i="9"/>
  <c r="B1219" i="9"/>
  <c r="B1432" i="9"/>
  <c r="B1479" i="9"/>
  <c r="B1436" i="9"/>
  <c r="B1134" i="9"/>
  <c r="B1105" i="9"/>
  <c r="B1135" i="9"/>
  <c r="B1181" i="9"/>
  <c r="B1069" i="9"/>
  <c r="B947" i="9"/>
  <c r="B917" i="9"/>
  <c r="B911" i="9"/>
  <c r="B973" i="9"/>
  <c r="B1037" i="9"/>
  <c r="B25" i="9"/>
  <c r="B821" i="9"/>
  <c r="B737" i="9"/>
  <c r="B637" i="9"/>
  <c r="B469" i="9"/>
  <c r="B281" i="9"/>
  <c r="B185" i="9"/>
  <c r="B89" i="9"/>
  <c r="B23" i="9"/>
  <c r="B819" i="9"/>
  <c r="B719" i="9"/>
  <c r="B639" i="9"/>
  <c r="B551" i="9"/>
  <c r="B463" i="9"/>
  <c r="B383" i="9"/>
  <c r="B303" i="9"/>
  <c r="B215" i="9"/>
  <c r="B131" i="9"/>
  <c r="B73" i="9"/>
  <c r="B884" i="9"/>
  <c r="B824" i="9"/>
  <c r="B764" i="9"/>
  <c r="B700" i="9"/>
  <c r="B636" i="9"/>
  <c r="B572" i="9"/>
  <c r="B508" i="9"/>
  <c r="B448" i="9"/>
  <c r="B388" i="9"/>
  <c r="B324" i="9"/>
  <c r="B256" i="9"/>
  <c r="B196" i="9"/>
  <c r="B140" i="9"/>
  <c r="B84" i="9"/>
  <c r="B12" i="9"/>
  <c r="B882" i="9"/>
  <c r="B830" i="9"/>
  <c r="B778" i="9"/>
  <c r="B726" i="9"/>
  <c r="B670" i="9"/>
  <c r="B618" i="9"/>
  <c r="B566" i="9"/>
  <c r="B514" i="9"/>
  <c r="B462" i="9"/>
  <c r="B410" i="9"/>
  <c r="B362" i="9"/>
  <c r="B314" i="9"/>
  <c r="B266" i="9"/>
  <c r="B218" i="9"/>
  <c r="B170" i="9"/>
  <c r="B122" i="9"/>
  <c r="B60" i="9"/>
  <c r="B1250" i="9"/>
  <c r="B1392" i="9"/>
  <c r="B1309" i="9"/>
  <c r="B1396" i="9"/>
  <c r="B1375" i="9"/>
  <c r="B1444" i="9"/>
  <c r="B1430" i="9"/>
  <c r="B1428" i="9"/>
  <c r="B1498" i="9"/>
  <c r="B1288" i="9"/>
  <c r="B1441" i="9"/>
  <c r="B1307" i="9"/>
  <c r="B1388" i="9"/>
  <c r="B1390" i="9"/>
  <c r="B1416" i="9"/>
  <c r="B1529" i="9"/>
  <c r="B1503" i="9"/>
  <c r="B1491" i="9"/>
  <c r="B1484" i="9"/>
  <c r="B1284" i="9"/>
  <c r="B1132" i="9"/>
  <c r="B1086" i="9"/>
  <c r="B1180" i="9"/>
  <c r="B1056" i="9"/>
  <c r="B961" i="9"/>
  <c r="B1030" i="9"/>
  <c r="B1008" i="9"/>
  <c r="B970" i="9"/>
  <c r="B937" i="9"/>
  <c r="B905" i="9"/>
  <c r="B629" i="9"/>
  <c r="B541" i="9"/>
  <c r="B349" i="9"/>
  <c r="B265" i="9"/>
  <c r="B169" i="9"/>
  <c r="B59" i="9"/>
  <c r="B903" i="9"/>
  <c r="B807" i="9"/>
  <c r="B711" i="9"/>
  <c r="B623" i="9"/>
  <c r="B531" i="9"/>
  <c r="B455" i="9"/>
  <c r="B371" i="9"/>
  <c r="B195" i="9"/>
  <c r="B123" i="9"/>
  <c r="B6" i="9"/>
  <c r="B876" i="9"/>
  <c r="B816" i="9"/>
  <c r="B756" i="9"/>
  <c r="B688" i="9"/>
  <c r="B624" i="9"/>
  <c r="B564" i="9"/>
  <c r="B500" i="9"/>
  <c r="B440" i="9"/>
  <c r="B376" i="9"/>
  <c r="B308" i="9"/>
  <c r="B248" i="9"/>
  <c r="B188" i="9"/>
  <c r="B132" i="9"/>
  <c r="B58" i="9"/>
  <c r="B38" i="9"/>
  <c r="B874" i="9"/>
  <c r="B822" i="9"/>
  <c r="B766" i="9"/>
  <c r="B714" i="9"/>
  <c r="B662" i="9"/>
  <c r="B610" i="9"/>
  <c r="B558" i="9"/>
  <c r="B506" i="9"/>
  <c r="B454" i="9"/>
  <c r="B402" i="9"/>
  <c r="B354" i="9"/>
  <c r="B306" i="9"/>
  <c r="B258" i="9"/>
  <c r="B210" i="9"/>
  <c r="B162" i="9"/>
  <c r="B114" i="9"/>
  <c r="B52" i="9"/>
  <c r="B1297" i="9"/>
  <c r="B1222" i="9"/>
  <c r="B1506" i="9"/>
  <c r="B1255" i="9"/>
  <c r="B1338" i="9"/>
  <c r="B1456" i="9"/>
  <c r="B1347" i="9"/>
  <c r="B1448" i="9"/>
  <c r="B1499" i="9"/>
  <c r="B1487" i="9"/>
  <c r="B1162" i="9"/>
  <c r="B1186" i="9"/>
  <c r="B1121" i="9"/>
  <c r="B1079" i="9"/>
  <c r="B1062" i="9"/>
  <c r="B1039" i="9"/>
  <c r="B990" i="9"/>
  <c r="B992" i="9"/>
  <c r="B950" i="9"/>
  <c r="B967" i="9"/>
  <c r="B996" i="9"/>
  <c r="B805" i="9"/>
  <c r="B625" i="9"/>
  <c r="B533" i="9"/>
  <c r="B433" i="9"/>
  <c r="B257" i="9"/>
  <c r="B161" i="9"/>
  <c r="B883" i="9"/>
  <c r="B783" i="9"/>
  <c r="B707" i="9"/>
  <c r="B615" i="9"/>
  <c r="B523" i="9"/>
  <c r="B451" i="9"/>
  <c r="B363" i="9"/>
  <c r="B275" i="9"/>
  <c r="B191" i="9"/>
  <c r="B14" i="9"/>
  <c r="B872" i="9"/>
  <c r="B812" i="9"/>
  <c r="B744" i="9"/>
  <c r="B680" i="9"/>
  <c r="B620" i="9"/>
  <c r="B556" i="9"/>
  <c r="B496" i="9"/>
  <c r="B432" i="9"/>
  <c r="B364" i="9"/>
  <c r="B304" i="9"/>
  <c r="B244" i="9"/>
  <c r="B184" i="9"/>
  <c r="B124" i="9"/>
  <c r="B54" i="9"/>
  <c r="B34" i="9"/>
  <c r="B870" i="9"/>
  <c r="B814" i="9"/>
  <c r="B762" i="9"/>
  <c r="B710" i="9"/>
  <c r="B658" i="9"/>
  <c r="B606" i="9"/>
  <c r="B554" i="9"/>
  <c r="B502" i="9"/>
  <c r="B450" i="9"/>
  <c r="B398" i="9"/>
  <c r="B350" i="9"/>
  <c r="B302" i="9"/>
  <c r="B254" i="9"/>
  <c r="B206" i="9"/>
  <c r="B158" i="9"/>
  <c r="B110" i="9"/>
  <c r="B48" i="9"/>
  <c r="B1496" i="9"/>
  <c r="B1260" i="9"/>
  <c r="B1230" i="9"/>
  <c r="B1421" i="9"/>
  <c r="B1409" i="9"/>
  <c r="B1253" i="9"/>
  <c r="B1359" i="9"/>
  <c r="B1454" i="9"/>
  <c r="B1308" i="9"/>
  <c r="B1252" i="9"/>
  <c r="B1331" i="9"/>
  <c r="B1145" i="9"/>
  <c r="B1099" i="9"/>
  <c r="B1141" i="9"/>
  <c r="B1054" i="9"/>
  <c r="B1007" i="9"/>
  <c r="B938" i="9"/>
  <c r="B960" i="9"/>
  <c r="B910" i="9"/>
  <c r="B1018" i="9"/>
  <c r="B964" i="9"/>
  <c r="B505" i="9"/>
  <c r="B425" i="9"/>
  <c r="B337" i="9"/>
  <c r="B237" i="9"/>
  <c r="B153" i="9"/>
  <c r="B47" i="9"/>
  <c r="B871" i="9"/>
  <c r="B775" i="9"/>
  <c r="B699" i="9"/>
  <c r="B599" i="9"/>
  <c r="B515" i="9"/>
  <c r="B431" i="9"/>
  <c r="B351" i="9"/>
  <c r="B263" i="9"/>
  <c r="B183" i="9"/>
  <c r="B95" i="9"/>
  <c r="B40" i="9"/>
  <c r="B864" i="9"/>
  <c r="B796" i="9"/>
  <c r="B732" i="9"/>
  <c r="B672" i="9"/>
  <c r="B612" i="9"/>
  <c r="B548" i="9"/>
  <c r="B484" i="9"/>
  <c r="B420" i="9"/>
  <c r="B356" i="9"/>
  <c r="B296" i="9"/>
  <c r="B236" i="9"/>
  <c r="B172" i="9"/>
  <c r="B116" i="9"/>
  <c r="B46" i="9"/>
  <c r="B22" i="9"/>
  <c r="B858" i="9"/>
  <c r="B806" i="9"/>
  <c r="B754" i="9"/>
  <c r="B702" i="9"/>
  <c r="B650" i="9"/>
  <c r="B598" i="9"/>
  <c r="B546" i="9"/>
  <c r="B494" i="9"/>
  <c r="B442" i="9"/>
  <c r="B390" i="9"/>
  <c r="B342" i="9"/>
  <c r="B294" i="9"/>
  <c r="B246" i="9"/>
  <c r="B198" i="9"/>
  <c r="B150" i="9"/>
  <c r="B102" i="9"/>
  <c r="B76" i="9"/>
  <c r="B854" i="9"/>
  <c r="B438" i="9"/>
  <c r="B290" i="9"/>
  <c r="B194" i="9"/>
  <c r="B98" i="9"/>
  <c r="B1522" i="9"/>
  <c r="B1504" i="9"/>
  <c r="B1277" i="9"/>
  <c r="B1336" i="9"/>
  <c r="B1383" i="9"/>
  <c r="B1513" i="9"/>
  <c r="B1213" i="9"/>
  <c r="B1282" i="9"/>
  <c r="B1471" i="9"/>
  <c r="B1156" i="9"/>
  <c r="B1104" i="9"/>
  <c r="B1122" i="9"/>
  <c r="B1128" i="9"/>
  <c r="B1136" i="9"/>
  <c r="B2" i="9"/>
  <c r="B975" i="9"/>
  <c r="B914" i="9"/>
  <c r="B952" i="9"/>
  <c r="B997" i="9"/>
  <c r="B1003" i="9"/>
  <c r="B956" i="9"/>
  <c r="B869" i="9"/>
  <c r="B781" i="9"/>
  <c r="B689" i="9"/>
  <c r="B497" i="9"/>
  <c r="B421" i="9"/>
  <c r="B325" i="9"/>
  <c r="B229" i="9"/>
  <c r="B137" i="9"/>
  <c r="B75" i="9"/>
  <c r="B859" i="9"/>
  <c r="B771" i="9"/>
  <c r="B679" i="9"/>
  <c r="B591" i="9"/>
  <c r="B511" i="9"/>
  <c r="B423" i="9"/>
  <c r="B335" i="9"/>
  <c r="B83" i="9"/>
  <c r="B36" i="9"/>
  <c r="B860" i="9"/>
  <c r="B792" i="9"/>
  <c r="B728" i="9"/>
  <c r="B668" i="9"/>
  <c r="B604" i="9"/>
  <c r="B544" i="9"/>
  <c r="B480" i="9"/>
  <c r="B412" i="9"/>
  <c r="B352" i="9"/>
  <c r="B292" i="9"/>
  <c r="B232" i="9"/>
  <c r="B168" i="9"/>
  <c r="B112" i="9"/>
  <c r="B74" i="9"/>
  <c r="B906" i="9"/>
  <c r="B802" i="9"/>
  <c r="B750" i="9"/>
  <c r="B698" i="9"/>
  <c r="B646" i="9"/>
  <c r="B594" i="9"/>
  <c r="B542" i="9"/>
  <c r="B490" i="9"/>
  <c r="B386" i="9"/>
  <c r="B338" i="9"/>
  <c r="B242" i="9"/>
  <c r="B146" i="9"/>
  <c r="B72" i="9"/>
  <c r="B1301" i="9"/>
  <c r="B1216" i="9"/>
  <c r="B1204" i="9"/>
  <c r="B1249" i="9"/>
  <c r="B1381" i="9"/>
  <c r="B1268" i="9"/>
  <c r="B1438" i="9"/>
  <c r="B1339" i="9"/>
  <c r="B1422" i="9"/>
  <c r="B1139" i="9"/>
  <c r="B1088" i="9"/>
  <c r="B1131" i="9"/>
  <c r="B1129" i="9"/>
  <c r="B1068" i="9"/>
  <c r="B1052" i="9"/>
  <c r="B1026" i="9"/>
  <c r="B1033" i="9"/>
  <c r="B928" i="9"/>
  <c r="B972" i="9"/>
  <c r="B943" i="9"/>
  <c r="B916" i="9"/>
  <c r="B857" i="9"/>
  <c r="B761" i="9"/>
  <c r="B581" i="9"/>
  <c r="B401" i="9"/>
  <c r="B309" i="9"/>
  <c r="B217" i="9"/>
  <c r="B129" i="9"/>
  <c r="B17" i="9"/>
  <c r="B851" i="9"/>
  <c r="B763" i="9"/>
  <c r="B663" i="9"/>
  <c r="B575" i="9"/>
  <c r="B503" i="9"/>
  <c r="B411" i="9"/>
  <c r="B327" i="9"/>
  <c r="B243" i="9"/>
  <c r="B61" i="9"/>
  <c r="B24" i="9"/>
  <c r="B844" i="9"/>
  <c r="B780" i="9"/>
  <c r="B720" i="9"/>
  <c r="B660" i="9"/>
  <c r="B596" i="9"/>
  <c r="B532" i="9"/>
  <c r="B468" i="9"/>
  <c r="B404" i="9"/>
  <c r="B344" i="9"/>
  <c r="B284" i="9"/>
  <c r="B216" i="9"/>
  <c r="B156" i="9"/>
  <c r="B100" i="9"/>
  <c r="B5" i="9"/>
  <c r="B898" i="9"/>
  <c r="B846" i="9"/>
  <c r="B794" i="9"/>
  <c r="B742" i="9"/>
  <c r="B690" i="9"/>
  <c r="B638" i="9"/>
  <c r="B586" i="9"/>
  <c r="B534" i="9"/>
  <c r="B478" i="9"/>
  <c r="B426" i="9"/>
  <c r="B378" i="9"/>
  <c r="B330" i="9"/>
  <c r="B282" i="9"/>
  <c r="B234" i="9"/>
  <c r="B186" i="9"/>
  <c r="B138" i="9"/>
  <c r="B90" i="9"/>
  <c r="B316" i="9"/>
  <c r="B340" i="9"/>
  <c r="B460" i="9"/>
  <c r="B588" i="9"/>
  <c r="B716" i="9"/>
  <c r="B836" i="9"/>
  <c r="B57" i="9"/>
  <c r="B235" i="9"/>
  <c r="B403" i="9"/>
  <c r="B571" i="9"/>
  <c r="B755" i="9"/>
  <c r="B39" i="9"/>
  <c r="B213" i="9"/>
  <c r="B389" i="9"/>
  <c r="B573" i="9"/>
  <c r="B757" i="9"/>
  <c r="B7" i="9"/>
  <c r="B932" i="9"/>
  <c r="B1025" i="9"/>
  <c r="B1043" i="9"/>
  <c r="B1082" i="9"/>
  <c r="B1158" i="9"/>
  <c r="B1327" i="9"/>
  <c r="B1272" i="9"/>
  <c r="B1356" i="9"/>
  <c r="B1518" i="9"/>
  <c r="B1566" i="9"/>
  <c r="B106" i="9"/>
  <c r="B202" i="9"/>
  <c r="B298" i="9"/>
  <c r="B394" i="9"/>
  <c r="B498" i="9"/>
  <c r="B602" i="9"/>
  <c r="B706" i="9"/>
  <c r="B810" i="9"/>
  <c r="B30" i="9"/>
  <c r="B120" i="9"/>
  <c r="B240" i="9"/>
  <c r="B360" i="9"/>
  <c r="B492" i="9"/>
  <c r="B616" i="9"/>
  <c r="B740" i="9"/>
  <c r="B868" i="9"/>
  <c r="B111" i="9"/>
  <c r="B271" i="9"/>
  <c r="B447" i="9"/>
  <c r="B607" i="9"/>
  <c r="B779" i="9"/>
  <c r="B51" i="9"/>
  <c r="B245" i="9"/>
  <c r="B429" i="9"/>
  <c r="B613" i="9"/>
  <c r="B801" i="9"/>
  <c r="B980" i="9"/>
  <c r="B926" i="9"/>
  <c r="B962" i="9"/>
  <c r="B1059" i="9"/>
  <c r="B1152" i="9"/>
  <c r="B1187" i="9"/>
  <c r="B1349" i="9"/>
  <c r="B1247" i="9"/>
  <c r="B1350" i="9"/>
  <c r="B1275" i="9"/>
  <c r="B118" i="9"/>
  <c r="B406" i="9"/>
  <c r="B718" i="9"/>
  <c r="B136" i="9"/>
  <c r="B504" i="9"/>
  <c r="B880" i="9"/>
  <c r="B459" i="9"/>
  <c r="B277" i="9"/>
  <c r="B817" i="9"/>
  <c r="B986" i="9"/>
  <c r="B1063" i="9"/>
  <c r="B1155" i="9"/>
  <c r="B1476" i="9"/>
  <c r="B1431" i="9"/>
  <c r="B214" i="9"/>
  <c r="B510" i="9"/>
  <c r="B826" i="9"/>
  <c r="B252" i="9"/>
  <c r="B628" i="9"/>
  <c r="B127" i="9"/>
  <c r="B627" i="9"/>
  <c r="B85" i="9"/>
  <c r="B633" i="9"/>
  <c r="B1021" i="9"/>
  <c r="B935" i="9"/>
  <c r="B1154" i="9"/>
  <c r="B1434" i="9"/>
  <c r="B1427" i="9"/>
  <c r="B126" i="9"/>
  <c r="B222" i="9"/>
  <c r="B318" i="9"/>
  <c r="B414" i="9"/>
  <c r="B518" i="9"/>
  <c r="B622" i="9"/>
  <c r="B730" i="9"/>
  <c r="B834" i="9"/>
  <c r="B16" i="9"/>
  <c r="B144" i="9"/>
  <c r="B260" i="9"/>
  <c r="B392" i="9"/>
  <c r="B516" i="9"/>
  <c r="B640" i="9"/>
  <c r="B768" i="9"/>
  <c r="B888" i="9"/>
  <c r="B135" i="9"/>
  <c r="B311" i="9"/>
  <c r="B471" i="9"/>
  <c r="B643" i="9"/>
  <c r="B827" i="9"/>
  <c r="B105" i="9"/>
  <c r="B285" i="9"/>
  <c r="B477" i="9"/>
  <c r="B833" i="9"/>
  <c r="B934" i="9"/>
  <c r="B998" i="9"/>
  <c r="B963" i="9"/>
  <c r="B1074" i="9"/>
  <c r="B1175" i="9"/>
  <c r="B1146" i="9"/>
  <c r="B1460" i="9"/>
  <c r="B1312" i="9"/>
  <c r="B1512" i="9"/>
  <c r="B1530" i="9"/>
  <c r="B310" i="9"/>
  <c r="B614" i="9"/>
  <c r="B42" i="9"/>
  <c r="B380" i="9"/>
  <c r="B760" i="9"/>
  <c r="B291" i="9"/>
  <c r="B815" i="9"/>
  <c r="B449" i="9"/>
  <c r="B130" i="9"/>
  <c r="B226" i="9"/>
  <c r="B322" i="9"/>
  <c r="B418" i="9"/>
  <c r="B522" i="9"/>
  <c r="B630" i="9"/>
  <c r="B734" i="9"/>
  <c r="B838" i="9"/>
  <c r="B20" i="9"/>
  <c r="B148" i="9"/>
  <c r="B268" i="9"/>
  <c r="B396" i="9"/>
  <c r="B520" i="9"/>
  <c r="B648" i="9"/>
  <c r="B772" i="9"/>
  <c r="B900" i="9"/>
  <c r="B139" i="9"/>
  <c r="B315" i="9"/>
  <c r="B479" i="9"/>
  <c r="B651" i="9"/>
  <c r="B831" i="9"/>
  <c r="B113" i="9"/>
  <c r="B289" i="9"/>
  <c r="B481" i="9"/>
  <c r="B661" i="9"/>
  <c r="B841" i="9"/>
  <c r="B931" i="9"/>
  <c r="B979" i="9"/>
  <c r="B1071" i="9"/>
  <c r="B1160" i="9"/>
  <c r="B1194" i="9"/>
  <c r="B1483" i="9"/>
  <c r="B1259" i="9"/>
  <c r="B1261" i="9"/>
  <c r="B1340" i="9"/>
  <c r="B326" i="9"/>
  <c r="B842" i="9"/>
  <c r="B524" i="9"/>
  <c r="B319" i="9"/>
  <c r="B485" i="9"/>
  <c r="B995" i="9"/>
  <c r="B1298" i="9"/>
  <c r="G10" i="13"/>
  <c r="B526" i="9"/>
  <c r="B152" i="9"/>
  <c r="B776" i="9"/>
  <c r="B483" i="9"/>
  <c r="B293" i="9"/>
  <c r="B978" i="9"/>
  <c r="B1173" i="9"/>
  <c r="B1303" i="9"/>
  <c r="B68" i="9"/>
  <c r="B142" i="9"/>
  <c r="B238" i="9"/>
  <c r="B334" i="9"/>
  <c r="B430" i="9"/>
  <c r="B538" i="9"/>
  <c r="B642" i="9"/>
  <c r="B746" i="9"/>
  <c r="B850" i="9"/>
  <c r="B70" i="9"/>
  <c r="B164" i="9"/>
  <c r="B288" i="9"/>
  <c r="B408" i="9"/>
  <c r="B536" i="9"/>
  <c r="B664" i="9"/>
  <c r="B784" i="9"/>
  <c r="B32" i="9"/>
  <c r="B171" i="9"/>
  <c r="B331" i="9"/>
  <c r="B507" i="9"/>
  <c r="B675" i="9"/>
  <c r="B855" i="9"/>
  <c r="B133" i="9"/>
  <c r="B321" i="9"/>
  <c r="B493" i="9"/>
  <c r="B685" i="9"/>
  <c r="B865" i="9"/>
  <c r="B971" i="9"/>
  <c r="B944" i="9"/>
  <c r="B959" i="9"/>
  <c r="B1070" i="9"/>
  <c r="B1100" i="9"/>
  <c r="B1188" i="9"/>
  <c r="B1302" i="9"/>
  <c r="B1488" i="9"/>
  <c r="B1218" i="9"/>
  <c r="B1473" i="9"/>
  <c r="B422" i="9"/>
  <c r="B8" i="9"/>
  <c r="B652" i="9"/>
  <c r="B655" i="9"/>
  <c r="B665" i="9"/>
  <c r="B1066" i="9"/>
  <c r="B1348" i="9"/>
  <c r="B80" i="9"/>
  <c r="B154" i="9"/>
  <c r="B250" i="9"/>
  <c r="B346" i="9"/>
  <c r="B446" i="9"/>
  <c r="B550" i="9"/>
  <c r="B654" i="9"/>
  <c r="B758" i="9"/>
  <c r="B862" i="9"/>
  <c r="B50" i="9"/>
  <c r="B180" i="9"/>
  <c r="B300" i="9"/>
  <c r="B428" i="9"/>
  <c r="B552" i="9"/>
  <c r="B676" i="9"/>
  <c r="B808" i="9"/>
  <c r="B44" i="9"/>
  <c r="B187" i="9"/>
  <c r="B359" i="9"/>
  <c r="B519" i="9"/>
  <c r="B703" i="9"/>
  <c r="B879" i="9"/>
  <c r="B157" i="9"/>
  <c r="B341" i="9"/>
  <c r="B529" i="9"/>
  <c r="B697" i="9"/>
  <c r="B889" i="9"/>
  <c r="B951" i="9"/>
  <c r="B984" i="9"/>
  <c r="B1023" i="9"/>
  <c r="B1142" i="9"/>
  <c r="B1168" i="9"/>
  <c r="B1258" i="9"/>
  <c r="B1446" i="9"/>
  <c r="B1227" i="9"/>
  <c r="B1380" i="9"/>
  <c r="B1377" i="9"/>
  <c r="B134" i="9"/>
  <c r="B634" i="9"/>
  <c r="B276" i="9"/>
  <c r="B904" i="9"/>
  <c r="B835" i="9"/>
  <c r="B912" i="9"/>
  <c r="B1344" i="9"/>
  <c r="B166" i="9"/>
  <c r="B458" i="9"/>
  <c r="B666" i="9"/>
  <c r="B774" i="9"/>
  <c r="B878" i="9"/>
  <c r="B62" i="9"/>
  <c r="B192" i="9"/>
  <c r="B312" i="9"/>
  <c r="B444" i="9"/>
  <c r="B568" i="9"/>
  <c r="B692" i="9"/>
  <c r="B820" i="9"/>
  <c r="B69" i="9"/>
  <c r="B207" i="9"/>
  <c r="B375" i="9"/>
  <c r="B547" i="9"/>
  <c r="B715" i="9"/>
  <c r="B907" i="9"/>
  <c r="B181" i="9"/>
  <c r="B361" i="9"/>
  <c r="B733" i="9"/>
  <c r="B909" i="9"/>
  <c r="B965" i="9"/>
  <c r="B1040" i="9"/>
  <c r="B969" i="9"/>
  <c r="B1147" i="9"/>
  <c r="B1192" i="9"/>
  <c r="B1465" i="9"/>
  <c r="B1495" i="9"/>
  <c r="B1232" i="9"/>
  <c r="B1273" i="9"/>
  <c r="B1401" i="9"/>
  <c r="B230" i="9"/>
  <c r="B738" i="9"/>
  <c r="B400" i="9"/>
  <c r="B143" i="9"/>
  <c r="B117" i="9"/>
  <c r="B849" i="9"/>
  <c r="B1149" i="9"/>
  <c r="G7" i="13"/>
  <c r="B56" i="9"/>
  <c r="B262" i="9"/>
  <c r="B358" i="9"/>
  <c r="B562" i="9"/>
  <c r="B64" i="9"/>
  <c r="B174" i="9"/>
  <c r="B270" i="9"/>
  <c r="B366" i="9"/>
  <c r="B466" i="9"/>
  <c r="B570" i="9"/>
  <c r="B678" i="9"/>
  <c r="B782" i="9"/>
  <c r="B886" i="9"/>
  <c r="B88" i="9"/>
  <c r="B200" i="9"/>
  <c r="B328" i="9"/>
  <c r="B452" i="9"/>
  <c r="B576" i="9"/>
  <c r="B828" i="9"/>
  <c r="B49" i="9"/>
  <c r="B223" i="9"/>
  <c r="B387" i="9"/>
  <c r="B727" i="9"/>
  <c r="B27" i="9"/>
  <c r="B193" i="9"/>
  <c r="B377" i="9"/>
  <c r="B553" i="9"/>
  <c r="B745" i="9"/>
  <c r="B33" i="9"/>
  <c r="B981" i="9"/>
  <c r="B933" i="9"/>
  <c r="B1050" i="9"/>
  <c r="B1081" i="9"/>
  <c r="B1143" i="9"/>
  <c r="B1408" i="9"/>
  <c r="B1523" i="9"/>
  <c r="B1271" i="9"/>
  <c r="B1370" i="9"/>
  <c r="B1521" i="9"/>
  <c r="K1569" i="9"/>
  <c r="B1569" i="9"/>
  <c r="K1557" i="9"/>
  <c r="B1557" i="9"/>
  <c r="K1533" i="9"/>
  <c r="B1533" i="9"/>
  <c r="K1497" i="9"/>
  <c r="AA50" i="11" s="1"/>
  <c r="B1497" i="9"/>
  <c r="K1413" i="9"/>
  <c r="AI175" i="11" s="1"/>
  <c r="B1413" i="9"/>
  <c r="K1365" i="9"/>
  <c r="B1365" i="9"/>
  <c r="K1353" i="9"/>
  <c r="B1353" i="9"/>
  <c r="K1341" i="9"/>
  <c r="B1341" i="9"/>
  <c r="K1329" i="9"/>
  <c r="AG25" i="11" s="1"/>
  <c r="B1329" i="9"/>
  <c r="K1305" i="9"/>
  <c r="Y189" i="11" s="1"/>
  <c r="B1305" i="9"/>
  <c r="K1281" i="9"/>
  <c r="AI23" i="11" s="1"/>
  <c r="B1281" i="9"/>
  <c r="K1269" i="9"/>
  <c r="AA22" i="11" s="1"/>
  <c r="B1269" i="9"/>
  <c r="K1257" i="9"/>
  <c r="K1221" i="9"/>
  <c r="V29" i="11" s="1"/>
  <c r="H33" i="13"/>
  <c r="G33" i="13"/>
  <c r="G6" i="13"/>
  <c r="K1209" i="9"/>
  <c r="B1209" i="9"/>
  <c r="K1101" i="9"/>
  <c r="B1101" i="9"/>
  <c r="K1089" i="9"/>
  <c r="B1089" i="9"/>
  <c r="K945" i="9"/>
  <c r="B945" i="9"/>
  <c r="K825" i="9"/>
  <c r="B825" i="9"/>
  <c r="K777" i="9"/>
  <c r="B777" i="9"/>
  <c r="K669" i="9"/>
  <c r="B669" i="9"/>
  <c r="K621" i="9"/>
  <c r="B621" i="9"/>
  <c r="K513" i="9"/>
  <c r="B513" i="9"/>
  <c r="K465" i="9"/>
  <c r="B465" i="9"/>
  <c r="K405" i="9"/>
  <c r="AF28" i="13" s="1" a="1"/>
  <c r="AF28" i="13" s="1"/>
  <c r="B405" i="9"/>
  <c r="K381" i="9"/>
  <c r="H35" i="13"/>
  <c r="G35" i="13"/>
  <c r="K357" i="9"/>
  <c r="H43" i="13"/>
  <c r="G43" i="13"/>
  <c r="B357" i="9"/>
  <c r="K295" i="9"/>
  <c r="B295" i="9"/>
  <c r="K283" i="9"/>
  <c r="H37" i="13"/>
  <c r="K247" i="9"/>
  <c r="H42" i="13"/>
  <c r="B247" i="9"/>
  <c r="K235" i="9"/>
  <c r="AF146" i="11" s="1"/>
  <c r="H32" i="13"/>
  <c r="K199" i="9"/>
  <c r="B199" i="9"/>
  <c r="K151" i="9"/>
  <c r="B151" i="9"/>
  <c r="K115" i="9"/>
  <c r="G39" i="13"/>
  <c r="H39" i="13"/>
  <c r="K103" i="9"/>
  <c r="H34" i="13"/>
  <c r="G34" i="13"/>
  <c r="B103" i="9"/>
  <c r="K55" i="9"/>
  <c r="H38" i="13"/>
  <c r="K43" i="9"/>
  <c r="E19" i="11" s="1"/>
  <c r="G44" i="13"/>
  <c r="K31" i="9"/>
  <c r="G45" i="13"/>
  <c r="H45" i="13"/>
  <c r="K19" i="9"/>
  <c r="H46" i="13"/>
  <c r="B19" i="9"/>
  <c r="K7" i="9"/>
  <c r="B1547" i="9"/>
  <c r="B1538" i="9"/>
  <c r="B1564" i="9"/>
  <c r="B1549" i="9"/>
  <c r="B1543" i="9"/>
  <c r="B1313" i="9"/>
  <c r="B1404" i="9"/>
  <c r="B1386" i="9"/>
  <c r="B1429" i="9"/>
  <c r="B1423" i="9"/>
  <c r="B1514" i="9"/>
  <c r="B1210" i="9"/>
  <c r="B1492" i="9"/>
  <c r="B1224" i="9"/>
  <c r="B1494" i="9"/>
  <c r="B1202" i="9"/>
  <c r="B1262" i="9"/>
  <c r="B1324" i="9"/>
  <c r="B1403" i="9"/>
  <c r="B1241" i="9"/>
  <c r="B1332" i="9"/>
  <c r="B1314" i="9"/>
  <c r="B1357" i="9"/>
  <c r="B1351" i="9"/>
  <c r="B1442" i="9"/>
  <c r="B1455" i="9"/>
  <c r="B1323" i="9"/>
  <c r="B1414" i="9"/>
  <c r="B1264" i="9"/>
  <c r="B1343" i="9"/>
  <c r="B1116" i="9"/>
  <c r="B1196" i="9"/>
  <c r="B1150" i="9"/>
  <c r="B1098" i="9"/>
  <c r="B1133" i="9"/>
  <c r="B1195" i="9"/>
  <c r="B1091" i="9"/>
  <c r="B1191" i="9"/>
  <c r="B1109" i="9"/>
  <c r="B1179" i="9"/>
  <c r="B1072" i="9"/>
  <c r="B1061" i="9"/>
  <c r="B1048" i="9"/>
  <c r="B977" i="9"/>
  <c r="B923" i="9"/>
  <c r="B919" i="9"/>
  <c r="B922" i="9"/>
  <c r="B1032" i="9"/>
  <c r="B936" i="9"/>
  <c r="B1006" i="9"/>
  <c r="B1004" i="9"/>
  <c r="B1031" i="9"/>
  <c r="B1022" i="9"/>
  <c r="B1036" i="9"/>
  <c r="B893" i="9"/>
  <c r="B845" i="9"/>
  <c r="B797" i="9"/>
  <c r="B749" i="9"/>
  <c r="B701" i="9"/>
  <c r="B653" i="9"/>
  <c r="B605" i="9"/>
  <c r="B557" i="9"/>
  <c r="B509" i="9"/>
  <c r="B461" i="9"/>
  <c r="B413" i="9"/>
  <c r="B365" i="9"/>
  <c r="B317" i="9"/>
  <c r="B269" i="9"/>
  <c r="B221" i="9"/>
  <c r="B173" i="9"/>
  <c r="B125" i="9"/>
  <c r="B63" i="9"/>
  <c r="B13" i="9"/>
  <c r="B887" i="9"/>
  <c r="B839" i="9"/>
  <c r="B791" i="9"/>
  <c r="B743" i="9"/>
  <c r="B695" i="9"/>
  <c r="B647" i="9"/>
  <c r="B1562" i="9"/>
  <c r="B1537" i="9"/>
  <c r="B1568" i="9"/>
  <c r="B1553" i="9"/>
  <c r="B1542" i="9"/>
  <c r="B1280" i="9"/>
  <c r="B1371" i="9"/>
  <c r="B1287" i="9"/>
  <c r="B1378" i="9"/>
  <c r="B1372" i="9"/>
  <c r="B1451" i="9"/>
  <c r="B1433" i="9"/>
  <c r="B1524" i="9"/>
  <c r="B1411" i="9"/>
  <c r="B1502" i="9"/>
  <c r="B1198" i="9"/>
  <c r="B1480" i="9"/>
  <c r="B1212" i="9"/>
  <c r="B1243" i="9"/>
  <c r="B1334" i="9"/>
  <c r="B1519" i="9"/>
  <c r="B1215" i="9"/>
  <c r="B1306" i="9"/>
  <c r="B1300" i="9"/>
  <c r="B1379" i="9"/>
  <c r="B1361" i="9"/>
  <c r="B1452" i="9"/>
  <c r="B1290" i="9"/>
  <c r="B1333" i="9"/>
  <c r="B1400" i="9"/>
  <c r="B1274" i="9"/>
  <c r="B1325" i="9"/>
  <c r="B1151" i="9"/>
  <c r="B1118" i="9"/>
  <c r="B1176" i="9"/>
  <c r="B1178" i="9"/>
  <c r="B1111" i="9"/>
  <c r="B1103" i="9"/>
  <c r="B1163" i="9"/>
  <c r="B1123" i="9"/>
  <c r="B1563" i="9"/>
  <c r="B1546" i="9"/>
  <c r="B1567" i="9"/>
  <c r="B1556" i="9"/>
  <c r="B1561" i="9"/>
  <c r="B1536" i="9"/>
  <c r="B1528" i="9"/>
  <c r="B1319" i="9"/>
  <c r="B1228" i="9"/>
  <c r="B1366" i="9"/>
  <c r="B1419" i="9"/>
  <c r="B1469" i="9"/>
  <c r="B1407" i="9"/>
  <c r="B1266" i="9"/>
  <c r="B1395" i="9"/>
  <c r="B1364" i="9"/>
  <c r="B1527" i="9"/>
  <c r="B1318" i="9"/>
  <c r="B1466" i="9"/>
  <c r="B1507" i="9"/>
  <c r="B1310" i="9"/>
  <c r="B1207" i="9"/>
  <c r="B1345" i="9"/>
  <c r="B1493" i="9"/>
  <c r="B1296" i="9"/>
  <c r="B1244" i="9"/>
  <c r="B1199" i="9"/>
  <c r="B1174" i="9"/>
  <c r="B1117" i="9"/>
  <c r="B1127" i="9"/>
  <c r="B1087" i="9"/>
  <c r="B1078" i="9"/>
  <c r="B1119" i="9"/>
  <c r="B1085" i="9"/>
  <c r="B1097" i="9"/>
  <c r="B1067" i="9"/>
  <c r="B1057" i="9"/>
  <c r="B1044" i="9"/>
  <c r="B985" i="9"/>
  <c r="B1038" i="9"/>
  <c r="B1014" i="9"/>
  <c r="B1558" i="9"/>
  <c r="B1534" i="9"/>
  <c r="B1548" i="9"/>
  <c r="B1539" i="9"/>
  <c r="B1443" i="9"/>
  <c r="B1406" i="9"/>
  <c r="B1526" i="9"/>
  <c r="B1424" i="9"/>
  <c r="B1226" i="9"/>
  <c r="B1352" i="9"/>
  <c r="B1214" i="9"/>
  <c r="B1208" i="9"/>
  <c r="B1346" i="9"/>
  <c r="B1316" i="9"/>
  <c r="B1478" i="9"/>
  <c r="B1231" i="9"/>
  <c r="B1369" i="9"/>
  <c r="B1458" i="9"/>
  <c r="B1464" i="9"/>
  <c r="B1505" i="9"/>
  <c r="B1511" i="9"/>
  <c r="B1420" i="9"/>
  <c r="B1211" i="9"/>
  <c r="B1311" i="9"/>
  <c r="B1459" i="9"/>
  <c r="B1095" i="9"/>
  <c r="B1093" i="9"/>
  <c r="B1184" i="9"/>
  <c r="B1094" i="9"/>
  <c r="B1166" i="9"/>
  <c r="B1182" i="9"/>
  <c r="B1183" i="9"/>
  <c r="B1096" i="9"/>
  <c r="B1075" i="9"/>
  <c r="B1055" i="9"/>
  <c r="B1046" i="9"/>
  <c r="B953" i="9"/>
  <c r="B966" i="9"/>
  <c r="B982" i="9"/>
  <c r="B1009" i="9"/>
  <c r="B976" i="9"/>
  <c r="B1019" i="9"/>
  <c r="B929" i="9"/>
  <c r="B949" i="9"/>
  <c r="B927" i="9"/>
  <c r="B1028" i="9"/>
  <c r="B45" i="9"/>
  <c r="B881" i="9"/>
  <c r="B829" i="9"/>
  <c r="B725" i="9"/>
  <c r="B673" i="9"/>
  <c r="B569" i="9"/>
  <c r="B517" i="9"/>
  <c r="B409" i="9"/>
  <c r="B305" i="9"/>
  <c r="B253" i="9"/>
  <c r="B201" i="9"/>
  <c r="B149" i="9"/>
  <c r="B97" i="9"/>
  <c r="B4" i="9"/>
  <c r="B899" i="9"/>
  <c r="B847" i="9"/>
  <c r="B795" i="9"/>
  <c r="B739" i="9"/>
  <c r="B687" i="9"/>
  <c r="B635" i="9"/>
  <c r="B587" i="9"/>
  <c r="B539" i="9"/>
  <c r="B491" i="9"/>
  <c r="B443" i="9"/>
  <c r="B395" i="9"/>
  <c r="B347" i="9"/>
  <c r="B299" i="9"/>
  <c r="B251" i="9"/>
  <c r="B203" i="9"/>
  <c r="B155" i="9"/>
  <c r="B107" i="9"/>
  <c r="B1552" i="9"/>
  <c r="B1540" i="9"/>
  <c r="B1520" i="9"/>
  <c r="B1292" i="9"/>
  <c r="B1472" i="9"/>
  <c r="B1382" i="9"/>
  <c r="B1279" i="9"/>
  <c r="B1417" i="9"/>
  <c r="B1267" i="9"/>
  <c r="B1405" i="9"/>
  <c r="B1399" i="9"/>
  <c r="B1393" i="9"/>
  <c r="B1531" i="9"/>
  <c r="B1525" i="9"/>
  <c r="B1470" i="9"/>
  <c r="B1225" i="9"/>
  <c r="B1517" i="9"/>
  <c r="B1320" i="9"/>
  <c r="B1217" i="9"/>
  <c r="B1367" i="9"/>
  <c r="B1276" i="9"/>
  <c r="B1270" i="9"/>
  <c r="B1376" i="9"/>
  <c r="B1453" i="9"/>
  <c r="B1092" i="9"/>
  <c r="B1112" i="9"/>
  <c r="B1177" i="9"/>
  <c r="B1138" i="9"/>
  <c r="B1167" i="9"/>
  <c r="B1170" i="9"/>
  <c r="B1076" i="9"/>
  <c r="B1064" i="9"/>
  <c r="B1045" i="9"/>
  <c r="B1027" i="9"/>
  <c r="B974" i="9"/>
  <c r="B1001" i="9"/>
  <c r="B968" i="9"/>
  <c r="B987" i="9"/>
  <c r="B913" i="9"/>
  <c r="B941" i="9"/>
  <c r="B994" i="9"/>
  <c r="B1012" i="9"/>
  <c r="B41" i="9"/>
  <c r="B877" i="9"/>
  <c r="B773" i="9"/>
  <c r="B721" i="9"/>
  <c r="B617" i="9"/>
  <c r="B565" i="9"/>
  <c r="B457" i="9"/>
  <c r="B353" i="9"/>
  <c r="B301" i="9"/>
  <c r="B249" i="9"/>
  <c r="B197" i="9"/>
  <c r="B145" i="9"/>
  <c r="B93" i="9"/>
  <c r="B9" i="9"/>
  <c r="B895" i="9"/>
  <c r="B843" i="9"/>
  <c r="B787" i="9"/>
  <c r="B735" i="9"/>
  <c r="B683" i="9"/>
  <c r="B631" i="9"/>
  <c r="B583" i="9"/>
  <c r="B535" i="9"/>
  <c r="B487" i="9"/>
  <c r="B439" i="9"/>
  <c r="B391" i="9"/>
  <c r="B343" i="9"/>
  <c r="B77" i="9"/>
  <c r="B28" i="9"/>
  <c r="B1550" i="9"/>
  <c r="B1544" i="9"/>
  <c r="B1394" i="9"/>
  <c r="B1233" i="9"/>
  <c r="B1461" i="9"/>
  <c r="H44" i="13"/>
  <c r="B1532" i="9"/>
  <c r="B1425" i="9"/>
  <c r="G42" i="13"/>
  <c r="B1126" i="9"/>
  <c r="B1165" i="9"/>
  <c r="B1130" i="9"/>
  <c r="B1189" i="9"/>
  <c r="B1137" i="9"/>
  <c r="B1402" i="9"/>
  <c r="B1278" i="9"/>
  <c r="B1412" i="9"/>
  <c r="B1201" i="9"/>
  <c r="B1410" i="9"/>
  <c r="B1229" i="9"/>
  <c r="B1322" i="9"/>
  <c r="B1200" i="9"/>
  <c r="B1482" i="9"/>
  <c r="B1239" i="9"/>
  <c r="B1283" i="9"/>
  <c r="B1362" i="9"/>
  <c r="B1263" i="9"/>
  <c r="B1248" i="9"/>
  <c r="B1291" i="9"/>
  <c r="B1384" i="9"/>
  <c r="B1485" i="9"/>
  <c r="B1389" i="9"/>
  <c r="B1541" i="9"/>
  <c r="B1435" i="9"/>
  <c r="B1457" i="9"/>
  <c r="B1437" i="9"/>
  <c r="B1317" i="9"/>
  <c r="B1535" i="9"/>
  <c r="B1304" i="9"/>
  <c r="B1234" i="9"/>
  <c r="B1254" i="9"/>
  <c r="B1293" i="9"/>
  <c r="B1221" i="9"/>
  <c r="B1545" i="9"/>
  <c r="B1398" i="9"/>
  <c r="B1508" i="9"/>
  <c r="G37" i="13"/>
  <c r="B1555" i="9"/>
  <c r="B1560" i="9"/>
  <c r="H7" i="11"/>
  <c r="K316" i="9"/>
  <c r="B1602" i="9"/>
  <c r="I34" i="11"/>
  <c r="B1638" i="9"/>
  <c r="B1626" i="9"/>
  <c r="B1601" i="9"/>
  <c r="B1676" i="9"/>
  <c r="B1653" i="9"/>
  <c r="B1576" i="9"/>
  <c r="B1590" i="9"/>
  <c r="B1596" i="9"/>
  <c r="I16" i="11"/>
  <c r="P7" i="13"/>
  <c r="O7" i="13"/>
  <c r="I10" i="11"/>
  <c r="J10" i="11"/>
  <c r="K10" i="11"/>
  <c r="I15" i="11"/>
  <c r="J15" i="11"/>
  <c r="K15" i="11"/>
  <c r="P17" i="13"/>
  <c r="O17" i="13"/>
  <c r="O15" i="13"/>
  <c r="P15" i="13"/>
  <c r="P18" i="13"/>
  <c r="O18" i="13"/>
  <c r="O5" i="13"/>
  <c r="O10" i="13"/>
  <c r="P10" i="13"/>
  <c r="O11" i="13"/>
  <c r="P11" i="13"/>
  <c r="I19" i="11"/>
  <c r="J19" i="11"/>
  <c r="K19" i="11"/>
  <c r="P9" i="13"/>
  <c r="O9" i="13"/>
  <c r="I17" i="11"/>
  <c r="J17" i="11"/>
  <c r="K17" i="11"/>
  <c r="B29" i="13"/>
  <c r="P19" i="13"/>
  <c r="O19" i="13"/>
  <c r="D29" i="13"/>
  <c r="I9" i="11"/>
  <c r="J9" i="11"/>
  <c r="K9" i="11"/>
  <c r="P8" i="13"/>
  <c r="O8" i="13"/>
  <c r="P16" i="13"/>
  <c r="O16" i="13"/>
  <c r="P12" i="13"/>
  <c r="O12" i="13"/>
  <c r="K20" i="11"/>
  <c r="K16" i="11"/>
  <c r="K13" i="11"/>
  <c r="I13" i="11"/>
  <c r="J13" i="11"/>
  <c r="I14" i="11"/>
  <c r="J14" i="11"/>
  <c r="K14" i="11"/>
  <c r="J20" i="11"/>
  <c r="J6" i="11"/>
  <c r="I6" i="11"/>
  <c r="K18" i="11"/>
  <c r="K12" i="11"/>
  <c r="K8" i="11"/>
  <c r="J18" i="11"/>
  <c r="J12" i="11"/>
  <c r="J8" i="11"/>
  <c r="I12" i="11"/>
  <c r="I8" i="11"/>
  <c r="K11" i="11"/>
  <c r="K7" i="11"/>
  <c r="J11" i="11"/>
  <c r="J7" i="11"/>
  <c r="I11" i="11"/>
  <c r="B1578" i="9"/>
  <c r="B1589" i="9"/>
  <c r="B1603" i="9"/>
  <c r="B1664" i="9"/>
  <c r="B1577" i="9"/>
  <c r="B1588" i="9"/>
  <c r="B1640" i="9"/>
  <c r="B1628" i="9"/>
  <c r="B1616" i="9"/>
  <c r="B1651" i="9"/>
  <c r="B1639" i="9"/>
  <c r="B1627" i="9"/>
  <c r="B1615" i="9"/>
  <c r="B1665" i="9"/>
  <c r="B1694" i="9"/>
  <c r="B1682" i="9"/>
  <c r="B1670" i="9"/>
  <c r="B1575" i="9"/>
  <c r="B1591" i="9"/>
  <c r="B1595" i="9"/>
  <c r="D6" i="11"/>
  <c r="B1693" i="9"/>
  <c r="B1681" i="9"/>
  <c r="B1669" i="9"/>
  <c r="B1573" i="9"/>
  <c r="B1586" i="9"/>
  <c r="B1594" i="9"/>
  <c r="B1649" i="9"/>
  <c r="B1648" i="9"/>
  <c r="B1572" i="9"/>
  <c r="B1582" i="9"/>
  <c r="B1604" i="9"/>
  <c r="B1571" i="9"/>
  <c r="B1592" i="9"/>
  <c r="B1599" i="9"/>
  <c r="B1635" i="9"/>
  <c r="B1623" i="9"/>
  <c r="B1611" i="9"/>
  <c r="B1654" i="9"/>
  <c r="B1690" i="9"/>
  <c r="B1678" i="9"/>
  <c r="B1666" i="9"/>
  <c r="B1570" i="9"/>
  <c r="B1600" i="9"/>
  <c r="B1598" i="9"/>
  <c r="B1580" i="9"/>
  <c r="B1597" i="9"/>
  <c r="B1574" i="9"/>
  <c r="B1593" i="9"/>
  <c r="B1614" i="9"/>
  <c r="B1647" i="9"/>
  <c r="B1700" i="9"/>
  <c r="B1581" i="9"/>
  <c r="B1584" i="9"/>
  <c r="B1585" i="9"/>
  <c r="K1616" i="9"/>
  <c r="B1688" i="9"/>
  <c r="B1631" i="9"/>
  <c r="B1619" i="9"/>
  <c r="B1607" i="9"/>
  <c r="B1579" i="9"/>
  <c r="B1587" i="9"/>
  <c r="B1583" i="9"/>
  <c r="B1605" i="9"/>
  <c r="K34" i="11"/>
  <c r="I39" i="11"/>
  <c r="K1615" i="9"/>
  <c r="X30" i="11" s="1"/>
  <c r="B1630" i="9"/>
  <c r="B1618" i="9"/>
  <c r="B1606" i="9"/>
  <c r="B1697" i="9"/>
  <c r="B1685" i="9"/>
  <c r="B1673" i="9"/>
  <c r="E34" i="11"/>
  <c r="K39" i="11"/>
  <c r="C34" i="11"/>
  <c r="E6" i="11"/>
  <c r="C37" i="11"/>
  <c r="C6" i="11"/>
  <c r="B1613" i="9"/>
  <c r="B1637" i="9"/>
  <c r="B1625" i="9"/>
  <c r="K1651" i="9"/>
  <c r="B1699" i="9"/>
  <c r="B1687" i="9"/>
  <c r="B1675" i="9"/>
  <c r="B1663" i="9"/>
  <c r="G47" i="11"/>
  <c r="B1612" i="9"/>
  <c r="B1636" i="9"/>
  <c r="B1624" i="9"/>
  <c r="B1652" i="9"/>
  <c r="B1646" i="9"/>
  <c r="B1698" i="9"/>
  <c r="B1686" i="9"/>
  <c r="B1674" i="9"/>
  <c r="B1662" i="9"/>
  <c r="K1649" i="9"/>
  <c r="K1697" i="9"/>
  <c r="AG54" i="11" s="1"/>
  <c r="K1685" i="9"/>
  <c r="K1673" i="9"/>
  <c r="B1661" i="9"/>
  <c r="B1706" i="9"/>
  <c r="B1707" i="9"/>
  <c r="B1708" i="9"/>
  <c r="B1709" i="9"/>
  <c r="B1714" i="9"/>
  <c r="B1704" i="9"/>
  <c r="B1711" i="9"/>
  <c r="B1713" i="9"/>
  <c r="B1705" i="9"/>
  <c r="B1715" i="9"/>
  <c r="B1703" i="9"/>
  <c r="B1710" i="9"/>
  <c r="B1702" i="9"/>
  <c r="B1712" i="9"/>
  <c r="B1610" i="9"/>
  <c r="B1634" i="9"/>
  <c r="B1622" i="9"/>
  <c r="B1645" i="9"/>
  <c r="B1696" i="9"/>
  <c r="B1684" i="9"/>
  <c r="B1672" i="9"/>
  <c r="B1660" i="9"/>
  <c r="B1609" i="9"/>
  <c r="B1633" i="9"/>
  <c r="B1621" i="9"/>
  <c r="B1695" i="9"/>
  <c r="B1683" i="9"/>
  <c r="B1671" i="9"/>
  <c r="B1659" i="9"/>
  <c r="B1608" i="9"/>
  <c r="B1632" i="9"/>
  <c r="B1620" i="9"/>
  <c r="B1650" i="9"/>
  <c r="B1644" i="9"/>
  <c r="K1694" i="9"/>
  <c r="K1682" i="9"/>
  <c r="K1670" i="9"/>
  <c r="B1658" i="9"/>
  <c r="K1693" i="9"/>
  <c r="K1681" i="9"/>
  <c r="K1669" i="9"/>
  <c r="B1657" i="9"/>
  <c r="B1643" i="9"/>
  <c r="B1692" i="9"/>
  <c r="B1680" i="9"/>
  <c r="B1668" i="9"/>
  <c r="B1656" i="9"/>
  <c r="B1641" i="9"/>
  <c r="B1629" i="9"/>
  <c r="B1617" i="9"/>
  <c r="B1691" i="9"/>
  <c r="B1679" i="9"/>
  <c r="B1667" i="9"/>
  <c r="B1655" i="9"/>
  <c r="K5" i="9"/>
  <c r="G14" i="11"/>
  <c r="C13" i="11"/>
  <c r="H14" i="11"/>
  <c r="D13" i="11"/>
  <c r="D14" i="11"/>
  <c r="E13" i="11"/>
  <c r="E14" i="11"/>
  <c r="G13" i="11"/>
  <c r="H13" i="11"/>
  <c r="C14" i="11"/>
  <c r="B1642" i="9"/>
  <c r="K1654" i="9"/>
  <c r="K43" i="11" s="1"/>
  <c r="K1690" i="9"/>
  <c r="C35" i="11" s="1"/>
  <c r="K1678" i="9"/>
  <c r="K1666" i="9"/>
  <c r="B1701" i="9"/>
  <c r="B1689" i="9"/>
  <c r="B1677" i="9"/>
  <c r="Y17" i="13"/>
  <c r="W16" i="13"/>
  <c r="Z16" i="13"/>
  <c r="AA13" i="13"/>
  <c r="Z17" i="13"/>
  <c r="AA17" i="13"/>
  <c r="Y16" i="13"/>
  <c r="Z14" i="13"/>
  <c r="W15" i="13"/>
  <c r="X16" i="13"/>
  <c r="AA15" i="13"/>
  <c r="Y13" i="13"/>
  <c r="AA14" i="13"/>
  <c r="Z13" i="13"/>
  <c r="W14" i="13"/>
  <c r="Y14" i="13"/>
  <c r="W17" i="13"/>
  <c r="Z15" i="13"/>
  <c r="X14" i="13"/>
  <c r="AA16" i="13"/>
  <c r="W13" i="13"/>
  <c r="X17" i="13"/>
  <c r="X15" i="13"/>
  <c r="Y15" i="13"/>
  <c r="H20" i="13"/>
  <c r="K59" i="13"/>
  <c r="K58" i="13"/>
  <c r="K57" i="13"/>
  <c r="K64" i="13"/>
  <c r="K62" i="13"/>
  <c r="K61" i="13"/>
  <c r="K60" i="13"/>
  <c r="K56" i="13"/>
  <c r="K53" i="13"/>
  <c r="K63" i="13"/>
  <c r="K52" i="13"/>
  <c r="K54" i="13"/>
  <c r="K55" i="13"/>
  <c r="L53" i="13"/>
  <c r="Q17" i="13"/>
  <c r="Q6" i="13"/>
  <c r="AF22" i="11" l="1"/>
  <c r="AF35" i="11"/>
  <c r="AD198" i="11"/>
  <c r="AA23" i="11"/>
  <c r="V48" i="11"/>
  <c r="AG25" i="13" a="1"/>
  <c r="AG25" i="13" s="1"/>
  <c r="Y181" i="11"/>
  <c r="AA158" i="11"/>
  <c r="AF25" i="13" a="1"/>
  <c r="AF25" i="13" s="1"/>
  <c r="X7" i="11"/>
  <c r="Y36" i="11"/>
  <c r="B3" i="23"/>
  <c r="AA203" i="11"/>
  <c r="AF105" i="11"/>
  <c r="AD188" i="11"/>
  <c r="AF75" i="11"/>
  <c r="AA115" i="11"/>
  <c r="AA179" i="11"/>
  <c r="AI178" i="11"/>
  <c r="AI171" i="11"/>
  <c r="AI199" i="11"/>
  <c r="AG44" i="11"/>
  <c r="X176" i="11"/>
  <c r="Y192" i="11"/>
  <c r="O35" i="13"/>
  <c r="AD172" i="11"/>
  <c r="AA90" i="11"/>
  <c r="X152" i="11"/>
  <c r="AF149" i="11"/>
  <c r="AG12" i="11"/>
  <c r="AG113" i="11"/>
  <c r="AD101" i="11"/>
  <c r="X184" i="11"/>
  <c r="AA89" i="11"/>
  <c r="Y11" i="11"/>
  <c r="AA191" i="11"/>
  <c r="AD93" i="11"/>
  <c r="AI48" i="11"/>
  <c r="AD163" i="11"/>
  <c r="V79" i="11"/>
  <c r="AF165" i="11"/>
  <c r="Z39" i="13"/>
  <c r="V9" i="11"/>
  <c r="AG86" i="11"/>
  <c r="AD10" i="11"/>
  <c r="AI21" i="11"/>
  <c r="AA117" i="11"/>
  <c r="AG26" i="11"/>
  <c r="Q10" i="13"/>
  <c r="D52" i="13"/>
  <c r="L57" i="13"/>
  <c r="M57" i="13" s="1"/>
  <c r="Q7" i="13"/>
  <c r="AG115" i="11"/>
  <c r="AG27" i="13" a="1"/>
  <c r="AG27" i="13" s="1"/>
  <c r="AH27" i="13" s="1"/>
  <c r="Z32" i="13"/>
  <c r="AB39" i="13"/>
  <c r="O40" i="13"/>
  <c r="P30" i="13"/>
  <c r="P42" i="13"/>
  <c r="X181" i="11"/>
  <c r="AD152" i="11"/>
  <c r="Y164" i="11"/>
  <c r="V181" i="11"/>
  <c r="AI115" i="11"/>
  <c r="X203" i="11"/>
  <c r="AD33" i="11"/>
  <c r="AA32" i="13"/>
  <c r="AI156" i="11"/>
  <c r="P40" i="13"/>
  <c r="AG108" i="11"/>
  <c r="X158" i="11"/>
  <c r="AF115" i="11"/>
  <c r="Y105" i="11"/>
  <c r="P35" i="13"/>
  <c r="AG85" i="11"/>
  <c r="X43" i="11"/>
  <c r="AD115" i="11"/>
  <c r="AB32" i="13"/>
  <c r="AG176" i="11"/>
  <c r="AI77" i="11"/>
  <c r="AA181" i="11"/>
  <c r="AA39" i="13"/>
  <c r="AA25" i="11"/>
  <c r="I41" i="11"/>
  <c r="X80" i="11"/>
  <c r="Y203" i="11"/>
  <c r="AF100" i="11"/>
  <c r="Z37" i="13"/>
  <c r="AI109" i="11"/>
  <c r="AF162" i="11"/>
  <c r="AF29" i="11"/>
  <c r="Y158" i="11"/>
  <c r="AI198" i="11"/>
  <c r="V203" i="11"/>
  <c r="X81" i="11"/>
  <c r="AA72" i="11"/>
  <c r="K41" i="11"/>
  <c r="AD191" i="11"/>
  <c r="AA37" i="13"/>
  <c r="K37" i="11"/>
  <c r="C8" i="11"/>
  <c r="M8" i="11" s="1"/>
  <c r="V37" i="11"/>
  <c r="V158" i="11"/>
  <c r="AG198" i="11"/>
  <c r="AF26" i="11"/>
  <c r="AI33" i="11"/>
  <c r="D10" i="11"/>
  <c r="N10" i="11" s="1"/>
  <c r="AD58" i="11"/>
  <c r="I37" i="11"/>
  <c r="O42" i="13"/>
  <c r="AF198" i="11"/>
  <c r="AG33" i="11"/>
  <c r="AB37" i="13"/>
  <c r="AA16" i="11"/>
  <c r="AF214" i="11"/>
  <c r="AA17" i="11"/>
  <c r="AF193" i="11"/>
  <c r="F52" i="13"/>
  <c r="AF11" i="11"/>
  <c r="V8" i="11"/>
  <c r="AG101" i="11"/>
  <c r="AF171" i="11"/>
  <c r="AD59" i="11"/>
  <c r="AG214" i="11"/>
  <c r="AI166" i="11"/>
  <c r="Y17" i="11"/>
  <c r="AI170" i="11"/>
  <c r="X101" i="11"/>
  <c r="X110" i="11"/>
  <c r="AG16" i="11"/>
  <c r="AI179" i="11"/>
  <c r="AF107" i="11"/>
  <c r="AI110" i="11"/>
  <c r="AA51" i="11"/>
  <c r="AG82" i="11"/>
  <c r="AI76" i="11"/>
  <c r="AF215" i="11"/>
  <c r="V40" i="11"/>
  <c r="Y39" i="11"/>
  <c r="AF47" i="11"/>
  <c r="AD193" i="11"/>
  <c r="AG207" i="11"/>
  <c r="V184" i="11"/>
  <c r="Y89" i="11"/>
  <c r="AD174" i="11"/>
  <c r="X49" i="11"/>
  <c r="AI172" i="11"/>
  <c r="AA204" i="11"/>
  <c r="V165" i="11"/>
  <c r="AD113" i="11"/>
  <c r="X39" i="11"/>
  <c r="AG179" i="11"/>
  <c r="AI8" i="11"/>
  <c r="V201" i="11"/>
  <c r="AI60" i="11"/>
  <c r="AA100" i="11"/>
  <c r="AA160" i="11"/>
  <c r="X21" i="11"/>
  <c r="AD63" i="11"/>
  <c r="Y110" i="11"/>
  <c r="X10" i="11"/>
  <c r="AI93" i="11"/>
  <c r="AG60" i="11"/>
  <c r="AD180" i="11"/>
  <c r="AF86" i="11"/>
  <c r="Y26" i="11"/>
  <c r="AI165" i="11"/>
  <c r="V110" i="11"/>
  <c r="X9" i="11"/>
  <c r="V51" i="11"/>
  <c r="AD75" i="11"/>
  <c r="AF44" i="11"/>
  <c r="Y86" i="11"/>
  <c r="AI52" i="11"/>
  <c r="X57" i="11"/>
  <c r="AI65" i="11"/>
  <c r="AI215" i="11"/>
  <c r="AG48" i="11"/>
  <c r="AI188" i="11"/>
  <c r="AA54" i="11"/>
  <c r="V191" i="11"/>
  <c r="AF186" i="11"/>
  <c r="X65" i="11"/>
  <c r="AA152" i="11"/>
  <c r="V115" i="11"/>
  <c r="AG209" i="11"/>
  <c r="AG174" i="11"/>
  <c r="AI180" i="11"/>
  <c r="AA165" i="11"/>
  <c r="X187" i="11"/>
  <c r="Y35" i="11"/>
  <c r="X109" i="11"/>
  <c r="AF12" i="11"/>
  <c r="X53" i="11"/>
  <c r="AI22" i="11"/>
  <c r="AF166" i="11"/>
  <c r="AD199" i="11"/>
  <c r="AF199" i="11"/>
  <c r="AG170" i="11"/>
  <c r="V35" i="11"/>
  <c r="AF92" i="11"/>
  <c r="AG181" i="11"/>
  <c r="X17" i="11"/>
  <c r="Y58" i="11"/>
  <c r="AG99" i="11"/>
  <c r="AI214" i="11"/>
  <c r="AG157" i="11"/>
  <c r="AA40" i="11"/>
  <c r="Y10" i="11"/>
  <c r="Y100" i="11"/>
  <c r="V21" i="11"/>
  <c r="Y21" i="11"/>
  <c r="AF63" i="11"/>
  <c r="X156" i="11"/>
  <c r="V153" i="11"/>
  <c r="AF113" i="11"/>
  <c r="X179" i="11"/>
  <c r="Y177" i="11"/>
  <c r="AG87" i="11"/>
  <c r="AI101" i="11"/>
  <c r="V39" i="11"/>
  <c r="AG92" i="11"/>
  <c r="Y87" i="11"/>
  <c r="AD165" i="11"/>
  <c r="AF207" i="11"/>
  <c r="Y115" i="11"/>
  <c r="X117" i="11"/>
  <c r="AI181" i="11"/>
  <c r="X73" i="11"/>
  <c r="Y8" i="11"/>
  <c r="V17" i="11"/>
  <c r="V7" i="11"/>
  <c r="AF34" i="11"/>
  <c r="AG62" i="11"/>
  <c r="AI34" i="11"/>
  <c r="X58" i="11"/>
  <c r="X54" i="11"/>
  <c r="AD149" i="11"/>
  <c r="AD107" i="11"/>
  <c r="X191" i="11"/>
  <c r="V192" i="11"/>
  <c r="AD215" i="11"/>
  <c r="AG11" i="11"/>
  <c r="AA101" i="11"/>
  <c r="AG166" i="11"/>
  <c r="X206" i="11"/>
  <c r="Y172" i="11"/>
  <c r="AG89" i="11"/>
  <c r="AI177" i="11"/>
  <c r="AD105" i="11"/>
  <c r="AD35" i="11"/>
  <c r="AA153" i="11"/>
  <c r="AI99" i="11"/>
  <c r="Y187" i="11"/>
  <c r="Y184" i="11"/>
  <c r="AA187" i="11"/>
  <c r="AG45" i="11"/>
  <c r="AI59" i="11"/>
  <c r="AG171" i="11"/>
  <c r="AG21" i="11"/>
  <c r="V87" i="11"/>
  <c r="AD52" i="11"/>
  <c r="AD207" i="11"/>
  <c r="AF181" i="11"/>
  <c r="X105" i="11"/>
  <c r="Y117" i="11"/>
  <c r="AF96" i="11"/>
  <c r="AG178" i="11"/>
  <c r="AA9" i="11"/>
  <c r="X11" i="11"/>
  <c r="V11" i="11"/>
  <c r="AG188" i="11"/>
  <c r="AG90" i="11"/>
  <c r="AA57" i="11"/>
  <c r="Y51" i="11"/>
  <c r="AD8" i="11"/>
  <c r="AD22" i="11"/>
  <c r="AI107" i="11"/>
  <c r="AD65" i="11"/>
  <c r="Y191" i="11"/>
  <c r="AD74" i="11"/>
  <c r="V101" i="11"/>
  <c r="X100" i="11"/>
  <c r="AG110" i="11"/>
  <c r="Y204" i="11"/>
  <c r="AD47" i="11"/>
  <c r="Y160" i="11"/>
  <c r="X162" i="11"/>
  <c r="AG199" i="11"/>
  <c r="X116" i="11"/>
  <c r="AA106" i="11"/>
  <c r="X26" i="11"/>
  <c r="V26" i="11"/>
  <c r="AI35" i="11"/>
  <c r="AA26" i="11"/>
  <c r="Y153" i="11"/>
  <c r="AF170" i="11"/>
  <c r="V187" i="11"/>
  <c r="AA177" i="11"/>
  <c r="Y180" i="11"/>
  <c r="AF87" i="11"/>
  <c r="AG59" i="11"/>
  <c r="AF21" i="11"/>
  <c r="AD92" i="11"/>
  <c r="AA76" i="11"/>
  <c r="AI10" i="11"/>
  <c r="X89" i="11"/>
  <c r="AA86" i="11"/>
  <c r="X104" i="11"/>
  <c r="AF82" i="11"/>
  <c r="AD96" i="11"/>
  <c r="Y73" i="11"/>
  <c r="AF178" i="11"/>
  <c r="AA8" i="11"/>
  <c r="AA11" i="11"/>
  <c r="AF90" i="11"/>
  <c r="AF62" i="11"/>
  <c r="Y54" i="11"/>
  <c r="V58" i="11"/>
  <c r="AI149" i="11"/>
  <c r="AG163" i="11"/>
  <c r="AF60" i="11"/>
  <c r="AG215" i="11"/>
  <c r="V100" i="11"/>
  <c r="AF110" i="11"/>
  <c r="V172" i="11"/>
  <c r="AA172" i="11"/>
  <c r="X153" i="11"/>
  <c r="AF99" i="11"/>
  <c r="V177" i="11"/>
  <c r="V180" i="11"/>
  <c r="AD171" i="11"/>
  <c r="AF45" i="11"/>
  <c r="AF157" i="11"/>
  <c r="AA39" i="11"/>
  <c r="AI106" i="11"/>
  <c r="V89" i="11"/>
  <c r="V86" i="11"/>
  <c r="AF179" i="11"/>
  <c r="AG165" i="11"/>
  <c r="V117" i="11"/>
  <c r="Y109" i="11"/>
  <c r="AF209" i="11"/>
  <c r="AD12" i="11"/>
  <c r="AD26" i="11"/>
  <c r="V10" i="11"/>
  <c r="AD76" i="11"/>
  <c r="AF48" i="11"/>
  <c r="AG76" i="11"/>
  <c r="Y49" i="11"/>
  <c r="Y57" i="11"/>
  <c r="AG107" i="11"/>
  <c r="AD60" i="11"/>
  <c r="AD11" i="11"/>
  <c r="AA96" i="11"/>
  <c r="AD166" i="11"/>
  <c r="X204" i="11"/>
  <c r="V204" i="11"/>
  <c r="AI47" i="11"/>
  <c r="V160" i="11"/>
  <c r="X172" i="11"/>
  <c r="AG173" i="11"/>
  <c r="O31" i="13"/>
  <c r="X150" i="11"/>
  <c r="AF192" i="11"/>
  <c r="AA71" i="11"/>
  <c r="X23" i="11"/>
  <c r="AA21" i="11"/>
  <c r="AG35" i="11"/>
  <c r="AD170" i="11"/>
  <c r="AA180" i="11"/>
  <c r="Y179" i="11"/>
  <c r="AF101" i="11"/>
  <c r="X40" i="11"/>
  <c r="AG106" i="11"/>
  <c r="AA88" i="11"/>
  <c r="X88" i="11"/>
  <c r="AG52" i="11"/>
  <c r="AA105" i="11"/>
  <c r="AD82" i="11"/>
  <c r="V73" i="11"/>
  <c r="Y18" i="11"/>
  <c r="X8" i="11"/>
  <c r="Y9" i="11"/>
  <c r="AD34" i="11"/>
  <c r="AD90" i="11"/>
  <c r="AG34" i="11"/>
  <c r="V54" i="11"/>
  <c r="AG8" i="11"/>
  <c r="AA49" i="11"/>
  <c r="AG93" i="11"/>
  <c r="AG65" i="11"/>
  <c r="AG22" i="11"/>
  <c r="AA201" i="11"/>
  <c r="AI74" i="11"/>
  <c r="AD110" i="11"/>
  <c r="Y162" i="11"/>
  <c r="X165" i="11"/>
  <c r="X160" i="11"/>
  <c r="AI86" i="11"/>
  <c r="AD86" i="11"/>
  <c r="AI105" i="11"/>
  <c r="Y152" i="11"/>
  <c r="AD99" i="11"/>
  <c r="AD214" i="11"/>
  <c r="X177" i="11"/>
  <c r="AA185" i="11"/>
  <c r="AF59" i="11"/>
  <c r="AA35" i="11"/>
  <c r="AD21" i="11"/>
  <c r="X87" i="11"/>
  <c r="AI193" i="11"/>
  <c r="X76" i="11"/>
  <c r="AG10" i="11"/>
  <c r="V109" i="11"/>
  <c r="AD209" i="11"/>
  <c r="AI26" i="11"/>
  <c r="AI82" i="11"/>
  <c r="AD178" i="11"/>
  <c r="AA7" i="11"/>
  <c r="AA10" i="11"/>
  <c r="AF188" i="11"/>
  <c r="AD48" i="11"/>
  <c r="AD62" i="11"/>
  <c r="V57" i="11"/>
  <c r="X48" i="11"/>
  <c r="V49" i="11"/>
  <c r="AG149" i="11"/>
  <c r="AA53" i="11"/>
  <c r="Y199" i="11"/>
  <c r="V199" i="11"/>
  <c r="Y201" i="11"/>
  <c r="AG172" i="11"/>
  <c r="AI11" i="11"/>
  <c r="AG180" i="11"/>
  <c r="AI75" i="11"/>
  <c r="V162" i="11"/>
  <c r="Y165" i="11"/>
  <c r="AI44" i="11"/>
  <c r="AD44" i="11"/>
  <c r="Y95" i="11"/>
  <c r="AG57" i="11"/>
  <c r="AG37" i="11"/>
  <c r="AA157" i="11"/>
  <c r="Y23" i="11"/>
  <c r="AI63" i="11"/>
  <c r="V152" i="11"/>
  <c r="AA156" i="11"/>
  <c r="AI113" i="11"/>
  <c r="Y176" i="11"/>
  <c r="X180" i="11"/>
  <c r="V179" i="11"/>
  <c r="AI87" i="11"/>
  <c r="AD87" i="11"/>
  <c r="AD157" i="11"/>
  <c r="X35" i="11"/>
  <c r="AF106" i="11"/>
  <c r="X86" i="11"/>
  <c r="Y88" i="11"/>
  <c r="X79" i="11"/>
  <c r="AI207" i="11"/>
  <c r="Y104" i="11"/>
  <c r="AA109" i="11"/>
  <c r="X115" i="11"/>
  <c r="AI96" i="11"/>
  <c r="AD181" i="11"/>
  <c r="AA110" i="11"/>
  <c r="AI62" i="11"/>
  <c r="X51" i="11"/>
  <c r="Y53" i="11"/>
  <c r="AF93" i="11"/>
  <c r="AF163" i="11"/>
  <c r="AA192" i="11"/>
  <c r="X201" i="11"/>
  <c r="AG74" i="11"/>
  <c r="Y90" i="11"/>
  <c r="Y96" i="11"/>
  <c r="AG47" i="11"/>
  <c r="AA162" i="11"/>
  <c r="AF16" i="11"/>
  <c r="V23" i="11"/>
  <c r="AG105" i="11"/>
  <c r="Y156" i="11"/>
  <c r="Y185" i="11"/>
  <c r="AA176" i="11"/>
  <c r="X185" i="11"/>
  <c r="AI45" i="11"/>
  <c r="AD45" i="11"/>
  <c r="Y40" i="11"/>
  <c r="AD106" i="11"/>
  <c r="AI92" i="11"/>
  <c r="Y79" i="11"/>
  <c r="Y76" i="11"/>
  <c r="AF52" i="11"/>
  <c r="AG193" i="11"/>
  <c r="AF10" i="11"/>
  <c r="AA104" i="11"/>
  <c r="AI12" i="11"/>
  <c r="AI209" i="11"/>
  <c r="V18" i="11"/>
  <c r="Y7" i="11"/>
  <c r="AF174" i="11"/>
  <c r="AI90" i="11"/>
  <c r="AI174" i="11"/>
  <c r="Y48" i="11"/>
  <c r="X192" i="11"/>
  <c r="AA199" i="11"/>
  <c r="AF172" i="11"/>
  <c r="V90" i="11"/>
  <c r="V96" i="11"/>
  <c r="AF180" i="11"/>
  <c r="Y206" i="11"/>
  <c r="AG75" i="11"/>
  <c r="AI16" i="11"/>
  <c r="AF68" i="11"/>
  <c r="AG63" i="11"/>
  <c r="V156" i="11"/>
  <c r="AA184" i="11"/>
  <c r="AI157" i="11"/>
  <c r="AA79" i="11"/>
  <c r="V88" i="11"/>
  <c r="AA87" i="11"/>
  <c r="AD179" i="11"/>
  <c r="V104" i="11"/>
  <c r="AG96" i="11"/>
  <c r="AA73" i="11"/>
  <c r="X18" i="11"/>
  <c r="AA18" i="11"/>
  <c r="AA58" i="11"/>
  <c r="V53" i="11"/>
  <c r="AF8" i="11"/>
  <c r="AA48" i="11"/>
  <c r="AF65" i="11"/>
  <c r="X199" i="11"/>
  <c r="AF74" i="11"/>
  <c r="X96" i="11"/>
  <c r="X90" i="11"/>
  <c r="V206" i="11"/>
  <c r="AD16" i="11"/>
  <c r="O30" i="13"/>
  <c r="V176" i="11"/>
  <c r="V185" i="11"/>
  <c r="V76" i="11"/>
  <c r="V105" i="11"/>
  <c r="AF76" i="11"/>
  <c r="AI163" i="11"/>
  <c r="Y101" i="11"/>
  <c r="AA206" i="11"/>
  <c r="E9" i="11"/>
  <c r="O9" i="11" s="1"/>
  <c r="D9" i="11"/>
  <c r="N9" i="11" s="1"/>
  <c r="E37" i="11"/>
  <c r="C9" i="11"/>
  <c r="AD204" i="11"/>
  <c r="F3" i="23"/>
  <c r="AG26" i="13" a="1"/>
  <c r="AG26" i="13" s="1"/>
  <c r="E18" i="11"/>
  <c r="O18" i="11" s="1"/>
  <c r="D42" i="13"/>
  <c r="C44" i="11"/>
  <c r="K38" i="11"/>
  <c r="E11" i="11"/>
  <c r="O11" i="11" s="1"/>
  <c r="C43" i="11"/>
  <c r="E42" i="11"/>
  <c r="E16" i="11"/>
  <c r="O16" i="11" s="1"/>
  <c r="C42" i="11"/>
  <c r="D18" i="11"/>
  <c r="Z33" i="13" a="1"/>
  <c r="Z33" i="13" s="1"/>
  <c r="E44" i="11"/>
  <c r="C18" i="11"/>
  <c r="M18" i="11" s="1"/>
  <c r="K40" i="11"/>
  <c r="I40" i="11"/>
  <c r="C12" i="11"/>
  <c r="M12" i="11" s="1"/>
  <c r="C17" i="11"/>
  <c r="M17" i="11" s="1"/>
  <c r="D16" i="11"/>
  <c r="N16" i="11" s="1"/>
  <c r="E17" i="11"/>
  <c r="C16" i="11"/>
  <c r="M16" i="11" s="1"/>
  <c r="D17" i="11"/>
  <c r="N17" i="11" s="1"/>
  <c r="E43" i="11"/>
  <c r="I44" i="11"/>
  <c r="K44" i="11"/>
  <c r="AB31" i="13"/>
  <c r="O43" i="13"/>
  <c r="Z40" i="13"/>
  <c r="K42" i="11"/>
  <c r="K36" i="11"/>
  <c r="I42" i="11"/>
  <c r="I36" i="11"/>
  <c r="L54" i="13"/>
  <c r="M54" i="13" s="1"/>
  <c r="AF85" i="11"/>
  <c r="Y150" i="11"/>
  <c r="AG71" i="11"/>
  <c r="N1236" i="9"/>
  <c r="C37" i="13" s="1"/>
  <c r="AI189" i="11"/>
  <c r="V151" i="11"/>
  <c r="AG15" i="11"/>
  <c r="X36" i="11"/>
  <c r="V36" i="11"/>
  <c r="AA80" i="11"/>
  <c r="AG109" i="11"/>
  <c r="Y74" i="11"/>
  <c r="X64" i="11"/>
  <c r="AI192" i="11"/>
  <c r="Y59" i="11"/>
  <c r="AA188" i="11"/>
  <c r="AG158" i="11"/>
  <c r="X97" i="11"/>
  <c r="AF124" i="11"/>
  <c r="V164" i="11"/>
  <c r="AD72" i="11"/>
  <c r="N287" i="9"/>
  <c r="N1711" i="9"/>
  <c r="AD189" i="11"/>
  <c r="Y174" i="11"/>
  <c r="AI17" i="11"/>
  <c r="AD17" i="11"/>
  <c r="AA36" i="11"/>
  <c r="AF50" i="11"/>
  <c r="V80" i="11"/>
  <c r="AD109" i="11"/>
  <c r="AG40" i="11"/>
  <c r="Y62" i="11"/>
  <c r="AI9" i="11"/>
  <c r="Y16" i="11"/>
  <c r="AD160" i="11"/>
  <c r="AI191" i="11"/>
  <c r="X188" i="11"/>
  <c r="Y102" i="11"/>
  <c r="V92" i="11"/>
  <c r="AF114" i="11"/>
  <c r="Y146" i="11"/>
  <c r="AA174" i="11"/>
  <c r="AD162" i="11"/>
  <c r="Y82" i="11"/>
  <c r="AD192" i="11"/>
  <c r="V16" i="11"/>
  <c r="X60" i="11"/>
  <c r="V59" i="11"/>
  <c r="AA60" i="11"/>
  <c r="AG177" i="11"/>
  <c r="AG18" i="11"/>
  <c r="V95" i="11"/>
  <c r="AF194" i="11"/>
  <c r="AI53" i="11"/>
  <c r="AD53" i="11"/>
  <c r="AD100" i="11"/>
  <c r="AG189" i="11"/>
  <c r="V150" i="11"/>
  <c r="AA150" i="11"/>
  <c r="X149" i="11"/>
  <c r="AD85" i="11"/>
  <c r="AF57" i="11"/>
  <c r="AD7" i="11"/>
  <c r="AA82" i="11"/>
  <c r="X74" i="11"/>
  <c r="V74" i="11"/>
  <c r="AF9" i="11"/>
  <c r="AG160" i="11"/>
  <c r="AF158" i="11"/>
  <c r="V102" i="11"/>
  <c r="AA102" i="11"/>
  <c r="V85" i="11"/>
  <c r="AF15" i="11"/>
  <c r="AF71" i="11"/>
  <c r="V174" i="11"/>
  <c r="X174" i="11"/>
  <c r="AI50" i="11"/>
  <c r="V82" i="11"/>
  <c r="AF66" i="11"/>
  <c r="AF40" i="11"/>
  <c r="X62" i="11"/>
  <c r="V62" i="11"/>
  <c r="AG150" i="11"/>
  <c r="AG192" i="11"/>
  <c r="AI37" i="11"/>
  <c r="AF191" i="11"/>
  <c r="X93" i="11"/>
  <c r="AD124" i="11"/>
  <c r="AI124" i="11"/>
  <c r="X166" i="11"/>
  <c r="AI72" i="11"/>
  <c r="N24" i="9"/>
  <c r="Y32" i="11"/>
  <c r="Y149" i="11"/>
  <c r="V146" i="11"/>
  <c r="AA146" i="11"/>
  <c r="AG17" i="11"/>
  <c r="Y34" i="11"/>
  <c r="AD50" i="11"/>
  <c r="AI66" i="11"/>
  <c r="X106" i="11"/>
  <c r="AF37" i="11"/>
  <c r="AA74" i="11"/>
  <c r="AD177" i="11"/>
  <c r="AA198" i="11"/>
  <c r="AF18" i="11"/>
  <c r="AA164" i="11"/>
  <c r="Y166" i="11"/>
  <c r="X34" i="11"/>
  <c r="AG7" i="11"/>
  <c r="AI162" i="11"/>
  <c r="X82" i="11"/>
  <c r="X71" i="11"/>
  <c r="AD9" i="11"/>
  <c r="AA62" i="11"/>
  <c r="Y60" i="11"/>
  <c r="Y188" i="11"/>
  <c r="AD158" i="11"/>
  <c r="Y93" i="11"/>
  <c r="AD194" i="11"/>
  <c r="AI194" i="11"/>
  <c r="Y202" i="11"/>
  <c r="AG72" i="11"/>
  <c r="AI100" i="11"/>
  <c r="N13" i="9"/>
  <c r="V32" i="11"/>
  <c r="V149" i="11"/>
  <c r="AA149" i="11"/>
  <c r="AI57" i="11"/>
  <c r="AD57" i="11"/>
  <c r="AD71" i="11"/>
  <c r="Y44" i="11"/>
  <c r="AI7" i="11"/>
  <c r="Y106" i="11"/>
  <c r="AD40" i="11"/>
  <c r="Y64" i="11"/>
  <c r="AF150" i="11"/>
  <c r="AG9" i="11"/>
  <c r="X16" i="11"/>
  <c r="X59" i="11"/>
  <c r="AA59" i="11"/>
  <c r="V188" i="11"/>
  <c r="X198" i="11"/>
  <c r="AA93" i="11"/>
  <c r="Y97" i="11"/>
  <c r="AG53" i="11"/>
  <c r="AA202" i="11"/>
  <c r="AA166" i="11"/>
  <c r="X164" i="11"/>
  <c r="V166" i="11"/>
  <c r="N154" i="9"/>
  <c r="N1200" i="9"/>
  <c r="AF189" i="11"/>
  <c r="X151" i="11"/>
  <c r="AI15" i="11"/>
  <c r="AD15" i="11"/>
  <c r="AA34" i="11"/>
  <c r="V34" i="11"/>
  <c r="AG162" i="11"/>
  <c r="AF109" i="11"/>
  <c r="V64" i="11"/>
  <c r="Y71" i="11"/>
  <c r="AD37" i="11"/>
  <c r="AA64" i="11"/>
  <c r="AI150" i="11"/>
  <c r="AF160" i="11"/>
  <c r="AI158" i="11"/>
  <c r="AD18" i="11"/>
  <c r="V97" i="11"/>
  <c r="AA97" i="11"/>
  <c r="AI81" i="11"/>
  <c r="AI19" i="11"/>
  <c r="AG100" i="11"/>
  <c r="N739" i="9"/>
  <c r="X146" i="11"/>
  <c r="AF17" i="11"/>
  <c r="V44" i="11"/>
  <c r="X44" i="11"/>
  <c r="AG50" i="11"/>
  <c r="AD66" i="11"/>
  <c r="AI40" i="11"/>
  <c r="V71" i="11"/>
  <c r="AD150" i="11"/>
  <c r="V60" i="11"/>
  <c r="AG191" i="11"/>
  <c r="Y198" i="11"/>
  <c r="V93" i="11"/>
  <c r="AG194" i="11"/>
  <c r="AG81" i="11"/>
  <c r="X202" i="11"/>
  <c r="V202" i="11"/>
  <c r="AG19" i="11"/>
  <c r="AF72" i="11"/>
  <c r="N1071" i="9"/>
  <c r="N30" i="9"/>
  <c r="Y151" i="11"/>
  <c r="AI71" i="11"/>
  <c r="AI85" i="11"/>
  <c r="AG66" i="11"/>
  <c r="V106" i="11"/>
  <c r="AI160" i="11"/>
  <c r="AF177" i="11"/>
  <c r="AF81" i="11"/>
  <c r="AF19" i="11"/>
  <c r="N948" i="9"/>
  <c r="AA32" i="11"/>
  <c r="X32" i="11"/>
  <c r="AA151" i="11"/>
  <c r="AA44" i="11"/>
  <c r="AF7" i="11"/>
  <c r="Y80" i="11"/>
  <c r="V198" i="11"/>
  <c r="AI18" i="11"/>
  <c r="AA95" i="11"/>
  <c r="X95" i="11"/>
  <c r="X102" i="11"/>
  <c r="AD81" i="11"/>
  <c r="AF53" i="11"/>
  <c r="AD19" i="11"/>
  <c r="AF61" i="11"/>
  <c r="C19" i="11"/>
  <c r="D19" i="11"/>
  <c r="N19" i="11" s="1"/>
  <c r="C45" i="11"/>
  <c r="AG167" i="11"/>
  <c r="V159" i="11"/>
  <c r="AF67" i="11"/>
  <c r="AD104" i="11"/>
  <c r="AF26" i="13" a="1"/>
  <c r="AF26" i="13" s="1"/>
  <c r="AD78" i="11"/>
  <c r="AG28" i="13" a="1"/>
  <c r="AG28" i="13" s="1"/>
  <c r="AH28" i="13" s="1"/>
  <c r="L64" i="13"/>
  <c r="M64" i="13" s="1"/>
  <c r="Q15" i="13"/>
  <c r="L60" i="13"/>
  <c r="M60" i="13" s="1"/>
  <c r="Q11" i="13"/>
  <c r="L62" i="13"/>
  <c r="M62" i="13" s="1"/>
  <c r="L56" i="13"/>
  <c r="M56" i="13" s="1"/>
  <c r="Q19" i="13"/>
  <c r="L59" i="13"/>
  <c r="M59" i="13" s="1"/>
  <c r="Q18" i="13"/>
  <c r="L63" i="13"/>
  <c r="M63" i="13" s="1"/>
  <c r="L61" i="13"/>
  <c r="M61" i="13" s="1"/>
  <c r="L15" i="11"/>
  <c r="J5" i="13"/>
  <c r="W14" i="11" s="1"/>
  <c r="AB34" i="13"/>
  <c r="X103" i="11"/>
  <c r="AD213" i="11"/>
  <c r="AB26" i="13" a="1"/>
  <c r="AB26" i="13" s="1"/>
  <c r="AA26" i="13" a="1"/>
  <c r="AA26" i="13" s="1"/>
  <c r="V61" i="11"/>
  <c r="AA34" i="13"/>
  <c r="Z34" i="13"/>
  <c r="C41" i="11"/>
  <c r="AB33" i="13" a="1"/>
  <c r="AB33" i="13" s="1"/>
  <c r="AA33" i="13" a="1"/>
  <c r="AA33" i="13" s="1"/>
  <c r="Z26" i="13" a="1"/>
  <c r="Z26" i="13" s="1"/>
  <c r="X113" i="11"/>
  <c r="AF79" i="11"/>
  <c r="V157" i="11"/>
  <c r="AA75" i="11"/>
  <c r="AG201" i="11"/>
  <c r="AA78" i="11"/>
  <c r="AF80" i="11"/>
  <c r="V195" i="11"/>
  <c r="X214" i="11"/>
  <c r="AF159" i="11"/>
  <c r="Y209" i="11"/>
  <c r="AI94" i="11"/>
  <c r="AG43" i="11"/>
  <c r="Y31" i="11"/>
  <c r="AF91" i="11"/>
  <c r="AF77" i="11"/>
  <c r="AI91" i="11"/>
  <c r="AF184" i="11"/>
  <c r="V147" i="11"/>
  <c r="AB154" i="11"/>
  <c r="AC154" i="11" s="1"/>
  <c r="AL154" i="11" s="1"/>
  <c r="AJ127" i="11"/>
  <c r="AK127" i="11" s="1"/>
  <c r="AL127" i="11" s="1"/>
  <c r="AG200" i="11"/>
  <c r="X37" i="11"/>
  <c r="AF64" i="11"/>
  <c r="AF151" i="11"/>
  <c r="Y114" i="11"/>
  <c r="AD153" i="11"/>
  <c r="V67" i="11"/>
  <c r="Y75" i="11"/>
  <c r="AG51" i="11"/>
  <c r="AF23" i="11"/>
  <c r="AB14" i="11"/>
  <c r="AC14" i="11" s="1"/>
  <c r="AL14" i="11" s="1"/>
  <c r="AJ20" i="11"/>
  <c r="AK20" i="11" s="1"/>
  <c r="AI36" i="11"/>
  <c r="AD36" i="11"/>
  <c r="AA193" i="11"/>
  <c r="AA200" i="11"/>
  <c r="AA195" i="11"/>
  <c r="AI102" i="11"/>
  <c r="AD102" i="11"/>
  <c r="AF116" i="11"/>
  <c r="AI88" i="11"/>
  <c r="Y99" i="11"/>
  <c r="X91" i="11"/>
  <c r="AF25" i="11"/>
  <c r="AI39" i="11"/>
  <c r="X207" i="11"/>
  <c r="AA215" i="11"/>
  <c r="Y207" i="11"/>
  <c r="V213" i="11"/>
  <c r="AF89" i="11"/>
  <c r="AG159" i="11"/>
  <c r="V163" i="11"/>
  <c r="X167" i="11"/>
  <c r="Y170" i="11"/>
  <c r="Y167" i="11"/>
  <c r="AA171" i="11"/>
  <c r="AF185" i="11"/>
  <c r="AG213" i="11"/>
  <c r="AJ142" i="11"/>
  <c r="AK142" i="11" s="1"/>
  <c r="AL142" i="11" s="1"/>
  <c r="E46" i="11"/>
  <c r="X29" i="11"/>
  <c r="AF49" i="11"/>
  <c r="AG161" i="11"/>
  <c r="AA30" i="11"/>
  <c r="AI49" i="11"/>
  <c r="AA148" i="11"/>
  <c r="X148" i="11"/>
  <c r="AI184" i="11"/>
  <c r="AI29" i="11"/>
  <c r="Y186" i="11"/>
  <c r="AA178" i="11"/>
  <c r="AA47" i="11"/>
  <c r="AG190" i="11"/>
  <c r="AG204" i="11"/>
  <c r="AD148" i="11"/>
  <c r="AB77" i="11"/>
  <c r="AC77" i="11" s="1"/>
  <c r="AB84" i="11"/>
  <c r="AC84" i="11" s="1"/>
  <c r="AL84" i="11" s="1"/>
  <c r="Y81" i="11"/>
  <c r="AD95" i="11"/>
  <c r="Y116" i="11"/>
  <c r="AF167" i="11"/>
  <c r="AA114" i="11"/>
  <c r="AF195" i="11"/>
  <c r="AG153" i="11"/>
  <c r="Y63" i="11"/>
  <c r="AA63" i="11"/>
  <c r="AF206" i="11"/>
  <c r="AF164" i="11"/>
  <c r="X12" i="11"/>
  <c r="AA12" i="11"/>
  <c r="AI146" i="11"/>
  <c r="AA15" i="11"/>
  <c r="X52" i="11"/>
  <c r="AA52" i="11"/>
  <c r="X193" i="11"/>
  <c r="AB197" i="11"/>
  <c r="AC197" i="11" s="1"/>
  <c r="AL197" i="11" s="1"/>
  <c r="AI46" i="11"/>
  <c r="Y103" i="11"/>
  <c r="AA91" i="11"/>
  <c r="AD208" i="11"/>
  <c r="Y212" i="11"/>
  <c r="AA213" i="11"/>
  <c r="AD159" i="11"/>
  <c r="AI187" i="11"/>
  <c r="AI89" i="11"/>
  <c r="AG103" i="11"/>
  <c r="AA163" i="11"/>
  <c r="AA173" i="11"/>
  <c r="AI185" i="11"/>
  <c r="AI114" i="11"/>
  <c r="AD114" i="11"/>
  <c r="C20" i="11"/>
  <c r="M20" i="11" s="1"/>
  <c r="V31" i="11"/>
  <c r="Y22" i="11"/>
  <c r="AA24" i="11"/>
  <c r="AD43" i="11"/>
  <c r="AD29" i="11"/>
  <c r="AG73" i="11"/>
  <c r="AB42" i="11"/>
  <c r="AC42" i="11" s="1"/>
  <c r="AL42" i="11" s="1"/>
  <c r="AF176" i="11"/>
  <c r="AG148" i="11"/>
  <c r="X78" i="11"/>
  <c r="AA81" i="11"/>
  <c r="AI151" i="11"/>
  <c r="AD38" i="11"/>
  <c r="AA107" i="11"/>
  <c r="AI195" i="11"/>
  <c r="Y66" i="11"/>
  <c r="AB70" i="11"/>
  <c r="AC70" i="11" s="1"/>
  <c r="AL70" i="11" s="1"/>
  <c r="AF108" i="11"/>
  <c r="Y19" i="11"/>
  <c r="AJ135" i="11"/>
  <c r="AK135" i="11" s="1"/>
  <c r="AL135" i="11" s="1"/>
  <c r="AG79" i="11"/>
  <c r="AB196" i="11"/>
  <c r="AC196" i="11" s="1"/>
  <c r="AL196" i="11" s="1"/>
  <c r="V194" i="11"/>
  <c r="AF32" i="11"/>
  <c r="Y91" i="11"/>
  <c r="AG208" i="11"/>
  <c r="V94" i="11"/>
  <c r="AG39" i="11"/>
  <c r="V209" i="11"/>
  <c r="V207" i="11"/>
  <c r="V212" i="11"/>
  <c r="AD103" i="11"/>
  <c r="AF173" i="11"/>
  <c r="AF201" i="11"/>
  <c r="AG61" i="11"/>
  <c r="V170" i="11"/>
  <c r="AF156" i="11"/>
  <c r="AI58" i="11"/>
  <c r="X25" i="11"/>
  <c r="AB28" i="11"/>
  <c r="AC28" i="11" s="1"/>
  <c r="AL28" i="11" s="1"/>
  <c r="Y25" i="11"/>
  <c r="V22" i="11"/>
  <c r="AG175" i="11"/>
  <c r="AD212" i="11"/>
  <c r="AD184" i="11"/>
  <c r="X178" i="11"/>
  <c r="AA175" i="11"/>
  <c r="AF73" i="11"/>
  <c r="AJ143" i="11"/>
  <c r="AK143" i="11" s="1"/>
  <c r="AL143" i="11" s="1"/>
  <c r="AG31" i="11"/>
  <c r="X45" i="11"/>
  <c r="AD190" i="11"/>
  <c r="AI64" i="11"/>
  <c r="AA85" i="11"/>
  <c r="AG95" i="11"/>
  <c r="V114" i="11"/>
  <c r="AB111" i="11"/>
  <c r="AC111" i="11" s="1"/>
  <c r="AL111" i="11" s="1"/>
  <c r="Y108" i="11"/>
  <c r="AF54" i="11"/>
  <c r="AJ125" i="11"/>
  <c r="AK125" i="11" s="1"/>
  <c r="AL125" i="11" s="1"/>
  <c r="V66" i="11"/>
  <c r="V75" i="11"/>
  <c r="X67" i="11"/>
  <c r="AD94" i="11"/>
  <c r="AF51" i="11"/>
  <c r="AB13" i="11"/>
  <c r="AC13" i="11" s="1"/>
  <c r="AL13" i="11" s="1"/>
  <c r="AD146" i="11"/>
  <c r="X190" i="11"/>
  <c r="X200" i="11"/>
  <c r="AF88" i="11"/>
  <c r="AI116" i="11"/>
  <c r="AG186" i="11"/>
  <c r="AD186" i="11"/>
  <c r="V99" i="11"/>
  <c r="AG152" i="11"/>
  <c r="AI67" i="11"/>
  <c r="X215" i="11"/>
  <c r="X213" i="11"/>
  <c r="V214" i="11"/>
  <c r="AD61" i="11"/>
  <c r="AF117" i="11"/>
  <c r="AI201" i="11"/>
  <c r="AA167" i="11"/>
  <c r="V167" i="11"/>
  <c r="AJ30" i="11"/>
  <c r="AK30" i="11" s="1"/>
  <c r="C46" i="11"/>
  <c r="AB33" i="11"/>
  <c r="AC33" i="11" s="1"/>
  <c r="Y30" i="11"/>
  <c r="X22" i="11"/>
  <c r="AF161" i="11"/>
  <c r="AD175" i="11"/>
  <c r="Y148" i="11"/>
  <c r="AG212" i="11"/>
  <c r="AF31" i="11"/>
  <c r="V45" i="11"/>
  <c r="Y38" i="11"/>
  <c r="Y47" i="11"/>
  <c r="V46" i="11"/>
  <c r="AD64" i="11"/>
  <c r="AA38" i="11"/>
  <c r="X85" i="11"/>
  <c r="Y85" i="11"/>
  <c r="AG38" i="11"/>
  <c r="V116" i="11"/>
  <c r="X108" i="11"/>
  <c r="AI167" i="11"/>
  <c r="AD68" i="11"/>
  <c r="AB69" i="11"/>
  <c r="AC69" i="11" s="1"/>
  <c r="AL69" i="11" s="1"/>
  <c r="X72" i="11"/>
  <c r="V63" i="11"/>
  <c r="Y72" i="11"/>
  <c r="AG80" i="11"/>
  <c r="AI206" i="11"/>
  <c r="AI202" i="11"/>
  <c r="X19" i="11"/>
  <c r="AI104" i="11"/>
  <c r="AF104" i="11"/>
  <c r="AD205" i="11"/>
  <c r="Y50" i="11"/>
  <c r="AI205" i="11"/>
  <c r="AG36" i="11"/>
  <c r="X195" i="11"/>
  <c r="Y195" i="11"/>
  <c r="AF46" i="11"/>
  <c r="AG102" i="11"/>
  <c r="V103" i="11"/>
  <c r="AI25" i="11"/>
  <c r="Y215" i="11"/>
  <c r="AD187" i="11"/>
  <c r="AD89" i="11"/>
  <c r="X171" i="11"/>
  <c r="X173" i="11"/>
  <c r="AF58" i="11"/>
  <c r="AD185" i="11"/>
  <c r="AG156" i="11"/>
  <c r="V25" i="11"/>
  <c r="AF147" i="11"/>
  <c r="AG77" i="11"/>
  <c r="AI147" i="11"/>
  <c r="AA147" i="11"/>
  <c r="AJ141" i="11"/>
  <c r="AK141" i="11" s="1"/>
  <c r="AL141" i="11" s="1"/>
  <c r="V186" i="11"/>
  <c r="Y178" i="11"/>
  <c r="AF200" i="11"/>
  <c r="AB41" i="11"/>
  <c r="AC41" i="11" s="1"/>
  <c r="AL41" i="11" s="1"/>
  <c r="AA46" i="11"/>
  <c r="AI176" i="11"/>
  <c r="AF78" i="11"/>
  <c r="Y78" i="11"/>
  <c r="AB83" i="11"/>
  <c r="AC83" i="11" s="1"/>
  <c r="AL83" i="11" s="1"/>
  <c r="AJ123" i="11"/>
  <c r="AK123" i="11" s="1"/>
  <c r="AL123" i="11" s="1"/>
  <c r="AD151" i="11"/>
  <c r="Y113" i="11"/>
  <c r="V108" i="11"/>
  <c r="AA116" i="11"/>
  <c r="X75" i="11"/>
  <c r="Y65" i="11"/>
  <c r="AA68" i="11"/>
  <c r="AD206" i="11"/>
  <c r="AD164" i="11"/>
  <c r="AG23" i="11"/>
  <c r="AJ122" i="11"/>
  <c r="AK122" i="11" s="1"/>
  <c r="AL122" i="11" s="1"/>
  <c r="V19" i="11"/>
  <c r="AJ118" i="11"/>
  <c r="AK118" i="11" s="1"/>
  <c r="AL118" i="11" s="1"/>
  <c r="AG202" i="11"/>
  <c r="AB56" i="11"/>
  <c r="AC56" i="11" s="1"/>
  <c r="AL56" i="11" s="1"/>
  <c r="V50" i="11"/>
  <c r="AA61" i="11"/>
  <c r="AG205" i="11"/>
  <c r="Y200" i="11"/>
  <c r="Y193" i="11"/>
  <c r="AI32" i="11"/>
  <c r="V91" i="11"/>
  <c r="AD67" i="11"/>
  <c r="AF39" i="11"/>
  <c r="AA205" i="11"/>
  <c r="Y208" i="11"/>
  <c r="AA212" i="11"/>
  <c r="X208" i="11"/>
  <c r="AI173" i="11"/>
  <c r="AG114" i="11"/>
  <c r="AF213" i="11"/>
  <c r="V30" i="11"/>
  <c r="X31" i="11"/>
  <c r="AD91" i="11"/>
  <c r="AJ119" i="11"/>
  <c r="AK119" i="11" s="1"/>
  <c r="AL119" i="11" s="1"/>
  <c r="AG91" i="11"/>
  <c r="V148" i="11"/>
  <c r="AG184" i="11"/>
  <c r="AG29" i="11"/>
  <c r="AI43" i="11"/>
  <c r="X175" i="11"/>
  <c r="X47" i="11"/>
  <c r="V38" i="11"/>
  <c r="AA43" i="11"/>
  <c r="AI204" i="11"/>
  <c r="X114" i="11"/>
  <c r="AI54" i="11"/>
  <c r="AD167" i="11"/>
  <c r="AG68" i="11"/>
  <c r="AD195" i="11"/>
  <c r="X63" i="11"/>
  <c r="V65" i="11"/>
  <c r="V72" i="11"/>
  <c r="AI164" i="11"/>
  <c r="AD108" i="11"/>
  <c r="AA65" i="11"/>
  <c r="AD80" i="11"/>
  <c r="AG94" i="11"/>
  <c r="Y12" i="11"/>
  <c r="AG146" i="11"/>
  <c r="X50" i="11"/>
  <c r="AJ121" i="11"/>
  <c r="AK121" i="11" s="1"/>
  <c r="AL121" i="11" s="1"/>
  <c r="AA189" i="11"/>
  <c r="Y190" i="11"/>
  <c r="AJ130" i="11"/>
  <c r="AK130" i="11" s="1"/>
  <c r="AL130" i="11" s="1"/>
  <c r="AD116" i="11"/>
  <c r="AG88" i="11"/>
  <c r="AB98" i="11"/>
  <c r="AC98" i="11" s="1"/>
  <c r="AL98" i="11" s="1"/>
  <c r="AD25" i="11"/>
  <c r="AF152" i="11"/>
  <c r="X205" i="11"/>
  <c r="AA214" i="11"/>
  <c r="AA209" i="11"/>
  <c r="Y213" i="11"/>
  <c r="AI117" i="11"/>
  <c r="AG187" i="11"/>
  <c r="AD201" i="11"/>
  <c r="AA170" i="11"/>
  <c r="Y173" i="11"/>
  <c r="AB169" i="11"/>
  <c r="AC169" i="11" s="1"/>
  <c r="AL169" i="11" s="1"/>
  <c r="AG58" i="11"/>
  <c r="X24" i="11"/>
  <c r="AB27" i="11"/>
  <c r="AC27" i="11" s="1"/>
  <c r="AL27" i="11" s="1"/>
  <c r="Y24" i="11"/>
  <c r="AD49" i="11"/>
  <c r="AD161" i="11"/>
  <c r="AA29" i="11"/>
  <c r="AD77" i="11"/>
  <c r="AG49" i="11"/>
  <c r="X157" i="11"/>
  <c r="AB155" i="11"/>
  <c r="AC155" i="11" s="1"/>
  <c r="AL155" i="11" s="1"/>
  <c r="AI212" i="11"/>
  <c r="Y175" i="11"/>
  <c r="AB183" i="11"/>
  <c r="AC183" i="11" s="1"/>
  <c r="AL183" i="11" s="1"/>
  <c r="V178" i="11"/>
  <c r="AI190" i="11"/>
  <c r="Y45" i="11"/>
  <c r="AI78" i="11"/>
  <c r="AF190" i="11"/>
  <c r="AI148" i="11"/>
  <c r="AF204" i="11"/>
  <c r="AG64" i="11"/>
  <c r="V78" i="11"/>
  <c r="V81" i="11"/>
  <c r="AJ24" i="11"/>
  <c r="AK24" i="11" s="1"/>
  <c r="AG151" i="11"/>
  <c r="V113" i="11"/>
  <c r="Y107" i="11"/>
  <c r="AF153" i="11"/>
  <c r="AI153" i="11"/>
  <c r="Y68" i="11"/>
  <c r="X66" i="11"/>
  <c r="AG206" i="11"/>
  <c r="AD51" i="11"/>
  <c r="AD23" i="11"/>
  <c r="V12" i="11"/>
  <c r="AJ132" i="11"/>
  <c r="AK132" i="11" s="1"/>
  <c r="AL132" i="11" s="1"/>
  <c r="Y61" i="11"/>
  <c r="AD79" i="11"/>
  <c r="AI79" i="11"/>
  <c r="AA194" i="11"/>
  <c r="V193" i="11"/>
  <c r="AD88" i="11"/>
  <c r="AG116" i="11"/>
  <c r="AG46" i="11"/>
  <c r="X92" i="11"/>
  <c r="AA103" i="11"/>
  <c r="X212" i="11"/>
  <c r="V215" i="11"/>
  <c r="AA207" i="11"/>
  <c r="AD173" i="11"/>
  <c r="AI159" i="11"/>
  <c r="X163" i="11"/>
  <c r="AG185" i="11"/>
  <c r="AI213" i="11"/>
  <c r="AJ128" i="11"/>
  <c r="AK128" i="11" s="1"/>
  <c r="AL128" i="11" s="1"/>
  <c r="Y29" i="11"/>
  <c r="AJ203" i="11"/>
  <c r="AK203" i="11" s="1"/>
  <c r="X159" i="11"/>
  <c r="Y159" i="11"/>
  <c r="Y157" i="11"/>
  <c r="AF43" i="11"/>
  <c r="AA186" i="11"/>
  <c r="AD73" i="11"/>
  <c r="Y37" i="11"/>
  <c r="V47" i="11"/>
  <c r="AD176" i="11"/>
  <c r="AJ134" i="11"/>
  <c r="AK134" i="11" s="1"/>
  <c r="AL134" i="11" s="1"/>
  <c r="AF148" i="11"/>
  <c r="AJ137" i="11"/>
  <c r="AK137" i="11" s="1"/>
  <c r="AL137" i="11" s="1"/>
  <c r="AF95" i="11"/>
  <c r="AA113" i="11"/>
  <c r="X107" i="11"/>
  <c r="V107" i="11"/>
  <c r="AD54" i="11"/>
  <c r="AG195" i="11"/>
  <c r="AJ139" i="11"/>
  <c r="AK139" i="11" s="1"/>
  <c r="AL139" i="11" s="1"/>
  <c r="V68" i="11"/>
  <c r="AI108" i="11"/>
  <c r="Y15" i="11"/>
  <c r="AF36" i="11"/>
  <c r="V200" i="11"/>
  <c r="V190" i="11"/>
  <c r="AD46" i="11"/>
  <c r="AF102" i="11"/>
  <c r="AD32" i="11"/>
  <c r="X99" i="11"/>
  <c r="AA92" i="11"/>
  <c r="AF208" i="11"/>
  <c r="AD39" i="11"/>
  <c r="AB211" i="11"/>
  <c r="AC211" i="11" s="1"/>
  <c r="AL211" i="11" s="1"/>
  <c r="Y205" i="11"/>
  <c r="X209" i="11"/>
  <c r="AF187" i="11"/>
  <c r="AJ145" i="11"/>
  <c r="AK145" i="11" s="1"/>
  <c r="AL145" i="11" s="1"/>
  <c r="Y171" i="11"/>
  <c r="AD156" i="11"/>
  <c r="D20" i="11"/>
  <c r="AA31" i="11"/>
  <c r="V24" i="11"/>
  <c r="AI161" i="11"/>
  <c r="AF175" i="11"/>
  <c r="AJ6" i="11"/>
  <c r="AK6" i="11" s="1"/>
  <c r="X147" i="11"/>
  <c r="Y147" i="11"/>
  <c r="AD31" i="11"/>
  <c r="AI73" i="11"/>
  <c r="X38" i="11"/>
  <c r="AA45" i="11"/>
  <c r="AA37" i="11"/>
  <c r="AI95" i="11"/>
  <c r="AF38" i="11"/>
  <c r="AA67" i="11"/>
  <c r="AF94" i="11"/>
  <c r="AI51" i="11"/>
  <c r="AI80" i="11"/>
  <c r="X15" i="11"/>
  <c r="AB6" i="11"/>
  <c r="AC6" i="11" s="1"/>
  <c r="V15" i="11"/>
  <c r="AB55" i="11"/>
  <c r="AC55" i="11" s="1"/>
  <c r="AL55" i="11" s="1"/>
  <c r="Y52" i="11"/>
  <c r="AF205" i="11"/>
  <c r="AG32" i="11"/>
  <c r="Y92" i="11"/>
  <c r="AA94" i="11"/>
  <c r="AI208" i="11"/>
  <c r="AI152" i="11"/>
  <c r="AB210" i="11"/>
  <c r="AC210" i="11" s="1"/>
  <c r="AL210" i="11" s="1"/>
  <c r="V208" i="11"/>
  <c r="Y214" i="11"/>
  <c r="AD117" i="11"/>
  <c r="AI103" i="11"/>
  <c r="X170" i="11"/>
  <c r="AB20" i="11"/>
  <c r="AC20" i="11" s="1"/>
  <c r="AG147" i="11"/>
  <c r="AD147" i="11"/>
  <c r="AA159" i="11"/>
  <c r="AF212" i="11"/>
  <c r="AD200" i="11"/>
  <c r="AI31" i="11"/>
  <c r="Y43" i="11"/>
  <c r="X46" i="11"/>
  <c r="AJ120" i="11"/>
  <c r="AK120" i="11" s="1"/>
  <c r="AL120" i="11" s="1"/>
  <c r="AI38" i="11"/>
  <c r="AA108" i="11"/>
  <c r="AG164" i="11"/>
  <c r="AJ136" i="11"/>
  <c r="AK136" i="11" s="1"/>
  <c r="AL136" i="11" s="1"/>
  <c r="AD202" i="11"/>
  <c r="AA19" i="11"/>
  <c r="AF202" i="11"/>
  <c r="AG104" i="11"/>
  <c r="X61" i="11"/>
  <c r="X194" i="11"/>
  <c r="AA190" i="11"/>
  <c r="X189" i="11"/>
  <c r="AI186" i="11"/>
  <c r="AA99" i="11"/>
  <c r="AJ138" i="11"/>
  <c r="AK138" i="11" s="1"/>
  <c r="AL138" i="11" s="1"/>
  <c r="AG67" i="11"/>
  <c r="V205" i="11"/>
  <c r="AF103" i="11"/>
  <c r="AG117" i="11"/>
  <c r="AI61" i="11"/>
  <c r="Y163" i="11"/>
  <c r="V173" i="11"/>
  <c r="V171" i="11"/>
  <c r="AB168" i="11"/>
  <c r="AC168" i="11" s="1"/>
  <c r="AL168" i="11" s="1"/>
  <c r="E20" i="11"/>
  <c r="O20" i="11" s="1"/>
  <c r="AJ133" i="11"/>
  <c r="AK133" i="11" s="1"/>
  <c r="AL133" i="11" s="1"/>
  <c r="V175" i="11"/>
  <c r="AB182" i="11"/>
  <c r="AC182" i="11" s="1"/>
  <c r="AL182" i="11" s="1"/>
  <c r="X186" i="11"/>
  <c r="AJ129" i="11"/>
  <c r="AK129" i="11" s="1"/>
  <c r="AL129" i="11" s="1"/>
  <c r="AI200" i="11"/>
  <c r="V43" i="11"/>
  <c r="Y46" i="11"/>
  <c r="AG78" i="11"/>
  <c r="AB112" i="11"/>
  <c r="AC112" i="11" s="1"/>
  <c r="AL112" i="11" s="1"/>
  <c r="AI68" i="11"/>
  <c r="Y67" i="11"/>
  <c r="X68" i="11"/>
  <c r="AA66" i="11"/>
  <c r="V52" i="11"/>
  <c r="Y194" i="11"/>
  <c r="V189" i="11"/>
  <c r="AJ144" i="11"/>
  <c r="AK144" i="11" s="1"/>
  <c r="AL144" i="11" s="1"/>
  <c r="X94" i="11"/>
  <c r="Y94" i="11"/>
  <c r="AA208" i="11"/>
  <c r="AJ131" i="11"/>
  <c r="AK131" i="11" s="1"/>
  <c r="AL131" i="11" s="1"/>
  <c r="AB161" i="11"/>
  <c r="AC161" i="11" s="1"/>
  <c r="O6" i="11"/>
  <c r="L10" i="11"/>
  <c r="P31" i="13"/>
  <c r="N1461" i="9"/>
  <c r="I43" i="11"/>
  <c r="AF15" i="13"/>
  <c r="AE8" i="13"/>
  <c r="C39" i="13"/>
  <c r="N582" i="9"/>
  <c r="E38" i="11"/>
  <c r="N1354" i="9"/>
  <c r="AF6" i="13"/>
  <c r="AF10" i="13"/>
  <c r="AE14" i="13"/>
  <c r="E45" i="11"/>
  <c r="AF8" i="13"/>
  <c r="E35" i="11"/>
  <c r="AF13" i="13"/>
  <c r="AF9" i="13"/>
  <c r="AF11" i="13"/>
  <c r="AF12" i="13"/>
  <c r="C7" i="11"/>
  <c r="M7" i="11" s="1"/>
  <c r="AE6" i="13"/>
  <c r="AE15" i="13"/>
  <c r="C10" i="11"/>
  <c r="M10" i="11" s="1"/>
  <c r="E7" i="11"/>
  <c r="O7" i="11" s="1"/>
  <c r="N317" i="9"/>
  <c r="AE5" i="13"/>
  <c r="AF5" i="13"/>
  <c r="K20" i="13"/>
  <c r="J20" i="13"/>
  <c r="AE9" i="13"/>
  <c r="AB40" i="13"/>
  <c r="O27" i="13" a="1"/>
  <c r="O27" i="13" s="1"/>
  <c r="O25" i="13" a="1"/>
  <c r="O25" i="13" s="1"/>
  <c r="Z25" i="13" a="1"/>
  <c r="Z25" i="13" s="1"/>
  <c r="N286" i="9"/>
  <c r="N61" i="9"/>
  <c r="N169" i="9"/>
  <c r="D7" i="11"/>
  <c r="AE10" i="13"/>
  <c r="AE13" i="13"/>
  <c r="C38" i="11"/>
  <c r="AE11" i="13"/>
  <c r="N295" i="9"/>
  <c r="N800" i="9"/>
  <c r="E10" i="11"/>
  <c r="O10" i="11" s="1"/>
  <c r="N936" i="9"/>
  <c r="AE12" i="13"/>
  <c r="N208" i="9"/>
  <c r="N1062" i="9"/>
  <c r="N59" i="9"/>
  <c r="N1256" i="9"/>
  <c r="AE7" i="13"/>
  <c r="AF14" i="13"/>
  <c r="N769" i="9"/>
  <c r="AF7" i="13"/>
  <c r="N324" i="9"/>
  <c r="N370" i="9"/>
  <c r="N6" i="9"/>
  <c r="L55" i="13"/>
  <c r="M55" i="13" s="1"/>
  <c r="Q9" i="13"/>
  <c r="L58" i="13"/>
  <c r="M58" i="13" s="1"/>
  <c r="Q8" i="13"/>
  <c r="P20" i="13"/>
  <c r="L9" i="11"/>
  <c r="L19" i="11"/>
  <c r="L8" i="11"/>
  <c r="C52" i="13"/>
  <c r="G52" i="13"/>
  <c r="E52" i="13"/>
  <c r="L18" i="11"/>
  <c r="L16" i="11"/>
  <c r="O13" i="11"/>
  <c r="O19" i="11"/>
  <c r="AA31" i="13"/>
  <c r="Z38" i="13" a="1"/>
  <c r="Z38" i="13" s="1"/>
  <c r="AA30" i="13" a="1"/>
  <c r="AA30" i="13" s="1"/>
  <c r="D40" i="13"/>
  <c r="AA25" i="13" a="1"/>
  <c r="AA25" i="13" s="1"/>
  <c r="AA40" i="13"/>
  <c r="P43" i="13"/>
  <c r="J10" i="13"/>
  <c r="J39" i="11" s="1"/>
  <c r="Z31" i="13"/>
  <c r="AB25" i="13" a="1"/>
  <c r="AB25" i="13" s="1"/>
  <c r="Z30" i="13" a="1"/>
  <c r="Z30" i="13" s="1"/>
  <c r="P36" i="13"/>
  <c r="C10" i="13"/>
  <c r="E10" i="13"/>
  <c r="K10" i="13"/>
  <c r="L39" i="11" s="1"/>
  <c r="D10" i="13"/>
  <c r="D39" i="13"/>
  <c r="I38" i="13"/>
  <c r="I46" i="13"/>
  <c r="I39" i="13"/>
  <c r="I43" i="13"/>
  <c r="I35" i="13"/>
  <c r="I45" i="13"/>
  <c r="I34" i="13"/>
  <c r="I42" i="13"/>
  <c r="I36" i="13"/>
  <c r="I37" i="13"/>
  <c r="O38" i="13"/>
  <c r="C36" i="11"/>
  <c r="P38" i="13"/>
  <c r="E8" i="11"/>
  <c r="O8" i="11" s="1"/>
  <c r="D8" i="11"/>
  <c r="E36" i="11"/>
  <c r="F60" i="13"/>
  <c r="E57" i="13"/>
  <c r="D54" i="13"/>
  <c r="G57" i="13"/>
  <c r="E60" i="13"/>
  <c r="C61" i="13"/>
  <c r="E54" i="13"/>
  <c r="D60" i="13"/>
  <c r="D56" i="13"/>
  <c r="E58" i="13"/>
  <c r="F58" i="13"/>
  <c r="F54" i="13"/>
  <c r="G60" i="13"/>
  <c r="G59" i="13"/>
  <c r="D59" i="13"/>
  <c r="E56" i="13"/>
  <c r="E55" i="13"/>
  <c r="C56" i="13"/>
  <c r="F57" i="13"/>
  <c r="C54" i="13"/>
  <c r="G55" i="13"/>
  <c r="E53" i="13"/>
  <c r="E61" i="13"/>
  <c r="G54" i="13"/>
  <c r="C60" i="13"/>
  <c r="G61" i="13"/>
  <c r="C59" i="13"/>
  <c r="G58" i="13"/>
  <c r="C57" i="13"/>
  <c r="D53" i="13"/>
  <c r="G53" i="13"/>
  <c r="D58" i="13"/>
  <c r="C58" i="13"/>
  <c r="G56" i="13"/>
  <c r="F56" i="13"/>
  <c r="E59" i="13"/>
  <c r="C55" i="13"/>
  <c r="F61" i="13"/>
  <c r="D61" i="13"/>
  <c r="D57" i="13"/>
  <c r="D55" i="13"/>
  <c r="F59" i="13"/>
  <c r="F55" i="13"/>
  <c r="C53" i="13"/>
  <c r="F53" i="13"/>
  <c r="I44" i="13"/>
  <c r="I33" i="13"/>
  <c r="K24" i="13"/>
  <c r="K5" i="13"/>
  <c r="L34" i="11" s="1"/>
  <c r="C5" i="13"/>
  <c r="E5" i="13"/>
  <c r="K25" i="13"/>
  <c r="D8" i="13"/>
  <c r="H24" i="13"/>
  <c r="O33" i="13" a="1"/>
  <c r="O33" i="13" s="1"/>
  <c r="I32" i="13"/>
  <c r="AB38" i="13" a="1"/>
  <c r="AB38" i="13" s="1"/>
  <c r="D6" i="13"/>
  <c r="L25" i="13"/>
  <c r="L28" i="13"/>
  <c r="G26" i="13"/>
  <c r="G25" i="13"/>
  <c r="J25" i="13"/>
  <c r="P27" i="13" a="1"/>
  <c r="P27" i="13" s="1"/>
  <c r="L26" i="13"/>
  <c r="H28" i="13"/>
  <c r="K26" i="13"/>
  <c r="C40" i="13"/>
  <c r="D11" i="13"/>
  <c r="AA38" i="13" a="1"/>
  <c r="AA38" i="13" s="1"/>
  <c r="I25" i="13"/>
  <c r="K28" i="13"/>
  <c r="C11" i="13"/>
  <c r="O41" i="13" a="1"/>
  <c r="O41" i="13" s="1"/>
  <c r="O36" i="13"/>
  <c r="J15" i="13"/>
  <c r="I46" i="11"/>
  <c r="H26" i="13"/>
  <c r="E11" i="13"/>
  <c r="E15" i="13"/>
  <c r="O34" i="13"/>
  <c r="K46" i="11"/>
  <c r="P33" i="13" a="1"/>
  <c r="P33" i="13" s="1"/>
  <c r="C15" i="13"/>
  <c r="P44" i="13"/>
  <c r="I26" i="13"/>
  <c r="G24" i="13"/>
  <c r="G28" i="13"/>
  <c r="J26" i="13"/>
  <c r="L24" i="13"/>
  <c r="K11" i="13"/>
  <c r="J11" i="13"/>
  <c r="K15" i="13"/>
  <c r="P25" i="13" a="1"/>
  <c r="P25" i="13" s="1"/>
  <c r="D15" i="13"/>
  <c r="P34" i="13"/>
  <c r="O44" i="13"/>
  <c r="J28" i="13"/>
  <c r="I28" i="13"/>
  <c r="H25" i="13"/>
  <c r="J24" i="13"/>
  <c r="P41" i="13" a="1"/>
  <c r="P41" i="13" s="1"/>
  <c r="I27" i="13"/>
  <c r="I24" i="13"/>
  <c r="F6" i="11"/>
  <c r="D35" i="13"/>
  <c r="D11" i="11"/>
  <c r="N11" i="11" s="1"/>
  <c r="D5" i="13"/>
  <c r="K8" i="13"/>
  <c r="J8" i="13"/>
  <c r="D12" i="11"/>
  <c r="E41" i="11"/>
  <c r="E39" i="11"/>
  <c r="L27" i="13"/>
  <c r="C40" i="11"/>
  <c r="D15" i="11"/>
  <c r="N15" i="11" s="1"/>
  <c r="J27" i="13"/>
  <c r="H27" i="13"/>
  <c r="C15" i="11"/>
  <c r="M34" i="11"/>
  <c r="N34" i="11" s="1"/>
  <c r="C39" i="11"/>
  <c r="E15" i="11"/>
  <c r="O15" i="11" s="1"/>
  <c r="E40" i="11"/>
  <c r="K45" i="11"/>
  <c r="E12" i="11"/>
  <c r="K27" i="13"/>
  <c r="C11" i="11"/>
  <c r="L20" i="11"/>
  <c r="L12" i="11"/>
  <c r="N13" i="11"/>
  <c r="G27" i="13"/>
  <c r="M6" i="11"/>
  <c r="N6" i="11"/>
  <c r="J17" i="13"/>
  <c r="O14" i="11"/>
  <c r="Q12" i="13"/>
  <c r="N14" i="11"/>
  <c r="O20" i="13"/>
  <c r="I21" i="11"/>
  <c r="L14" i="11"/>
  <c r="L17" i="11"/>
  <c r="K21" i="11"/>
  <c r="L11" i="11"/>
  <c r="Q16" i="13"/>
  <c r="L52" i="13"/>
  <c r="M52" i="13" s="1"/>
  <c r="J21" i="11"/>
  <c r="L7" i="11"/>
  <c r="L13" i="11"/>
  <c r="Q5" i="13"/>
  <c r="L6" i="11"/>
  <c r="J9" i="13"/>
  <c r="K35" i="11"/>
  <c r="I35" i="11"/>
  <c r="C8" i="13"/>
  <c r="E8" i="13"/>
  <c r="J18" i="13"/>
  <c r="J16" i="13"/>
  <c r="C12" i="13"/>
  <c r="D12" i="13"/>
  <c r="E12" i="13"/>
  <c r="I45" i="11"/>
  <c r="K6" i="13"/>
  <c r="Z28" i="11" s="1"/>
  <c r="D17" i="13"/>
  <c r="C17" i="13"/>
  <c r="E17" i="13"/>
  <c r="C6" i="13"/>
  <c r="K12" i="13"/>
  <c r="AB35" i="13" a="1"/>
  <c r="AB35" i="13" s="1"/>
  <c r="Z35" i="13" a="1"/>
  <c r="Z35" i="13" s="1"/>
  <c r="AA27" i="13" a="1"/>
  <c r="AA27" i="13" s="1"/>
  <c r="AB27" i="13" a="1"/>
  <c r="AB27" i="13" s="1"/>
  <c r="AB36" i="13"/>
  <c r="Z27" i="13" a="1"/>
  <c r="Z27" i="13" s="1"/>
  <c r="AA35" i="13" a="1"/>
  <c r="AA35" i="13" s="1"/>
  <c r="Z36" i="13"/>
  <c r="AA36" i="13"/>
  <c r="AB41" i="13"/>
  <c r="C19" i="13"/>
  <c r="D19" i="13"/>
  <c r="AA41" i="13"/>
  <c r="Z28" i="13" a="1"/>
  <c r="Z28" i="13" s="1"/>
  <c r="AB28" i="13" a="1"/>
  <c r="AB28" i="13" s="1"/>
  <c r="E19" i="13"/>
  <c r="AA28" i="13" a="1"/>
  <c r="AA28" i="13" s="1"/>
  <c r="Z41" i="13"/>
  <c r="F13" i="11"/>
  <c r="M13" i="11"/>
  <c r="I38" i="11"/>
  <c r="K18" i="13"/>
  <c r="D9" i="13"/>
  <c r="C9" i="13"/>
  <c r="E9" i="13"/>
  <c r="C26" i="13"/>
  <c r="J12" i="13"/>
  <c r="G34" i="11"/>
  <c r="H34" i="11" s="1"/>
  <c r="K7" i="13"/>
  <c r="J7" i="13"/>
  <c r="P29" i="13" a="1"/>
  <c r="P29" i="13" s="1"/>
  <c r="AB30" i="13" a="1"/>
  <c r="AB30" i="13" s="1"/>
  <c r="E7" i="13"/>
  <c r="P24" i="13" a="1"/>
  <c r="P24" i="13" s="1"/>
  <c r="D7" i="13"/>
  <c r="O32" i="13"/>
  <c r="O29" i="13" a="1"/>
  <c r="O29" i="13" s="1"/>
  <c r="C7" i="13"/>
  <c r="P32" i="13"/>
  <c r="O24" i="13" a="1"/>
  <c r="O24" i="13" s="1"/>
  <c r="J6" i="13"/>
  <c r="W33" i="11" s="1"/>
  <c r="C35" i="13"/>
  <c r="K19" i="13"/>
  <c r="Z211" i="11" s="1"/>
  <c r="E6" i="13"/>
  <c r="K9" i="13"/>
  <c r="M14" i="11"/>
  <c r="F14" i="11"/>
  <c r="C18" i="13"/>
  <c r="D18" i="13"/>
  <c r="E18" i="13"/>
  <c r="D16" i="13"/>
  <c r="E16" i="13"/>
  <c r="C16" i="13"/>
  <c r="K16" i="13"/>
  <c r="L43" i="11" s="1"/>
  <c r="K17" i="13"/>
  <c r="O37" i="13" a="1"/>
  <c r="O37" i="13" s="1"/>
  <c r="O26" i="13" a="1"/>
  <c r="O26" i="13" s="1"/>
  <c r="P26" i="13" a="1"/>
  <c r="P26" i="13" s="1"/>
  <c r="O39" i="13"/>
  <c r="P39" i="13"/>
  <c r="P37" i="13" a="1"/>
  <c r="P37" i="13" s="1"/>
  <c r="J19" i="13"/>
  <c r="AH25" i="13" l="1"/>
  <c r="Q35" i="13"/>
  <c r="AJ26" i="11"/>
  <c r="AK26" i="11" s="1"/>
  <c r="Q31" i="13"/>
  <c r="AH171" i="11"/>
  <c r="AC32" i="13"/>
  <c r="L38" i="11"/>
  <c r="AJ171" i="11"/>
  <c r="AK171" i="11" s="1"/>
  <c r="AJ93" i="11"/>
  <c r="AK93" i="11" s="1"/>
  <c r="Q40" i="13"/>
  <c r="AH26" i="13"/>
  <c r="AC39" i="13"/>
  <c r="AJ199" i="11"/>
  <c r="AK199" i="11" s="1"/>
  <c r="AJ215" i="11"/>
  <c r="AK215" i="11" s="1"/>
  <c r="AJ170" i="11"/>
  <c r="AK170" i="11" s="1"/>
  <c r="AB203" i="11"/>
  <c r="AC203" i="11" s="1"/>
  <c r="AL203" i="11" s="1"/>
  <c r="Q30" i="13"/>
  <c r="AJ198" i="11"/>
  <c r="AK198" i="11" s="1"/>
  <c r="AJ82" i="11"/>
  <c r="AK82" i="11" s="1"/>
  <c r="AB57" i="11"/>
  <c r="AC57" i="11" s="1"/>
  <c r="W206" i="11"/>
  <c r="AB115" i="11"/>
  <c r="AC115" i="11" s="1"/>
  <c r="AJ149" i="11"/>
  <c r="AK149" i="11" s="1"/>
  <c r="AB10" i="11"/>
  <c r="AC10" i="11" s="1"/>
  <c r="AB172" i="11"/>
  <c r="AC172" i="11" s="1"/>
  <c r="AB90" i="11"/>
  <c r="AC90" i="11" s="1"/>
  <c r="AB21" i="11"/>
  <c r="AC21" i="11" s="1"/>
  <c r="AJ65" i="11"/>
  <c r="AK65" i="11" s="1"/>
  <c r="AB86" i="11"/>
  <c r="AC86" i="11" s="1"/>
  <c r="AJ21" i="11"/>
  <c r="AK21" i="11" s="1"/>
  <c r="AB181" i="11"/>
  <c r="AC181" i="11" s="1"/>
  <c r="AJ34" i="11"/>
  <c r="AK34" i="11" s="1"/>
  <c r="AJ157" i="11"/>
  <c r="AK157" i="11" s="1"/>
  <c r="AJ47" i="11"/>
  <c r="AK47" i="11" s="1"/>
  <c r="AJ96" i="11"/>
  <c r="AK96" i="11" s="1"/>
  <c r="AB17" i="11"/>
  <c r="AC17" i="11" s="1"/>
  <c r="AJ179" i="11"/>
  <c r="AK179" i="11" s="1"/>
  <c r="AB158" i="11"/>
  <c r="AC158" i="11" s="1"/>
  <c r="Q42" i="13"/>
  <c r="AB100" i="11"/>
  <c r="AC100" i="11" s="1"/>
  <c r="AB51" i="11"/>
  <c r="AC51" i="11" s="1"/>
  <c r="AJ74" i="11"/>
  <c r="AK74" i="11" s="1"/>
  <c r="AB199" i="11"/>
  <c r="AC199" i="11" s="1"/>
  <c r="AJ207" i="11"/>
  <c r="AK207" i="11" s="1"/>
  <c r="AH215" i="11"/>
  <c r="AJ165" i="11"/>
  <c r="AK165" i="11" s="1"/>
  <c r="AB184" i="11"/>
  <c r="AC184" i="11" s="1"/>
  <c r="AJ188" i="11"/>
  <c r="AK188" i="11" s="1"/>
  <c r="AB76" i="11"/>
  <c r="AC76" i="11" s="1"/>
  <c r="AJ87" i="11"/>
  <c r="AK87" i="11" s="1"/>
  <c r="AJ22" i="11"/>
  <c r="AK22" i="11" s="1"/>
  <c r="AJ99" i="11"/>
  <c r="AK99" i="11" s="1"/>
  <c r="J37" i="11"/>
  <c r="AJ33" i="11"/>
  <c r="AK33" i="11" s="1"/>
  <c r="AL33" i="11" s="1"/>
  <c r="AJ110" i="11"/>
  <c r="AK110" i="11" s="1"/>
  <c r="AB9" i="11"/>
  <c r="AC9" i="11" s="1"/>
  <c r="AJ12" i="11"/>
  <c r="AK12" i="11" s="1"/>
  <c r="AB187" i="11"/>
  <c r="AC187" i="11" s="1"/>
  <c r="AJ166" i="11"/>
  <c r="AK166" i="11" s="1"/>
  <c r="AB152" i="11"/>
  <c r="AC152" i="11" s="1"/>
  <c r="AJ44" i="11"/>
  <c r="AK44" i="11" s="1"/>
  <c r="AB204" i="11"/>
  <c r="AC204" i="11" s="1"/>
  <c r="AJ214" i="11"/>
  <c r="AK214" i="11" s="1"/>
  <c r="AC37" i="13"/>
  <c r="L41" i="11"/>
  <c r="Q20" i="13"/>
  <c r="D37" i="13"/>
  <c r="AJ115" i="11"/>
  <c r="AK115" i="11" s="1"/>
  <c r="L37" i="11"/>
  <c r="AJ76" i="11"/>
  <c r="AK76" i="11" s="1"/>
  <c r="AJ172" i="11"/>
  <c r="AK172" i="11" s="1"/>
  <c r="AB53" i="11"/>
  <c r="AC53" i="11" s="1"/>
  <c r="AB35" i="11"/>
  <c r="AC35" i="11" s="1"/>
  <c r="AJ8" i="11"/>
  <c r="AK8" i="11" s="1"/>
  <c r="AB110" i="11"/>
  <c r="AC110" i="11" s="1"/>
  <c r="AB8" i="11"/>
  <c r="AC8" i="11" s="1"/>
  <c r="J41" i="11"/>
  <c r="AE58" i="11"/>
  <c r="AJ107" i="11"/>
  <c r="AK107" i="11" s="1"/>
  <c r="G37" i="11"/>
  <c r="H37" i="11" s="1"/>
  <c r="AB18" i="11"/>
  <c r="AC18" i="11" s="1"/>
  <c r="AJ174" i="11"/>
  <c r="AK174" i="11" s="1"/>
  <c r="AJ16" i="11"/>
  <c r="AK16" i="11" s="1"/>
  <c r="AB7" i="11"/>
  <c r="AC7" i="11" s="1"/>
  <c r="AB179" i="11"/>
  <c r="AC179" i="11" s="1"/>
  <c r="AB160" i="11"/>
  <c r="AC160" i="11" s="1"/>
  <c r="AJ48" i="11"/>
  <c r="AK48" i="11" s="1"/>
  <c r="AJ106" i="11"/>
  <c r="AK106" i="11" s="1"/>
  <c r="AB73" i="11"/>
  <c r="AC73" i="11" s="1"/>
  <c r="AB180" i="11"/>
  <c r="AC180" i="11" s="1"/>
  <c r="AJ181" i="11"/>
  <c r="AK181" i="11" s="1"/>
  <c r="AJ113" i="11"/>
  <c r="AK113" i="11" s="1"/>
  <c r="AJ60" i="11"/>
  <c r="AK60" i="11" s="1"/>
  <c r="M37" i="11"/>
  <c r="N37" i="11" s="1"/>
  <c r="M9" i="11"/>
  <c r="P9" i="11" s="1"/>
  <c r="F9" i="11"/>
  <c r="AB58" i="11"/>
  <c r="AC58" i="11" s="1"/>
  <c r="AB89" i="11"/>
  <c r="AC89" i="11" s="1"/>
  <c r="AB117" i="11"/>
  <c r="AC117" i="11" s="1"/>
  <c r="AJ180" i="11"/>
  <c r="AK180" i="11" s="1"/>
  <c r="AB23" i="11"/>
  <c r="AC23" i="11" s="1"/>
  <c r="AJ209" i="11"/>
  <c r="AK209" i="11" s="1"/>
  <c r="AB87" i="11"/>
  <c r="AC87" i="11" s="1"/>
  <c r="AB105" i="11"/>
  <c r="AC105" i="11" s="1"/>
  <c r="AB201" i="11"/>
  <c r="AC201" i="11" s="1"/>
  <c r="AJ86" i="11"/>
  <c r="AK86" i="11" s="1"/>
  <c r="AB153" i="11"/>
  <c r="AC153" i="11" s="1"/>
  <c r="AB191" i="11"/>
  <c r="AC191" i="11" s="1"/>
  <c r="AB192" i="11"/>
  <c r="AC192" i="11" s="1"/>
  <c r="AJ63" i="11"/>
  <c r="AK63" i="11" s="1"/>
  <c r="AB40" i="11"/>
  <c r="AC40" i="11" s="1"/>
  <c r="AB165" i="11"/>
  <c r="AC165" i="11" s="1"/>
  <c r="AJ75" i="11"/>
  <c r="AK75" i="11" s="1"/>
  <c r="AJ178" i="11"/>
  <c r="AK178" i="11" s="1"/>
  <c r="AJ101" i="11"/>
  <c r="AK101" i="11" s="1"/>
  <c r="AJ163" i="11"/>
  <c r="AK163" i="11" s="1"/>
  <c r="AB88" i="11"/>
  <c r="AC88" i="11" s="1"/>
  <c r="AJ62" i="11"/>
  <c r="AK62" i="11" s="1"/>
  <c r="AJ92" i="11"/>
  <c r="AK92" i="11" s="1"/>
  <c r="AB162" i="11"/>
  <c r="AC162" i="11" s="1"/>
  <c r="AJ45" i="11"/>
  <c r="AK45" i="11" s="1"/>
  <c r="AB39" i="11"/>
  <c r="AC39" i="11" s="1"/>
  <c r="AB96" i="11"/>
  <c r="AC96" i="11" s="1"/>
  <c r="AB185" i="11"/>
  <c r="AC185" i="11" s="1"/>
  <c r="AB104" i="11"/>
  <c r="AC104" i="11" s="1"/>
  <c r="AB176" i="11"/>
  <c r="AC176" i="11" s="1"/>
  <c r="AB48" i="11"/>
  <c r="AC48" i="11" s="1"/>
  <c r="AJ10" i="11"/>
  <c r="AK10" i="11" s="1"/>
  <c r="AJ105" i="11"/>
  <c r="AK105" i="11" s="1"/>
  <c r="AB49" i="11"/>
  <c r="AC49" i="11" s="1"/>
  <c r="AJ52" i="11"/>
  <c r="AK52" i="11" s="1"/>
  <c r="AJ11" i="11"/>
  <c r="AK11" i="11" s="1"/>
  <c r="AB109" i="11"/>
  <c r="AC109" i="11" s="1"/>
  <c r="AB177" i="11"/>
  <c r="AC177" i="11" s="1"/>
  <c r="AB54" i="11"/>
  <c r="AC54" i="11" s="1"/>
  <c r="AJ35" i="11"/>
  <c r="AK35" i="11" s="1"/>
  <c r="AB101" i="11"/>
  <c r="AC101" i="11" s="1"/>
  <c r="AB11" i="11"/>
  <c r="AC11" i="11" s="1"/>
  <c r="AJ59" i="11"/>
  <c r="AK59" i="11" s="1"/>
  <c r="AB79" i="11"/>
  <c r="AC79" i="11" s="1"/>
  <c r="AB156" i="11"/>
  <c r="AC156" i="11" s="1"/>
  <c r="AJ193" i="11"/>
  <c r="AK193" i="11" s="1"/>
  <c r="AJ90" i="11"/>
  <c r="AK90" i="11" s="1"/>
  <c r="AB26" i="11"/>
  <c r="AC26" i="11" s="1"/>
  <c r="AB206" i="11"/>
  <c r="AC206" i="11" s="1"/>
  <c r="D38" i="13"/>
  <c r="G44" i="11"/>
  <c r="H44" i="11" s="1"/>
  <c r="F18" i="11"/>
  <c r="M44" i="11"/>
  <c r="N44" i="11" s="1"/>
  <c r="N18" i="11"/>
  <c r="P18" i="11" s="1"/>
  <c r="J40" i="11"/>
  <c r="G43" i="11"/>
  <c r="H43" i="11" s="1"/>
  <c r="F17" i="11"/>
  <c r="M43" i="11"/>
  <c r="N43" i="11" s="1"/>
  <c r="C44" i="13"/>
  <c r="L40" i="11"/>
  <c r="D44" i="13"/>
  <c r="M40" i="11"/>
  <c r="N40" i="11" s="1"/>
  <c r="L42" i="11"/>
  <c r="F16" i="11"/>
  <c r="O17" i="11"/>
  <c r="P17" i="11" s="1"/>
  <c r="G42" i="11"/>
  <c r="H42" i="11" s="1"/>
  <c r="J44" i="11"/>
  <c r="L36" i="11"/>
  <c r="M42" i="11"/>
  <c r="N42" i="11" s="1"/>
  <c r="J42" i="11"/>
  <c r="J36" i="11"/>
  <c r="AB82" i="11"/>
  <c r="AC82" i="11" s="1"/>
  <c r="AJ109" i="11"/>
  <c r="AK109" i="11" s="1"/>
  <c r="AE9" i="11"/>
  <c r="AB16" i="11"/>
  <c r="AC16" i="11" s="1"/>
  <c r="Q43" i="13"/>
  <c r="M36" i="11"/>
  <c r="N36" i="11" s="1"/>
  <c r="AE158" i="11"/>
  <c r="W6" i="11"/>
  <c r="AJ162" i="11"/>
  <c r="AK162" i="11" s="1"/>
  <c r="AB166" i="11"/>
  <c r="AC166" i="11" s="1"/>
  <c r="AJ53" i="11"/>
  <c r="AK53" i="11" s="1"/>
  <c r="AJ66" i="11"/>
  <c r="AK66" i="11" s="1"/>
  <c r="AB149" i="11"/>
  <c r="AC149" i="11" s="1"/>
  <c r="AJ100" i="11"/>
  <c r="AK100" i="11" s="1"/>
  <c r="AB95" i="11"/>
  <c r="AC95" i="11" s="1"/>
  <c r="AB150" i="11"/>
  <c r="AC150" i="11" s="1"/>
  <c r="AJ15" i="11"/>
  <c r="AK15" i="11" s="1"/>
  <c r="AB102" i="11"/>
  <c r="AC102" i="11" s="1"/>
  <c r="AB34" i="11"/>
  <c r="AC34" i="11" s="1"/>
  <c r="AJ37" i="11"/>
  <c r="AK37" i="11" s="1"/>
  <c r="AJ85" i="11"/>
  <c r="AK85" i="11" s="1"/>
  <c r="AB60" i="11"/>
  <c r="AC60" i="11" s="1"/>
  <c r="AJ160" i="11"/>
  <c r="AK160" i="11" s="1"/>
  <c r="AJ189" i="11"/>
  <c r="AK189" i="11" s="1"/>
  <c r="AB164" i="11"/>
  <c r="AC164" i="11" s="1"/>
  <c r="F19" i="11"/>
  <c r="AB64" i="11"/>
  <c r="AC64" i="11" s="1"/>
  <c r="AJ19" i="11"/>
  <c r="AK19" i="11" s="1"/>
  <c r="C36" i="13"/>
  <c r="AJ40" i="11"/>
  <c r="AK40" i="11" s="1"/>
  <c r="AJ72" i="11"/>
  <c r="AK72" i="11" s="1"/>
  <c r="AB93" i="11"/>
  <c r="AC93" i="11" s="1"/>
  <c r="AB174" i="11"/>
  <c r="AC174" i="11" s="1"/>
  <c r="AJ7" i="11"/>
  <c r="AK7" i="11" s="1"/>
  <c r="AB36" i="11"/>
  <c r="AC36" i="11" s="1"/>
  <c r="B26" i="13"/>
  <c r="AB202" i="11"/>
  <c r="AC202" i="11" s="1"/>
  <c r="AJ177" i="11"/>
  <c r="AK177" i="11" s="1"/>
  <c r="AJ17" i="11"/>
  <c r="AK17" i="11" s="1"/>
  <c r="AL20" i="11"/>
  <c r="AJ71" i="11"/>
  <c r="AK71" i="11" s="1"/>
  <c r="AJ191" i="11"/>
  <c r="AK191" i="11" s="1"/>
  <c r="D46" i="13"/>
  <c r="AB71" i="11"/>
  <c r="AC71" i="11" s="1"/>
  <c r="AB106" i="11"/>
  <c r="AC106" i="11" s="1"/>
  <c r="AJ124" i="11"/>
  <c r="AK124" i="11" s="1"/>
  <c r="AL124" i="11" s="1"/>
  <c r="AJ50" i="11"/>
  <c r="AK50" i="11" s="1"/>
  <c r="AB74" i="11"/>
  <c r="AC74" i="11" s="1"/>
  <c r="AJ194" i="11"/>
  <c r="AK194" i="11" s="1"/>
  <c r="AB146" i="11"/>
  <c r="AC146" i="11" s="1"/>
  <c r="AB97" i="11"/>
  <c r="AC97" i="11" s="1"/>
  <c r="AL97" i="11" s="1"/>
  <c r="AB151" i="11"/>
  <c r="AC151" i="11" s="1"/>
  <c r="C48" i="13"/>
  <c r="D36" i="13"/>
  <c r="M19" i="11"/>
  <c r="P19" i="11" s="1"/>
  <c r="J34" i="11"/>
  <c r="AE62" i="11"/>
  <c r="AE34" i="11"/>
  <c r="C46" i="13"/>
  <c r="G45" i="11"/>
  <c r="H45" i="11" s="1"/>
  <c r="W7" i="11"/>
  <c r="AE174" i="11"/>
  <c r="AE48" i="11"/>
  <c r="W18" i="11"/>
  <c r="W10" i="11"/>
  <c r="AE76" i="11"/>
  <c r="W13" i="11"/>
  <c r="AE188" i="11"/>
  <c r="W17" i="11"/>
  <c r="W9" i="11"/>
  <c r="W16" i="11"/>
  <c r="AE160" i="11"/>
  <c r="AE118" i="11"/>
  <c r="AE132" i="11"/>
  <c r="C47" i="13"/>
  <c r="AB59" i="11"/>
  <c r="AC59" i="11" s="1"/>
  <c r="W11" i="11"/>
  <c r="AJ18" i="11"/>
  <c r="AK18" i="11" s="1"/>
  <c r="AJ57" i="11"/>
  <c r="AK57" i="11" s="1"/>
  <c r="AE20" i="11"/>
  <c r="D47" i="13"/>
  <c r="AJ81" i="11"/>
  <c r="AK81" i="11" s="1"/>
  <c r="AB44" i="11"/>
  <c r="AC44" i="11" s="1"/>
  <c r="AJ150" i="11"/>
  <c r="AK150" i="11" s="1"/>
  <c r="AB188" i="11"/>
  <c r="AC188" i="11" s="1"/>
  <c r="AB198" i="11"/>
  <c r="AC198" i="11" s="1"/>
  <c r="AB32" i="11"/>
  <c r="AC32" i="11" s="1"/>
  <c r="AB62" i="11"/>
  <c r="AC62" i="11" s="1"/>
  <c r="AJ158" i="11"/>
  <c r="AK158" i="11" s="1"/>
  <c r="AJ192" i="11"/>
  <c r="AK192" i="11" s="1"/>
  <c r="AJ9" i="11"/>
  <c r="AK9" i="11" s="1"/>
  <c r="C41" i="13"/>
  <c r="AB80" i="11"/>
  <c r="AC80" i="11" s="1"/>
  <c r="C38" i="13"/>
  <c r="D41" i="13"/>
  <c r="AC26" i="13"/>
  <c r="AC30" i="13"/>
  <c r="C34" i="13"/>
  <c r="D48" i="13"/>
  <c r="AE104" i="11"/>
  <c r="D45" i="13"/>
  <c r="W8" i="11"/>
  <c r="D26" i="13"/>
  <c r="AE90" i="11"/>
  <c r="AC34" i="13"/>
  <c r="AC33" i="13"/>
  <c r="AC31" i="13"/>
  <c r="G46" i="11"/>
  <c r="H46" i="11" s="1"/>
  <c r="N20" i="11"/>
  <c r="P20" i="11" s="1"/>
  <c r="AC25" i="13"/>
  <c r="F20" i="11"/>
  <c r="AB195" i="11"/>
  <c r="AC195" i="11" s="1"/>
  <c r="Q27" i="13"/>
  <c r="AB157" i="11"/>
  <c r="AC157" i="11" s="1"/>
  <c r="AB61" i="11"/>
  <c r="AC61" i="11" s="1"/>
  <c r="P16" i="11"/>
  <c r="AJ213" i="11"/>
  <c r="AK213" i="11" s="1"/>
  <c r="AB85" i="11"/>
  <c r="AC85" i="11" s="1"/>
  <c r="AJ58" i="11"/>
  <c r="AK58" i="11" s="1"/>
  <c r="AJ104" i="11"/>
  <c r="AK104" i="11" s="1"/>
  <c r="AB159" i="11"/>
  <c r="AC159" i="11" s="1"/>
  <c r="AJ78" i="11"/>
  <c r="AK78" i="11" s="1"/>
  <c r="AJ152" i="11"/>
  <c r="AK152" i="11" s="1"/>
  <c r="D34" i="13"/>
  <c r="AH57" i="11"/>
  <c r="AL6" i="11"/>
  <c r="AJ204" i="11"/>
  <c r="AK204" i="11" s="1"/>
  <c r="AB37" i="11"/>
  <c r="AC37" i="11" s="1"/>
  <c r="AE10" i="11"/>
  <c r="AB29" i="11"/>
  <c r="AC29" i="11" s="1"/>
  <c r="AE52" i="11"/>
  <c r="AB92" i="11"/>
  <c r="AC92" i="11" s="1"/>
  <c r="AE33" i="11"/>
  <c r="AH34" i="11"/>
  <c r="AH78" i="11"/>
  <c r="AE133" i="11"/>
  <c r="AE75" i="11"/>
  <c r="W100" i="11"/>
  <c r="W62" i="11"/>
  <c r="AE120" i="11"/>
  <c r="W187" i="11"/>
  <c r="AB15" i="11"/>
  <c r="AC15" i="11" s="1"/>
  <c r="W15" i="11"/>
  <c r="Z154" i="11"/>
  <c r="W164" i="11"/>
  <c r="AE180" i="11"/>
  <c r="W200" i="11"/>
  <c r="AB200" i="11"/>
  <c r="AC200" i="11" s="1"/>
  <c r="W47" i="11"/>
  <c r="AB47" i="11"/>
  <c r="AC47" i="11" s="1"/>
  <c r="Z157" i="11"/>
  <c r="Z29" i="11"/>
  <c r="Z102" i="11"/>
  <c r="AE79" i="11"/>
  <c r="AJ79" i="11"/>
  <c r="AK79" i="11" s="1"/>
  <c r="Z18" i="11"/>
  <c r="AH26" i="11"/>
  <c r="AB78" i="11"/>
  <c r="AC78" i="11" s="1"/>
  <c r="W78" i="11"/>
  <c r="Z180" i="11"/>
  <c r="AE77" i="11"/>
  <c r="AJ77" i="11"/>
  <c r="AK77" i="11" s="1"/>
  <c r="AL77" i="11" s="1"/>
  <c r="Z74" i="11"/>
  <c r="AE66" i="11"/>
  <c r="AH29" i="11"/>
  <c r="AH35" i="11"/>
  <c r="AE47" i="11"/>
  <c r="AE206" i="11"/>
  <c r="AJ206" i="11"/>
  <c r="AK206" i="11" s="1"/>
  <c r="W104" i="11"/>
  <c r="W186" i="11"/>
  <c r="AB186" i="11"/>
  <c r="AC186" i="11" s="1"/>
  <c r="Z33" i="11"/>
  <c r="W162" i="11"/>
  <c r="W60" i="11"/>
  <c r="AH80" i="11"/>
  <c r="W45" i="11"/>
  <c r="AB45" i="11"/>
  <c r="AC45" i="11" s="1"/>
  <c r="AH113" i="11"/>
  <c r="AH214" i="11"/>
  <c r="W203" i="11"/>
  <c r="AH188" i="11"/>
  <c r="Z101" i="11"/>
  <c r="Z51" i="11"/>
  <c r="AH153" i="11"/>
  <c r="AE95" i="11"/>
  <c r="AJ95" i="11"/>
  <c r="AK95" i="11" s="1"/>
  <c r="AH115" i="11"/>
  <c r="AH131" i="11"/>
  <c r="Z99" i="11"/>
  <c r="AE36" i="11"/>
  <c r="AJ36" i="11"/>
  <c r="AK36" i="11" s="1"/>
  <c r="Z70" i="11"/>
  <c r="AE193" i="11"/>
  <c r="AB147" i="11"/>
  <c r="AC147" i="11" s="1"/>
  <c r="W147" i="11"/>
  <c r="W85" i="11"/>
  <c r="AH54" i="11"/>
  <c r="AH75" i="11"/>
  <c r="AE144" i="11"/>
  <c r="AH12" i="11"/>
  <c r="Z46" i="11"/>
  <c r="Z23" i="11"/>
  <c r="AH117" i="11"/>
  <c r="AH76" i="11"/>
  <c r="AE179" i="11"/>
  <c r="AH120" i="11"/>
  <c r="AH85" i="11"/>
  <c r="AE189" i="11"/>
  <c r="W59" i="11"/>
  <c r="AH139" i="11"/>
  <c r="W87" i="11"/>
  <c r="W40" i="11"/>
  <c r="Z147" i="11"/>
  <c r="W32" i="11"/>
  <c r="AH65" i="11"/>
  <c r="AH150" i="11"/>
  <c r="Z37" i="11"/>
  <c r="Z159" i="11"/>
  <c r="Z20" i="11"/>
  <c r="AE173" i="11"/>
  <c r="AJ173" i="11"/>
  <c r="AK173" i="11" s="1"/>
  <c r="AH46" i="11"/>
  <c r="AH191" i="11"/>
  <c r="AH37" i="11"/>
  <c r="AH64" i="11"/>
  <c r="W183" i="11"/>
  <c r="W169" i="11"/>
  <c r="AE130" i="11"/>
  <c r="AB65" i="11"/>
  <c r="AC65" i="11" s="1"/>
  <c r="W65" i="11"/>
  <c r="AH123" i="11"/>
  <c r="AE17" i="11"/>
  <c r="AH184" i="11"/>
  <c r="AE91" i="11"/>
  <c r="AJ91" i="11"/>
  <c r="AK91" i="11" s="1"/>
  <c r="AB91" i="11"/>
  <c r="AC91" i="11" s="1"/>
  <c r="W91" i="11"/>
  <c r="W56" i="11"/>
  <c r="AE151" i="11"/>
  <c r="AJ151" i="11"/>
  <c r="AK151" i="11" s="1"/>
  <c r="W34" i="11"/>
  <c r="AH71" i="11"/>
  <c r="W25" i="11"/>
  <c r="AB25" i="11"/>
  <c r="AC25" i="11" s="1"/>
  <c r="AH110" i="11"/>
  <c r="W191" i="11"/>
  <c r="W116" i="11"/>
  <c r="AB116" i="11"/>
  <c r="AC116" i="11" s="1"/>
  <c r="AH212" i="11"/>
  <c r="AH166" i="11"/>
  <c r="AE125" i="11"/>
  <c r="AE207" i="11"/>
  <c r="AH31" i="11"/>
  <c r="AE149" i="11"/>
  <c r="Z10" i="11"/>
  <c r="AH148" i="11"/>
  <c r="W184" i="11"/>
  <c r="Z22" i="11"/>
  <c r="Z103" i="11"/>
  <c r="Z81" i="11"/>
  <c r="AE85" i="11"/>
  <c r="AH33" i="11"/>
  <c r="Z73" i="11"/>
  <c r="W89" i="11"/>
  <c r="AE87" i="11"/>
  <c r="Z149" i="11"/>
  <c r="W195" i="11"/>
  <c r="AH176" i="11"/>
  <c r="W189" i="11"/>
  <c r="AB189" i="11"/>
  <c r="AC189" i="11" s="1"/>
  <c r="Z109" i="11"/>
  <c r="AB43" i="11"/>
  <c r="AC43" i="11" s="1"/>
  <c r="W43" i="11"/>
  <c r="AH104" i="11"/>
  <c r="AE147" i="11"/>
  <c r="AJ147" i="11"/>
  <c r="AK147" i="11" s="1"/>
  <c r="AE117" i="11"/>
  <c r="AJ117" i="11"/>
  <c r="AK117" i="11" s="1"/>
  <c r="Z92" i="11"/>
  <c r="AH8" i="11"/>
  <c r="Z89" i="11"/>
  <c r="AE145" i="11"/>
  <c r="Z71" i="11"/>
  <c r="Z40" i="11"/>
  <c r="Z150" i="11"/>
  <c r="AH16" i="11"/>
  <c r="Z59" i="11"/>
  <c r="AE23" i="11"/>
  <c r="AJ23" i="11"/>
  <c r="AK23" i="11" s="1"/>
  <c r="AE96" i="11"/>
  <c r="AE161" i="11"/>
  <c r="AJ161" i="11"/>
  <c r="AK161" i="11" s="1"/>
  <c r="AL161" i="11" s="1"/>
  <c r="Z190" i="11"/>
  <c r="Z9" i="11"/>
  <c r="W76" i="11"/>
  <c r="AH143" i="11"/>
  <c r="Z21" i="11"/>
  <c r="AH202" i="11"/>
  <c r="Z65" i="11"/>
  <c r="Z27" i="11"/>
  <c r="Z195" i="11"/>
  <c r="Z50" i="11"/>
  <c r="AE37" i="11"/>
  <c r="AH38" i="11"/>
  <c r="AE101" i="11"/>
  <c r="Z155" i="11"/>
  <c r="AE30" i="11"/>
  <c r="AH152" i="11"/>
  <c r="AH22" i="11"/>
  <c r="AH9" i="11"/>
  <c r="AH95" i="11"/>
  <c r="AE198" i="11"/>
  <c r="W212" i="11"/>
  <c r="AB212" i="11"/>
  <c r="AC212" i="11" s="1"/>
  <c r="AE18" i="11"/>
  <c r="Z13" i="11"/>
  <c r="AE40" i="11"/>
  <c r="Z174" i="11"/>
  <c r="AB31" i="11"/>
  <c r="AC31" i="11" s="1"/>
  <c r="W31" i="11"/>
  <c r="AE159" i="11"/>
  <c r="AJ159" i="11"/>
  <c r="AK159" i="11" s="1"/>
  <c r="AE45" i="11"/>
  <c r="AE142" i="11"/>
  <c r="W213" i="11"/>
  <c r="AB213" i="11"/>
  <c r="AC213" i="11" s="1"/>
  <c r="W58" i="11"/>
  <c r="Z75" i="11"/>
  <c r="AH200" i="11"/>
  <c r="AH173" i="11"/>
  <c r="AH89" i="11"/>
  <c r="W61" i="11"/>
  <c r="AH44" i="11"/>
  <c r="Z194" i="11"/>
  <c r="AH62" i="11"/>
  <c r="W112" i="11"/>
  <c r="AH86" i="11"/>
  <c r="Z202" i="11"/>
  <c r="W102" i="11"/>
  <c r="W64" i="11"/>
  <c r="AE109" i="11"/>
  <c r="Z43" i="11"/>
  <c r="AE15" i="11"/>
  <c r="AH147" i="11"/>
  <c r="Z214" i="11"/>
  <c r="AH32" i="11"/>
  <c r="Z52" i="11"/>
  <c r="AE12" i="11"/>
  <c r="Z80" i="11"/>
  <c r="AH47" i="11"/>
  <c r="Z97" i="11"/>
  <c r="Z64" i="11"/>
  <c r="W215" i="11"/>
  <c r="AB215" i="11"/>
  <c r="AC215" i="11" s="1"/>
  <c r="AE74" i="11"/>
  <c r="Z61" i="11"/>
  <c r="AH192" i="11"/>
  <c r="Z175" i="11"/>
  <c r="AE49" i="11"/>
  <c r="AJ49" i="11"/>
  <c r="AK49" i="11" s="1"/>
  <c r="W160" i="11"/>
  <c r="Z12" i="11"/>
  <c r="AE195" i="11"/>
  <c r="AJ195" i="11"/>
  <c r="AK195" i="11" s="1"/>
  <c r="W153" i="11"/>
  <c r="Z203" i="11"/>
  <c r="AH60" i="11"/>
  <c r="AE123" i="11"/>
  <c r="Z35" i="11"/>
  <c r="AE141" i="11"/>
  <c r="AE89" i="11"/>
  <c r="AJ89" i="11"/>
  <c r="AK89" i="11" s="1"/>
  <c r="AE124" i="11"/>
  <c r="W198" i="11"/>
  <c r="AE205" i="11"/>
  <c r="AJ205" i="11"/>
  <c r="AK205" i="11" s="1"/>
  <c r="Z69" i="11"/>
  <c r="Z85" i="11"/>
  <c r="AH87" i="11"/>
  <c r="Z148" i="11"/>
  <c r="W167" i="11"/>
  <c r="AB167" i="11"/>
  <c r="AC167" i="11" s="1"/>
  <c r="AE181" i="11"/>
  <c r="AE157" i="11"/>
  <c r="AJ184" i="11"/>
  <c r="AK184" i="11" s="1"/>
  <c r="AE184" i="11"/>
  <c r="AE72" i="11"/>
  <c r="AB207" i="11"/>
  <c r="AC207" i="11" s="1"/>
  <c r="W207" i="11"/>
  <c r="AH144" i="11"/>
  <c r="AE135" i="11"/>
  <c r="Z17" i="11"/>
  <c r="AE29" i="11"/>
  <c r="AJ29" i="11"/>
  <c r="AK29" i="11" s="1"/>
  <c r="W84" i="11"/>
  <c r="Z179" i="11"/>
  <c r="AH213" i="11"/>
  <c r="Z204" i="11"/>
  <c r="AE102" i="11"/>
  <c r="AJ102" i="11"/>
  <c r="AK102" i="11" s="1"/>
  <c r="W67" i="11"/>
  <c r="AB67" i="11"/>
  <c r="AC67" i="11" s="1"/>
  <c r="Z184" i="11"/>
  <c r="AH108" i="11"/>
  <c r="AE110" i="11"/>
  <c r="Z199" i="11"/>
  <c r="AB205" i="11"/>
  <c r="AC205" i="11" s="1"/>
  <c r="W205" i="11"/>
  <c r="W82" i="11"/>
  <c r="AH99" i="11"/>
  <c r="Z26" i="11"/>
  <c r="AB208" i="11"/>
  <c r="AC208" i="11" s="1"/>
  <c r="W208" i="11"/>
  <c r="AH96" i="11"/>
  <c r="AH59" i="11"/>
  <c r="AE6" i="11"/>
  <c r="AE86" i="11"/>
  <c r="AE22" i="11"/>
  <c r="W68" i="11"/>
  <c r="AB68" i="11"/>
  <c r="AC68" i="11" s="1"/>
  <c r="AE137" i="11"/>
  <c r="W44" i="11"/>
  <c r="AE128" i="11"/>
  <c r="AH116" i="11"/>
  <c r="W53" i="11"/>
  <c r="AE51" i="11"/>
  <c r="AJ51" i="11"/>
  <c r="AK51" i="11" s="1"/>
  <c r="Z107" i="11"/>
  <c r="Z24" i="11"/>
  <c r="Z173" i="11"/>
  <c r="AE25" i="11"/>
  <c r="AJ25" i="11"/>
  <c r="AK25" i="11" s="1"/>
  <c r="Z197" i="11"/>
  <c r="AH68" i="11"/>
  <c r="AH106" i="11"/>
  <c r="AE171" i="11"/>
  <c r="W146" i="11"/>
  <c r="AB30" i="11"/>
  <c r="AC30" i="11" s="1"/>
  <c r="AL30" i="11" s="1"/>
  <c r="W30" i="11"/>
  <c r="Z193" i="11"/>
  <c r="AH141" i="11"/>
  <c r="W21" i="11"/>
  <c r="AE187" i="11"/>
  <c r="AJ187" i="11"/>
  <c r="AK187" i="11" s="1"/>
  <c r="Z93" i="11"/>
  <c r="Z72" i="11"/>
  <c r="Z76" i="11"/>
  <c r="Z151" i="11"/>
  <c r="W96" i="11"/>
  <c r="AE107" i="11"/>
  <c r="AE178" i="11"/>
  <c r="Z83" i="11"/>
  <c r="AJ212" i="11"/>
  <c r="AK212" i="11" s="1"/>
  <c r="AE212" i="11"/>
  <c r="AB209" i="11"/>
  <c r="AC209" i="11" s="1"/>
  <c r="W209" i="11"/>
  <c r="Z191" i="11"/>
  <c r="Z57" i="11"/>
  <c r="Z19" i="11"/>
  <c r="AE162" i="11"/>
  <c r="AE43" i="11"/>
  <c r="AJ43" i="11"/>
  <c r="AK43" i="11" s="1"/>
  <c r="AH142" i="11"/>
  <c r="W204" i="11"/>
  <c r="AE60" i="11"/>
  <c r="W77" i="11"/>
  <c r="Z181" i="11"/>
  <c r="Z207" i="11"/>
  <c r="Z54" i="11"/>
  <c r="AE153" i="11"/>
  <c r="AJ153" i="11"/>
  <c r="AK153" i="11" s="1"/>
  <c r="AE21" i="11"/>
  <c r="AE152" i="11"/>
  <c r="W37" i="11"/>
  <c r="AE16" i="11"/>
  <c r="Z94" i="11"/>
  <c r="AH177" i="11"/>
  <c r="AH52" i="11"/>
  <c r="AE129" i="11"/>
  <c r="W168" i="11"/>
  <c r="AH67" i="11"/>
  <c r="AJ202" i="11"/>
  <c r="AK202" i="11" s="1"/>
  <c r="AE202" i="11"/>
  <c r="Z106" i="11"/>
  <c r="AH17" i="11"/>
  <c r="W210" i="11"/>
  <c r="AE215" i="11"/>
  <c r="W55" i="11"/>
  <c r="AE192" i="11"/>
  <c r="Z112" i="11"/>
  <c r="AE92" i="11"/>
  <c r="AE31" i="11"/>
  <c r="AJ31" i="11"/>
  <c r="AK31" i="11" s="1"/>
  <c r="AH199" i="11"/>
  <c r="Z90" i="11"/>
  <c r="AH24" i="11"/>
  <c r="AH101" i="11"/>
  <c r="AE35" i="11"/>
  <c r="Z210" i="11"/>
  <c r="AE88" i="11"/>
  <c r="AJ88" i="11"/>
  <c r="AK88" i="11" s="1"/>
  <c r="AB113" i="11"/>
  <c r="AC113" i="11" s="1"/>
  <c r="W113" i="11"/>
  <c r="AH198" i="11"/>
  <c r="W27" i="11"/>
  <c r="Z95" i="11"/>
  <c r="Z188" i="11"/>
  <c r="AE167" i="11"/>
  <c r="AJ167" i="11"/>
  <c r="AK167" i="11" s="1"/>
  <c r="AH100" i="11"/>
  <c r="Z208" i="11"/>
  <c r="Z200" i="11"/>
  <c r="Z7" i="11"/>
  <c r="AE26" i="11"/>
  <c r="W83" i="11"/>
  <c r="W41" i="11"/>
  <c r="AH156" i="11"/>
  <c r="AB63" i="11"/>
  <c r="AC63" i="11" s="1"/>
  <c r="W63" i="11"/>
  <c r="W181" i="11"/>
  <c r="AE175" i="11"/>
  <c r="AJ175" i="11"/>
  <c r="AK175" i="11" s="1"/>
  <c r="AH19" i="11"/>
  <c r="W99" i="11"/>
  <c r="AB99" i="11"/>
  <c r="AC99" i="11" s="1"/>
  <c r="AH93" i="11"/>
  <c r="AH122" i="11"/>
  <c r="Z88" i="11"/>
  <c r="AE143" i="11"/>
  <c r="Z146" i="11"/>
  <c r="W170" i="11"/>
  <c r="AB170" i="11"/>
  <c r="AC170" i="11" s="1"/>
  <c r="AH39" i="11"/>
  <c r="AB194" i="11"/>
  <c r="AC194" i="11" s="1"/>
  <c r="W194" i="11"/>
  <c r="Z48" i="11"/>
  <c r="W117" i="11"/>
  <c r="Z153" i="11"/>
  <c r="AE114" i="11"/>
  <c r="AJ114" i="11"/>
  <c r="AK114" i="11" s="1"/>
  <c r="W197" i="11"/>
  <c r="AE82" i="11"/>
  <c r="W152" i="11"/>
  <c r="AH21" i="11"/>
  <c r="AE113" i="11"/>
  <c r="AE213" i="11"/>
  <c r="Q25" i="13"/>
  <c r="Z165" i="11"/>
  <c r="Z14" i="11"/>
  <c r="AH137" i="11"/>
  <c r="AB171" i="11"/>
  <c r="AC171" i="11" s="1"/>
  <c r="W171" i="11"/>
  <c r="Z201" i="11"/>
  <c r="Z8" i="11"/>
  <c r="W115" i="11"/>
  <c r="Z84" i="11"/>
  <c r="AE200" i="11"/>
  <c r="AJ200" i="11"/>
  <c r="AK200" i="11" s="1"/>
  <c r="W20" i="11"/>
  <c r="Z192" i="11"/>
  <c r="AH118" i="11"/>
  <c r="AH136" i="11"/>
  <c r="AH165" i="11"/>
  <c r="AH92" i="11"/>
  <c r="Z177" i="11"/>
  <c r="AE156" i="11"/>
  <c r="AJ156" i="11"/>
  <c r="AK156" i="11" s="1"/>
  <c r="Z205" i="11"/>
  <c r="AE8" i="11"/>
  <c r="AE139" i="11"/>
  <c r="Z82" i="11"/>
  <c r="AE73" i="11"/>
  <c r="AJ73" i="11"/>
  <c r="AK73" i="11" s="1"/>
  <c r="AH189" i="11"/>
  <c r="AH30" i="11"/>
  <c r="AB193" i="11"/>
  <c r="AC193" i="11" s="1"/>
  <c r="W193" i="11"/>
  <c r="Z55" i="11"/>
  <c r="AE150" i="11"/>
  <c r="Z115" i="11"/>
  <c r="Z45" i="11"/>
  <c r="AE201" i="11"/>
  <c r="AJ201" i="11"/>
  <c r="AK201" i="11" s="1"/>
  <c r="W98" i="11"/>
  <c r="AH163" i="11"/>
  <c r="AH94" i="11"/>
  <c r="AE7" i="11"/>
  <c r="W148" i="11"/>
  <c r="AB148" i="11"/>
  <c r="AC148" i="11" s="1"/>
  <c r="AH205" i="11"/>
  <c r="Z16" i="11"/>
  <c r="AH125" i="11"/>
  <c r="W158" i="11"/>
  <c r="AE185" i="11"/>
  <c r="AJ185" i="11"/>
  <c r="AK185" i="11" s="1"/>
  <c r="AE19" i="11"/>
  <c r="W93" i="11"/>
  <c r="AH48" i="11"/>
  <c r="AH119" i="11"/>
  <c r="AH11" i="11"/>
  <c r="AE146" i="11"/>
  <c r="AJ146" i="11"/>
  <c r="AK146" i="11" s="1"/>
  <c r="AE209" i="11"/>
  <c r="W79" i="11"/>
  <c r="AH129" i="11"/>
  <c r="AH175" i="11"/>
  <c r="Z160" i="11"/>
  <c r="AB94" i="11"/>
  <c r="AC94" i="11" s="1"/>
  <c r="W94" i="11"/>
  <c r="W196" i="11"/>
  <c r="W51" i="11"/>
  <c r="W70" i="11"/>
  <c r="Z104" i="11"/>
  <c r="W36" i="11"/>
  <c r="Z212" i="11"/>
  <c r="W106" i="11"/>
  <c r="Z79" i="11"/>
  <c r="Z186" i="11"/>
  <c r="Z167" i="11"/>
  <c r="W192" i="11"/>
  <c r="W57" i="11"/>
  <c r="W105" i="11"/>
  <c r="AH15" i="11"/>
  <c r="W23" i="11"/>
  <c r="Z189" i="11"/>
  <c r="AE204" i="11"/>
  <c r="W161" i="11"/>
  <c r="AE93" i="11"/>
  <c r="W182" i="11"/>
  <c r="AB173" i="11"/>
  <c r="AC173" i="11" s="1"/>
  <c r="W173" i="11"/>
  <c r="AE166" i="11"/>
  <c r="Z77" i="11"/>
  <c r="W157" i="11"/>
  <c r="AH124" i="11"/>
  <c r="Z196" i="11"/>
  <c r="AH134" i="11"/>
  <c r="Z182" i="11"/>
  <c r="AE63" i="11"/>
  <c r="W211" i="11"/>
  <c r="AE32" i="11"/>
  <c r="AJ32" i="11"/>
  <c r="AK32" i="11" s="1"/>
  <c r="Z49" i="11"/>
  <c r="AH195" i="11"/>
  <c r="Z87" i="11"/>
  <c r="AH185" i="11"/>
  <c r="AE81" i="11"/>
  <c r="AH206" i="11"/>
  <c r="AH151" i="11"/>
  <c r="AE170" i="11"/>
  <c r="AH187" i="11"/>
  <c r="AH149" i="11"/>
  <c r="AE80" i="11"/>
  <c r="AJ80" i="11"/>
  <c r="AK80" i="11" s="1"/>
  <c r="AH209" i="11"/>
  <c r="W177" i="11"/>
  <c r="AH114" i="11"/>
  <c r="AH53" i="11"/>
  <c r="AB19" i="11"/>
  <c r="AC19" i="11" s="1"/>
  <c r="W19" i="11"/>
  <c r="AH181" i="11"/>
  <c r="W88" i="11"/>
  <c r="AB103" i="11"/>
  <c r="AC103" i="11" s="1"/>
  <c r="W103" i="11"/>
  <c r="AE65" i="11"/>
  <c r="AE64" i="11"/>
  <c r="AJ64" i="11"/>
  <c r="AK64" i="11" s="1"/>
  <c r="Z183" i="11"/>
  <c r="AE186" i="11"/>
  <c r="AJ186" i="11"/>
  <c r="AK186" i="11" s="1"/>
  <c r="AH90" i="11"/>
  <c r="AE94" i="11"/>
  <c r="AJ94" i="11"/>
  <c r="AK94" i="11" s="1"/>
  <c r="Z117" i="11"/>
  <c r="AH63" i="11"/>
  <c r="Z162" i="11"/>
  <c r="AH208" i="11"/>
  <c r="AE38" i="11"/>
  <c r="AJ38" i="11"/>
  <c r="AK38" i="11" s="1"/>
  <c r="W39" i="11"/>
  <c r="W156" i="11"/>
  <c r="AH180" i="11"/>
  <c r="AH178" i="11"/>
  <c r="AE148" i="11"/>
  <c r="AJ148" i="11"/>
  <c r="AK148" i="11" s="1"/>
  <c r="Z176" i="11"/>
  <c r="Z170" i="11"/>
  <c r="Z114" i="11"/>
  <c r="Z34" i="11"/>
  <c r="AH201" i="11"/>
  <c r="AH43" i="11"/>
  <c r="W92" i="11"/>
  <c r="W90" i="11"/>
  <c r="Z58" i="11"/>
  <c r="Z163" i="11"/>
  <c r="AE136" i="11"/>
  <c r="AH109" i="11"/>
  <c r="W180" i="11"/>
  <c r="AE44" i="11"/>
  <c r="AH127" i="11"/>
  <c r="W166" i="11"/>
  <c r="AH74" i="11"/>
  <c r="AH174" i="11"/>
  <c r="AE54" i="11"/>
  <c r="AJ54" i="11"/>
  <c r="AK54" i="11" s="1"/>
  <c r="Z185" i="11"/>
  <c r="AE105" i="11"/>
  <c r="AH194" i="11"/>
  <c r="W199" i="11"/>
  <c r="AH157" i="11"/>
  <c r="Z32" i="11"/>
  <c r="AH88" i="11"/>
  <c r="W174" i="11"/>
  <c r="W151" i="11"/>
  <c r="W172" i="11"/>
  <c r="Z78" i="11"/>
  <c r="AE59" i="11"/>
  <c r="W202" i="11"/>
  <c r="AH36" i="11"/>
  <c r="W69" i="11"/>
  <c r="AB46" i="11"/>
  <c r="AC46" i="11" s="1"/>
  <c r="W46" i="11"/>
  <c r="AE61" i="11"/>
  <c r="AJ61" i="11"/>
  <c r="AK61" i="11" s="1"/>
  <c r="AH186" i="11"/>
  <c r="Z108" i="11"/>
  <c r="AB22" i="11"/>
  <c r="AC22" i="11" s="1"/>
  <c r="W22" i="11"/>
  <c r="AH61" i="11"/>
  <c r="Z198" i="11"/>
  <c r="W54" i="11"/>
  <c r="W73" i="11"/>
  <c r="Z158" i="11"/>
  <c r="AH81" i="11"/>
  <c r="AH121" i="11"/>
  <c r="W109" i="11"/>
  <c r="AH204" i="11"/>
  <c r="AH161" i="11"/>
  <c r="AE53" i="11"/>
  <c r="Z36" i="11"/>
  <c r="AE127" i="11"/>
  <c r="W26" i="11"/>
  <c r="AH167" i="11"/>
  <c r="W159" i="11"/>
  <c r="AH130" i="11"/>
  <c r="W49" i="11"/>
  <c r="Z86" i="11"/>
  <c r="W175" i="11"/>
  <c r="AB175" i="11"/>
  <c r="AC175" i="11" s="1"/>
  <c r="AE138" i="11"/>
  <c r="AH164" i="11"/>
  <c r="AE50" i="11"/>
  <c r="W185" i="11"/>
  <c r="AH128" i="11"/>
  <c r="AH138" i="11"/>
  <c r="W188" i="11"/>
  <c r="AH160" i="11"/>
  <c r="AH193" i="11"/>
  <c r="AH203" i="11"/>
  <c r="Z168" i="11"/>
  <c r="AE39" i="11"/>
  <c r="AJ39" i="11"/>
  <c r="AK39" i="11" s="1"/>
  <c r="Z15" i="11"/>
  <c r="W107" i="11"/>
  <c r="AB107" i="11"/>
  <c r="AC107" i="11" s="1"/>
  <c r="Z161" i="11"/>
  <c r="Z62" i="11"/>
  <c r="AE24" i="11"/>
  <c r="W155" i="11"/>
  <c r="AH58" i="11"/>
  <c r="Z213" i="11"/>
  <c r="AE116" i="11"/>
  <c r="AJ116" i="11"/>
  <c r="AK116" i="11" s="1"/>
  <c r="AE121" i="11"/>
  <c r="AE108" i="11"/>
  <c r="AJ108" i="11"/>
  <c r="AK108" i="11" s="1"/>
  <c r="Z110" i="11"/>
  <c r="AB38" i="11"/>
  <c r="AC38" i="11" s="1"/>
  <c r="W38" i="11"/>
  <c r="AH91" i="11"/>
  <c r="AE67" i="11"/>
  <c r="AJ67" i="11"/>
  <c r="AK67" i="11" s="1"/>
  <c r="W48" i="11"/>
  <c r="AE122" i="11"/>
  <c r="AB108" i="11"/>
  <c r="AC108" i="11" s="1"/>
  <c r="W108" i="11"/>
  <c r="AH162" i="11"/>
  <c r="AH45" i="11"/>
  <c r="AH133" i="11"/>
  <c r="Z169" i="11"/>
  <c r="Z215" i="11"/>
  <c r="AE172" i="11"/>
  <c r="AE68" i="11"/>
  <c r="AJ68" i="11"/>
  <c r="AK68" i="11" s="1"/>
  <c r="Z47" i="11"/>
  <c r="AE214" i="11"/>
  <c r="Z30" i="11"/>
  <c r="W214" i="11"/>
  <c r="AB214" i="11"/>
  <c r="AC214" i="11" s="1"/>
  <c r="W75" i="11"/>
  <c r="AB75" i="11"/>
  <c r="AC75" i="11" s="1"/>
  <c r="W179" i="11"/>
  <c r="Z25" i="11"/>
  <c r="AE11" i="11"/>
  <c r="AH79" i="11"/>
  <c r="W42" i="11"/>
  <c r="AE208" i="11"/>
  <c r="AJ208" i="11"/>
  <c r="AK208" i="11" s="1"/>
  <c r="AH190" i="11"/>
  <c r="AE71" i="11"/>
  <c r="W163" i="11"/>
  <c r="AB163" i="11"/>
  <c r="AC163" i="11" s="1"/>
  <c r="AH20" i="11"/>
  <c r="AH51" i="11"/>
  <c r="AH10" i="11"/>
  <c r="Z39" i="11"/>
  <c r="AE78" i="11"/>
  <c r="Z209" i="11"/>
  <c r="AE131" i="11"/>
  <c r="AH145" i="11"/>
  <c r="W97" i="11"/>
  <c r="AH50" i="11"/>
  <c r="W150" i="11"/>
  <c r="W95" i="11"/>
  <c r="AH132" i="11"/>
  <c r="W35" i="11"/>
  <c r="AE57" i="11"/>
  <c r="W24" i="11"/>
  <c r="AB24" i="11"/>
  <c r="AC24" i="11" s="1"/>
  <c r="AL24" i="11" s="1"/>
  <c r="Z171" i="11"/>
  <c r="AE46" i="11"/>
  <c r="AJ46" i="11"/>
  <c r="AK46" i="11" s="1"/>
  <c r="W110" i="11"/>
  <c r="AE134" i="11"/>
  <c r="AE99" i="11"/>
  <c r="AE203" i="11"/>
  <c r="Z68" i="11"/>
  <c r="AH66" i="11"/>
  <c r="AE115" i="11"/>
  <c r="AH72" i="11"/>
  <c r="AH172" i="11"/>
  <c r="AH207" i="11"/>
  <c r="Z187" i="11"/>
  <c r="Z164" i="11"/>
  <c r="Z98" i="11"/>
  <c r="AB50" i="11"/>
  <c r="AC50" i="11" s="1"/>
  <c r="W50" i="11"/>
  <c r="AH23" i="11"/>
  <c r="Z113" i="11"/>
  <c r="AH7" i="11"/>
  <c r="AH77" i="11"/>
  <c r="Z206" i="11"/>
  <c r="AH102" i="11"/>
  <c r="AE177" i="11"/>
  <c r="Z38" i="11"/>
  <c r="AH158" i="11"/>
  <c r="W66" i="11"/>
  <c r="AB66" i="11"/>
  <c r="AC66" i="11" s="1"/>
  <c r="W111" i="11"/>
  <c r="AE106" i="11"/>
  <c r="W28" i="11"/>
  <c r="Z91" i="11"/>
  <c r="Z56" i="11"/>
  <c r="Z66" i="11"/>
  <c r="W149" i="11"/>
  <c r="Z172" i="11"/>
  <c r="Z96" i="11"/>
  <c r="Z111" i="11"/>
  <c r="AH159" i="11"/>
  <c r="W201" i="11"/>
  <c r="AH179" i="11"/>
  <c r="W154" i="11"/>
  <c r="Z31" i="11"/>
  <c r="W29" i="11"/>
  <c r="W52" i="11"/>
  <c r="AB52" i="11"/>
  <c r="AC52" i="11" s="1"/>
  <c r="Z67" i="11"/>
  <c r="W80" i="11"/>
  <c r="AE191" i="11"/>
  <c r="W71" i="11"/>
  <c r="Z152" i="11"/>
  <c r="AE100" i="11"/>
  <c r="AH135" i="11"/>
  <c r="Z11" i="11"/>
  <c r="W74" i="11"/>
  <c r="AE165" i="11"/>
  <c r="AH170" i="11"/>
  <c r="AE194" i="11"/>
  <c r="W190" i="11"/>
  <c r="AB190" i="11"/>
  <c r="AC190" i="11" s="1"/>
  <c r="AE176" i="11"/>
  <c r="AJ176" i="11"/>
  <c r="AK176" i="11" s="1"/>
  <c r="AH6" i="11"/>
  <c r="W165" i="11"/>
  <c r="Z100" i="11"/>
  <c r="AH107" i="11"/>
  <c r="W12" i="11"/>
  <c r="AB12" i="11"/>
  <c r="AC12" i="11" s="1"/>
  <c r="W81" i="11"/>
  <c r="AB81" i="11"/>
  <c r="AC81" i="11" s="1"/>
  <c r="W178" i="11"/>
  <c r="AB178" i="11"/>
  <c r="AC178" i="11" s="1"/>
  <c r="AH49" i="11"/>
  <c r="Z166" i="11"/>
  <c r="AH18" i="11"/>
  <c r="AH146" i="11"/>
  <c r="AB72" i="11"/>
  <c r="AC72" i="11" s="1"/>
  <c r="W72" i="11"/>
  <c r="Z44" i="11"/>
  <c r="AE119" i="11"/>
  <c r="W101" i="11"/>
  <c r="Z53" i="11"/>
  <c r="AJ164" i="11"/>
  <c r="AK164" i="11" s="1"/>
  <c r="AE164" i="11"/>
  <c r="Z178" i="11"/>
  <c r="AE199" i="11"/>
  <c r="Z105" i="11"/>
  <c r="Z41" i="11"/>
  <c r="W176" i="11"/>
  <c r="AH40" i="11"/>
  <c r="AB114" i="11"/>
  <c r="AC114" i="11" s="1"/>
  <c r="W114" i="11"/>
  <c r="AE190" i="11"/>
  <c r="AJ190" i="11"/>
  <c r="AK190" i="11" s="1"/>
  <c r="AE103" i="11"/>
  <c r="AJ103" i="11"/>
  <c r="AK103" i="11" s="1"/>
  <c r="AE163" i="11"/>
  <c r="Z6" i="11"/>
  <c r="AH82" i="11"/>
  <c r="W86" i="11"/>
  <c r="AH73" i="11"/>
  <c r="AH105" i="11"/>
  <c r="AH103" i="11"/>
  <c r="Z60" i="11"/>
  <c r="Z63" i="11"/>
  <c r="Z116" i="11"/>
  <c r="Z42" i="11"/>
  <c r="Z156" i="11"/>
  <c r="AH25" i="11"/>
  <c r="F10" i="11"/>
  <c r="J43" i="11"/>
  <c r="G35" i="11"/>
  <c r="H35" i="11" s="1"/>
  <c r="P10" i="11"/>
  <c r="G38" i="11"/>
  <c r="H38" i="11" s="1"/>
  <c r="F7" i="11"/>
  <c r="N7" i="11"/>
  <c r="P7" i="11" s="1"/>
  <c r="F10" i="13"/>
  <c r="AC40" i="13"/>
  <c r="AF17" i="13"/>
  <c r="AF18" i="13" s="1"/>
  <c r="AE17" i="13"/>
  <c r="AE18" i="13" s="1"/>
  <c r="C45" i="13"/>
  <c r="C47" i="11"/>
  <c r="D38" i="11" s="1"/>
  <c r="L21" i="11"/>
  <c r="J46" i="11"/>
  <c r="Q36" i="13"/>
  <c r="Q44" i="13"/>
  <c r="O34" i="11"/>
  <c r="F5" i="13"/>
  <c r="N8" i="11"/>
  <c r="P8" i="11" s="1"/>
  <c r="F8" i="11"/>
  <c r="M46" i="11"/>
  <c r="N46" i="11" s="1"/>
  <c r="P6" i="11"/>
  <c r="D21" i="11"/>
  <c r="G36" i="11"/>
  <c r="L45" i="11"/>
  <c r="Q33" i="13"/>
  <c r="AC38" i="13"/>
  <c r="L46" i="11"/>
  <c r="Q38" i="13"/>
  <c r="C21" i="11"/>
  <c r="Q34" i="13"/>
  <c r="F12" i="11"/>
  <c r="F11" i="13"/>
  <c r="F15" i="13"/>
  <c r="P13" i="11"/>
  <c r="Q41" i="13"/>
  <c r="F11" i="11"/>
  <c r="G40" i="11"/>
  <c r="H40" i="11" s="1"/>
  <c r="P14" i="11"/>
  <c r="E21" i="11"/>
  <c r="Q24" i="13"/>
  <c r="N12" i="11"/>
  <c r="Q37" i="13"/>
  <c r="M11" i="11"/>
  <c r="P11" i="11" s="1"/>
  <c r="AC35" i="13"/>
  <c r="M41" i="11"/>
  <c r="N41" i="11" s="1"/>
  <c r="F15" i="11"/>
  <c r="M15" i="11"/>
  <c r="P15" i="11" s="1"/>
  <c r="G39" i="11"/>
  <c r="H39" i="11" s="1"/>
  <c r="G41" i="11"/>
  <c r="H41" i="11" s="1"/>
  <c r="O12" i="11"/>
  <c r="M39" i="11"/>
  <c r="N39" i="11" s="1"/>
  <c r="M35" i="11"/>
  <c r="N35" i="11" s="1"/>
  <c r="L35" i="11"/>
  <c r="J35" i="11"/>
  <c r="AC41" i="13"/>
  <c r="AC27" i="13"/>
  <c r="F8" i="13"/>
  <c r="F16" i="13"/>
  <c r="D20" i="13"/>
  <c r="F19" i="13"/>
  <c r="Q26" i="13"/>
  <c r="F12" i="13"/>
  <c r="E20" i="13"/>
  <c r="AC36" i="13"/>
  <c r="F6" i="13"/>
  <c r="C20" i="13"/>
  <c r="E47" i="11"/>
  <c r="L44" i="11"/>
  <c r="F9" i="13"/>
  <c r="F17" i="13"/>
  <c r="F7" i="13"/>
  <c r="AC28" i="13"/>
  <c r="Q39" i="13"/>
  <c r="Q29" i="13"/>
  <c r="F18" i="13"/>
  <c r="Q32" i="13"/>
  <c r="J38" i="11"/>
  <c r="M38" i="11"/>
  <c r="N38" i="11" s="1"/>
  <c r="J45" i="11"/>
  <c r="M45" i="11"/>
  <c r="N45" i="11" s="1"/>
  <c r="AL171" i="11" l="1"/>
  <c r="AL188" i="11"/>
  <c r="AL26" i="11"/>
  <c r="AL93" i="11"/>
  <c r="AL109" i="11"/>
  <c r="AL215" i="11"/>
  <c r="AL170" i="11"/>
  <c r="AL199" i="11"/>
  <c r="AL90" i="11"/>
  <c r="AL198" i="11"/>
  <c r="AL82" i="11"/>
  <c r="AL57" i="11"/>
  <c r="AL60" i="11"/>
  <c r="AL149" i="11"/>
  <c r="AL172" i="11"/>
  <c r="AL157" i="11"/>
  <c r="AL115" i="11"/>
  <c r="AL21" i="11"/>
  <c r="AL10" i="11"/>
  <c r="AL181" i="11"/>
  <c r="AL207" i="11"/>
  <c r="AL113" i="11"/>
  <c r="AL65" i="11"/>
  <c r="AL100" i="11"/>
  <c r="AL99" i="11"/>
  <c r="AL51" i="11"/>
  <c r="AL86" i="11"/>
  <c r="AL184" i="11"/>
  <c r="AL76" i="11"/>
  <c r="AL179" i="11"/>
  <c r="AL47" i="11"/>
  <c r="AL187" i="11"/>
  <c r="AL96" i="11"/>
  <c r="AL17" i="11"/>
  <c r="AL58" i="11"/>
  <c r="AL44" i="11"/>
  <c r="AL204" i="11"/>
  <c r="AL87" i="11"/>
  <c r="AL22" i="11"/>
  <c r="AL9" i="11"/>
  <c r="AL34" i="11"/>
  <c r="AL214" i="11"/>
  <c r="AL158" i="11"/>
  <c r="AL165" i="11"/>
  <c r="AL74" i="11"/>
  <c r="AL107" i="11"/>
  <c r="AL16" i="11"/>
  <c r="AL166" i="11"/>
  <c r="AL152" i="11"/>
  <c r="AL201" i="11"/>
  <c r="AL12" i="11"/>
  <c r="AL18" i="11"/>
  <c r="AL110" i="11"/>
  <c r="AL88" i="11"/>
  <c r="AL7" i="11"/>
  <c r="O37" i="11"/>
  <c r="AL89" i="11"/>
  <c r="AL8" i="11"/>
  <c r="AL117" i="11"/>
  <c r="AL160" i="11"/>
  <c r="AL53" i="11"/>
  <c r="AL75" i="11"/>
  <c r="AL23" i="11"/>
  <c r="AL174" i="11"/>
  <c r="AL48" i="11"/>
  <c r="AL185" i="11"/>
  <c r="AL73" i="11"/>
  <c r="AL35" i="11"/>
  <c r="AL180" i="11"/>
  <c r="AL106" i="11"/>
  <c r="AL59" i="11"/>
  <c r="AL193" i="11"/>
  <c r="AL209" i="11"/>
  <c r="AL105" i="11"/>
  <c r="AL49" i="11"/>
  <c r="AL62" i="11"/>
  <c r="AL153" i="11"/>
  <c r="AL52" i="11"/>
  <c r="AL63" i="11"/>
  <c r="AL39" i="11"/>
  <c r="AL192" i="11"/>
  <c r="AL92" i="11"/>
  <c r="AL162" i="11"/>
  <c r="AL191" i="11"/>
  <c r="AL11" i="11"/>
  <c r="AL54" i="11"/>
  <c r="AL40" i="11"/>
  <c r="AL176" i="11"/>
  <c r="AL178" i="11"/>
  <c r="AL79" i="11"/>
  <c r="AL163" i="11"/>
  <c r="AL101" i="11"/>
  <c r="AL45" i="11"/>
  <c r="O44" i="11"/>
  <c r="AL104" i="11"/>
  <c r="AL102" i="11"/>
  <c r="AL156" i="11"/>
  <c r="AL206" i="11"/>
  <c r="AL177" i="11"/>
  <c r="O43" i="11"/>
  <c r="O21" i="11"/>
  <c r="O40" i="11"/>
  <c r="O42" i="11"/>
  <c r="AL66" i="11"/>
  <c r="AL95" i="11"/>
  <c r="AL164" i="11"/>
  <c r="AL15" i="11"/>
  <c r="AL37" i="11"/>
  <c r="AL150" i="11"/>
  <c r="AL189" i="11"/>
  <c r="AL85" i="11"/>
  <c r="AL81" i="11"/>
  <c r="AL146" i="11"/>
  <c r="AL64" i="11"/>
  <c r="AL202" i="11"/>
  <c r="AL32" i="11"/>
  <c r="AL19" i="11"/>
  <c r="AL151" i="11"/>
  <c r="AL71" i="11"/>
  <c r="AL72" i="11"/>
  <c r="AL36" i="11"/>
  <c r="AL50" i="11"/>
  <c r="AL194" i="11"/>
  <c r="O45" i="11"/>
  <c r="AL173" i="11"/>
  <c r="AL80" i="11"/>
  <c r="AL195" i="11"/>
  <c r="AL175" i="11"/>
  <c r="AL159" i="11"/>
  <c r="O46" i="11"/>
  <c r="AL208" i="11"/>
  <c r="AL43" i="11"/>
  <c r="AL213" i="11"/>
  <c r="AL108" i="11"/>
  <c r="AL29" i="11"/>
  <c r="AL78" i="11"/>
  <c r="AL61" i="11"/>
  <c r="AL205" i="11"/>
  <c r="AL46" i="11"/>
  <c r="AL94" i="11"/>
  <c r="AL212" i="11"/>
  <c r="AL38" i="11"/>
  <c r="AL167" i="11"/>
  <c r="AL186" i="11"/>
  <c r="AL114" i="11"/>
  <c r="AL67" i="11"/>
  <c r="AL116" i="11"/>
  <c r="AL200" i="11"/>
  <c r="AL91" i="11"/>
  <c r="AL190" i="11"/>
  <c r="AL25" i="11"/>
  <c r="AL31" i="11"/>
  <c r="AL68" i="11"/>
  <c r="O38" i="11"/>
  <c r="AL148" i="11"/>
  <c r="AL103" i="11"/>
  <c r="AL147" i="11"/>
  <c r="O35" i="11"/>
  <c r="H36" i="11"/>
  <c r="O36" i="11" s="1"/>
  <c r="D39" i="11"/>
  <c r="D44" i="11"/>
  <c r="D41" i="11"/>
  <c r="D37" i="11"/>
  <c r="D43" i="11"/>
  <c r="D46" i="11"/>
  <c r="D34" i="11"/>
  <c r="D35" i="11"/>
  <c r="D36" i="11"/>
  <c r="D45" i="11"/>
  <c r="D40" i="11"/>
  <c r="D42" i="11"/>
  <c r="N21" i="11"/>
  <c r="F21" i="11"/>
  <c r="M21" i="11"/>
  <c r="O41" i="11"/>
  <c r="O39" i="11"/>
  <c r="P12" i="11"/>
  <c r="A19" i="11" s="1" a="1"/>
  <c r="A19" i="11" s="1"/>
  <c r="A15" i="13"/>
  <c r="A9" i="13"/>
  <c r="F43" i="11"/>
  <c r="F36" i="11"/>
  <c r="F40" i="11"/>
  <c r="F44" i="11"/>
  <c r="F46" i="11"/>
  <c r="F35" i="11"/>
  <c r="F39" i="11"/>
  <c r="F38" i="11"/>
  <c r="F37" i="11"/>
  <c r="F34" i="11"/>
  <c r="F41" i="11"/>
  <c r="F45" i="11"/>
  <c r="F42" i="11"/>
  <c r="A16" i="13"/>
  <c r="A8" i="13"/>
  <c r="A17" i="13"/>
  <c r="A14" i="13"/>
  <c r="A11" i="13"/>
  <c r="A5" i="13"/>
  <c r="A13" i="13"/>
  <c r="A6" i="13"/>
  <c r="A10" i="13"/>
  <c r="A12" i="13"/>
  <c r="A7" i="13"/>
  <c r="P21" i="11" l="1"/>
  <c r="A11" i="11" a="1"/>
  <c r="A11" i="11" s="1"/>
  <c r="A20" i="11" a="1"/>
  <c r="A20" i="11" s="1"/>
  <c r="A15" i="11" a="1"/>
  <c r="A15" i="11" s="1"/>
  <c r="A17" i="11" a="1"/>
  <c r="A17" i="11" s="1"/>
  <c r="A7" i="11" a="1"/>
  <c r="A7" i="11" s="1"/>
  <c r="A10" i="11" a="1"/>
  <c r="A10" i="11" s="1"/>
  <c r="A8" i="11" a="1"/>
  <c r="A8" i="11" s="1"/>
  <c r="A12" i="11" a="1"/>
  <c r="A12" i="11" s="1"/>
  <c r="A6" i="11" a="1"/>
  <c r="A6" i="11" s="1"/>
  <c r="A9" i="11" a="1"/>
  <c r="A9" i="11" s="1"/>
  <c r="A18" i="11" a="1"/>
  <c r="A18" i="11" s="1"/>
  <c r="A14" i="11" a="1"/>
  <c r="A14" i="11" s="1"/>
  <c r="A16" i="11" a="1"/>
  <c r="A16" i="11" s="1"/>
  <c r="A13" i="11" a="1"/>
  <c r="A13" i="11" s="1"/>
  <c r="A28" i="11" l="1"/>
  <c r="D28" i="11" s="1" a="1"/>
  <c r="D28" i="11" s="1"/>
  <c r="D25" i="11" a="1"/>
  <c r="D25" i="11" s="1"/>
  <c r="D23" i="11" a="1"/>
  <c r="D23" i="11" s="1"/>
  <c r="A27" i="11"/>
  <c r="D27" i="11" s="1" a="1"/>
  <c r="D27" i="11" s="1"/>
  <c r="D24" i="11" a="1"/>
  <c r="D24" i="11" s="1"/>
  <c r="A29" i="11"/>
  <c r="D29" i="11" s="1" a="1"/>
  <c r="D29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<sst xmlns="http://schemas.openxmlformats.org/spreadsheetml/2006/main" count="6289" uniqueCount="535">
  <si>
    <t>Year</t>
  </si>
  <si>
    <t>W</t>
  </si>
  <si>
    <t>L</t>
  </si>
  <si>
    <t>T</t>
  </si>
  <si>
    <t>Pts For</t>
  </si>
  <si>
    <t>Owner</t>
  </si>
  <si>
    <t>Playoffs</t>
  </si>
  <si>
    <t>Championships</t>
  </si>
  <si>
    <t>Wins</t>
  </si>
  <si>
    <t>Losses</t>
  </si>
  <si>
    <t>Ties</t>
  </si>
  <si>
    <t>Rank</t>
  </si>
  <si>
    <t>Yes</t>
  </si>
  <si>
    <t>Game ID</t>
  </si>
  <si>
    <t>Manager</t>
  </si>
  <si>
    <t>Season</t>
  </si>
  <si>
    <t>Week</t>
  </si>
  <si>
    <t>Game</t>
  </si>
  <si>
    <t>Points</t>
  </si>
  <si>
    <t>Diff</t>
  </si>
  <si>
    <t>Outcome</t>
  </si>
  <si>
    <t>Opponent</t>
  </si>
  <si>
    <t>Mark</t>
  </si>
  <si>
    <t>Michael</t>
  </si>
  <si>
    <t>Watty</t>
  </si>
  <si>
    <t>BR</t>
  </si>
  <si>
    <t>Brian</t>
  </si>
  <si>
    <t>Abby</t>
  </si>
  <si>
    <t>Russell</t>
  </si>
  <si>
    <t>David</t>
  </si>
  <si>
    <t>Matt</t>
  </si>
  <si>
    <t>Round</t>
  </si>
  <si>
    <t>Semis</t>
  </si>
  <si>
    <t>Championship</t>
  </si>
  <si>
    <t>Win</t>
  </si>
  <si>
    <t>Loss</t>
  </si>
  <si>
    <t>Tie</t>
  </si>
  <si>
    <t>Pct</t>
  </si>
  <si>
    <t>Pts Diff</t>
  </si>
  <si>
    <t>Pts Scored</t>
  </si>
  <si>
    <t>Margin</t>
  </si>
  <si>
    <t>Overall</t>
  </si>
  <si>
    <t>Quarters</t>
  </si>
  <si>
    <t>Emily</t>
  </si>
  <si>
    <t>Best Against</t>
  </si>
  <si>
    <t>Worst Against</t>
  </si>
  <si>
    <t>Strickland Fantasy Football League</t>
  </si>
  <si>
    <t>Brent</t>
  </si>
  <si>
    <t>Charles</t>
  </si>
  <si>
    <t>Pts Per Game</t>
  </si>
  <si>
    <t>Apps</t>
  </si>
  <si>
    <t>Rings</t>
  </si>
  <si>
    <t>Division Titles</t>
  </si>
  <si>
    <t>Founding Brothers' Cup</t>
  </si>
  <si>
    <t>Brother</t>
  </si>
  <si>
    <t xml:space="preserve">    vs David</t>
  </si>
  <si>
    <t xml:space="preserve">    vs Russell</t>
  </si>
  <si>
    <t xml:space="preserve">    vs Watty</t>
  </si>
  <si>
    <t xml:space="preserve">    vs BR</t>
  </si>
  <si>
    <t>Historical Regular Season Table</t>
  </si>
  <si>
    <t>Top 5 Biggest Beatdowns of All Time</t>
  </si>
  <si>
    <t>Historical Playoffs Table</t>
  </si>
  <si>
    <t>Division</t>
  </si>
  <si>
    <t>AKCOVA</t>
  </si>
  <si>
    <t>TEXAROK</t>
  </si>
  <si>
    <t>vs TEXAROK</t>
  </si>
  <si>
    <t>vs AKCOVA</t>
  </si>
  <si>
    <t>vs Division</t>
  </si>
  <si>
    <t>Y</t>
  </si>
  <si>
    <t>N</t>
  </si>
  <si>
    <t>#</t>
  </si>
  <si>
    <t>Team Display Name</t>
  </si>
  <si>
    <t>Column1</t>
  </si>
  <si>
    <t>Owner First Name</t>
  </si>
  <si>
    <t>Owner Last Name</t>
  </si>
  <si>
    <t>Team Abbreviation</t>
  </si>
  <si>
    <t>Team Location</t>
  </si>
  <si>
    <t>Team Nickname</t>
  </si>
  <si>
    <t>Playoff Seed</t>
  </si>
  <si>
    <t>Final Rank</t>
  </si>
  <si>
    <t>Points For</t>
  </si>
  <si>
    <t>Points Against</t>
  </si>
  <si>
    <t>strickrb</t>
  </si>
  <si>
    <t>Strickland</t>
  </si>
  <si>
    <t>Ru$$</t>
  </si>
  <si>
    <t>Just the</t>
  </si>
  <si>
    <t>facts ma'am</t>
  </si>
  <si>
    <t>WattyStrick</t>
  </si>
  <si>
    <t>BLM</t>
  </si>
  <si>
    <t>Black Labs</t>
  </si>
  <si>
    <t>Matter</t>
  </si>
  <si>
    <t>ottostrickland</t>
  </si>
  <si>
    <t>SLEE</t>
  </si>
  <si>
    <t>Land of the</t>
  </si>
  <si>
    <t>Lost Sleestaks</t>
  </si>
  <si>
    <t>seldonballard</t>
  </si>
  <si>
    <t>Ballard</t>
  </si>
  <si>
    <t>MAK</t>
  </si>
  <si>
    <t>Dude</t>
  </si>
  <si>
    <t>Where’s Makar</t>
  </si>
  <si>
    <t>mariac8448744</t>
  </si>
  <si>
    <t>BQMW</t>
  </si>
  <si>
    <t>Brady Quinn</t>
  </si>
  <si>
    <t>Medicine Woman</t>
  </si>
  <si>
    <t>Chabecca</t>
  </si>
  <si>
    <t>AK</t>
  </si>
  <si>
    <t>Be the One</t>
  </si>
  <si>
    <t>Brent1083</t>
  </si>
  <si>
    <t>Wallace</t>
  </si>
  <si>
    <t>WALL</t>
  </si>
  <si>
    <t>Bad Boy</t>
  </si>
  <si>
    <t xml:space="preserve"> Brent</t>
  </si>
  <si>
    <t>Abby64475</t>
  </si>
  <si>
    <t>BALL</t>
  </si>
  <si>
    <t>Team</t>
  </si>
  <si>
    <t>A. Ballard</t>
  </si>
  <si>
    <t>mtfreela1</t>
  </si>
  <si>
    <t>Freeland</t>
  </si>
  <si>
    <t>FREE</t>
  </si>
  <si>
    <t>No Rollin' with</t>
  </si>
  <si>
    <t>out Mahomies</t>
  </si>
  <si>
    <t>strickland_26</t>
  </si>
  <si>
    <t>BRS</t>
  </si>
  <si>
    <t>Inaugural</t>
  </si>
  <si>
    <t>Champion</t>
  </si>
  <si>
    <t>CStrick14</t>
  </si>
  <si>
    <t>CRS</t>
  </si>
  <si>
    <t>Unethical</t>
  </si>
  <si>
    <t>TBL</t>
  </si>
  <si>
    <t>Mattfreela</t>
  </si>
  <si>
    <t>WPS</t>
  </si>
  <si>
    <t>No Way</t>
  </si>
  <si>
    <t>San José</t>
  </si>
  <si>
    <t>EZOU</t>
  </si>
  <si>
    <t>T4QB</t>
  </si>
  <si>
    <t>Gato</t>
  </si>
  <si>
    <t>MIKE</t>
  </si>
  <si>
    <t>NDSX</t>
  </si>
  <si>
    <t>Sarah</t>
  </si>
  <si>
    <t>STRI</t>
  </si>
  <si>
    <t>Johnny Foot</t>
  </si>
  <si>
    <t>Ball Autograph$</t>
  </si>
  <si>
    <t>ComeOnYouSpurs12</t>
  </si>
  <si>
    <t>Brady Quinn,</t>
  </si>
  <si>
    <t>Tebow</t>
  </si>
  <si>
    <t>4QB</t>
  </si>
  <si>
    <t>Gatos</t>
  </si>
  <si>
    <t>Gordos</t>
  </si>
  <si>
    <t>Manti Teo's</t>
  </si>
  <si>
    <t>Girlfriend</t>
  </si>
  <si>
    <t>sstrickland@sbcglobal.net</t>
  </si>
  <si>
    <t>Super Heroes</t>
  </si>
  <si>
    <t>Northern</t>
  </si>
  <si>
    <t>Duck Slayers</t>
  </si>
  <si>
    <t>BrianStrickland</t>
  </si>
  <si>
    <t>mtfreela</t>
  </si>
  <si>
    <t>Bielema</t>
  </si>
  <si>
    <t>Disorder</t>
  </si>
  <si>
    <t>LVEG</t>
  </si>
  <si>
    <t>Time for some</t>
  </si>
  <si>
    <t>Manziel Mania</t>
  </si>
  <si>
    <t>5280</t>
  </si>
  <si>
    <t>Manning Revenge</t>
  </si>
  <si>
    <t>SBORBUST</t>
  </si>
  <si>
    <t>CLR</t>
  </si>
  <si>
    <t>America's Oil</t>
  </si>
  <si>
    <t>AKCO</t>
  </si>
  <si>
    <t>Gingervitis</t>
  </si>
  <si>
    <t>Arkadoo71923</t>
  </si>
  <si>
    <t>CRAB</t>
  </si>
  <si>
    <t>Crab Legs</t>
  </si>
  <si>
    <t>DenD</t>
  </si>
  <si>
    <t>Brocket</t>
  </si>
  <si>
    <t>Launcher</t>
  </si>
  <si>
    <t>Be the 1</t>
  </si>
  <si>
    <t>North</t>
  </si>
  <si>
    <t>Dallas 40</t>
  </si>
  <si>
    <t>Holy</t>
  </si>
  <si>
    <t>Toledo</t>
  </si>
  <si>
    <t>Whoo Pig</t>
  </si>
  <si>
    <t>Sooie</t>
  </si>
  <si>
    <t>Luckness</t>
  </si>
  <si>
    <t>Monster</t>
  </si>
  <si>
    <t>CATI</t>
  </si>
  <si>
    <t>TX</t>
  </si>
  <si>
    <t>Manz</t>
  </si>
  <si>
    <t>Cleveland</t>
  </si>
  <si>
    <t>Browns</t>
  </si>
  <si>
    <t>Be the 10</t>
  </si>
  <si>
    <t>I'm Your</t>
  </si>
  <si>
    <t>Huckleberry</t>
  </si>
  <si>
    <t>Make America</t>
  </si>
  <si>
    <t>Gronk Again!</t>
  </si>
  <si>
    <t>Boomer Sooner</t>
  </si>
  <si>
    <t>3000</t>
  </si>
  <si>
    <t>Antonio Browns</t>
  </si>
  <si>
    <t>Sparta Kick</t>
  </si>
  <si>
    <t>COOK</t>
  </si>
  <si>
    <t>Dalvin and the</t>
  </si>
  <si>
    <t>Chipmunks</t>
  </si>
  <si>
    <t>Badger player</t>
  </si>
  <si>
    <t>of the week!</t>
  </si>
  <si>
    <t>Black Sheep of</t>
  </si>
  <si>
    <t>the family</t>
  </si>
  <si>
    <t>UNCO</t>
  </si>
  <si>
    <t>SUPER FAN</t>
  </si>
  <si>
    <t>0-16</t>
  </si>
  <si>
    <t>Big Gulps</t>
  </si>
  <si>
    <t>Huh?</t>
  </si>
  <si>
    <t>Go Badgers!</t>
  </si>
  <si>
    <t>State Champs!</t>
  </si>
  <si>
    <t>Rollin' With</t>
  </si>
  <si>
    <t>Mahomies</t>
  </si>
  <si>
    <t>KOJ</t>
  </si>
  <si>
    <t>Trooper</t>
  </si>
  <si>
    <t>Kojak</t>
  </si>
  <si>
    <t>AK Used To</t>
  </si>
  <si>
    <t>All My</t>
  </si>
  <si>
    <t>Rowdy Friends</t>
  </si>
  <si>
    <t>Rollin' with</t>
  </si>
  <si>
    <t>Frank Wills’</t>
  </si>
  <si>
    <t>Ingenuity</t>
  </si>
  <si>
    <t>Dude Where's</t>
  </si>
  <si>
    <t>Makar</t>
  </si>
  <si>
    <t>HOF</t>
  </si>
  <si>
    <t>ESPNFAN17399922</t>
  </si>
  <si>
    <t>CPAs</t>
  </si>
  <si>
    <t>Arnold</t>
  </si>
  <si>
    <t>Rivera</t>
  </si>
  <si>
    <t>Rollin' *with</t>
  </si>
  <si>
    <t>Pittman</t>
  </si>
  <si>
    <t>For President</t>
  </si>
  <si>
    <t>JTFM</t>
  </si>
  <si>
    <t>AK1*</t>
  </si>
  <si>
    <t>Be the One*</t>
  </si>
  <si>
    <t>ESPNFAN8347308687</t>
  </si>
  <si>
    <t>RN</t>
  </si>
  <si>
    <t>Kinder</t>
  </si>
  <si>
    <t>Gentler, TBL</t>
  </si>
  <si>
    <t>The Brady</t>
  </si>
  <si>
    <t>Bunch</t>
  </si>
  <si>
    <t>Row Labels</t>
  </si>
  <si>
    <t>Grand Total</t>
  </si>
  <si>
    <t>Column Labels</t>
  </si>
  <si>
    <t>Count of Team Display Name</t>
  </si>
  <si>
    <t>Sum of Wins</t>
  </si>
  <si>
    <t>Manager 2</t>
  </si>
  <si>
    <t>Woodsheds</t>
  </si>
  <si>
    <t>Delta</t>
  </si>
  <si>
    <t>For</t>
  </si>
  <si>
    <t>Against</t>
  </si>
  <si>
    <t>Average of Playoff Seed</t>
  </si>
  <si>
    <t>Average of Points</t>
  </si>
  <si>
    <t>Record for Most Points Scored</t>
  </si>
  <si>
    <t>Weeks Held</t>
  </si>
  <si>
    <t>--</t>
  </si>
  <si>
    <t>Founding Brothers vs Kids</t>
  </si>
  <si>
    <t xml:space="preserve">    vs Charles</t>
  </si>
  <si>
    <t xml:space="preserve">    vs Arnold</t>
  </si>
  <si>
    <t xml:space="preserve">    vs Brian</t>
  </si>
  <si>
    <t xml:space="preserve">    vs Emily</t>
  </si>
  <si>
    <t xml:space="preserve">    vs Matt</t>
  </si>
  <si>
    <t xml:space="preserve">    vs Abby</t>
  </si>
  <si>
    <t xml:space="preserve">    vs Mark</t>
  </si>
  <si>
    <t xml:space="preserve">    vs Michael</t>
  </si>
  <si>
    <t>Playoff App</t>
  </si>
  <si>
    <t>Div Title</t>
  </si>
  <si>
    <t>Regular Season</t>
  </si>
  <si>
    <t>ID</t>
  </si>
  <si>
    <t>Role</t>
  </si>
  <si>
    <t>Position</t>
  </si>
  <si>
    <t>Multiple</t>
  </si>
  <si>
    <t>Player</t>
  </si>
  <si>
    <t>%ST</t>
  </si>
  <si>
    <t>%ROST</t>
  </si>
  <si>
    <t>+/-</t>
  </si>
  <si>
    <t>PRK</t>
  </si>
  <si>
    <t>FPTS</t>
  </si>
  <si>
    <t>AVG</t>
  </si>
  <si>
    <t>LAST</t>
  </si>
  <si>
    <t>IND</t>
  </si>
  <si>
    <t>Bench</t>
  </si>
  <si>
    <t>RB</t>
  </si>
  <si>
    <t>Ahmad Bradshaw</t>
  </si>
  <si>
    <t>WSH</t>
  </si>
  <si>
    <t>Starter</t>
  </si>
  <si>
    <t>QB</t>
  </si>
  <si>
    <t>Alex Smith</t>
  </si>
  <si>
    <t>CHI</t>
  </si>
  <si>
    <t>WR</t>
  </si>
  <si>
    <t>Alshon Jeffery</t>
  </si>
  <si>
    <t>NO</t>
  </si>
  <si>
    <t>Alvin Kamara</t>
  </si>
  <si>
    <t>DET</t>
  </si>
  <si>
    <t>Amon-Ra St. Brown</t>
  </si>
  <si>
    <t>ARI</t>
  </si>
  <si>
    <t>Andre Ellington</t>
  </si>
  <si>
    <t>SF</t>
  </si>
  <si>
    <t>Anquan Boldin</t>
  </si>
  <si>
    <t>HOU</t>
  </si>
  <si>
    <t>Arian Foster</t>
  </si>
  <si>
    <t>D/ST</t>
  </si>
  <si>
    <t>Bears D/ST</t>
  </si>
  <si>
    <t>BUF</t>
  </si>
  <si>
    <t>Bills D/ST</t>
  </si>
  <si>
    <t>JAC</t>
  </si>
  <si>
    <t>Blake Bortles</t>
  </si>
  <si>
    <t>PHI</t>
  </si>
  <si>
    <t>Boston Scott</t>
  </si>
  <si>
    <t>Brandon Aiyuk</t>
  </si>
  <si>
    <t>NE</t>
  </si>
  <si>
    <t>Brandon Bolden</t>
  </si>
  <si>
    <t>NYJ</t>
  </si>
  <si>
    <t>DEN</t>
  </si>
  <si>
    <t>K</t>
  </si>
  <si>
    <t>Brandon McManus</t>
  </si>
  <si>
    <t>TE</t>
  </si>
  <si>
    <t>Brandon Pettigrew</t>
  </si>
  <si>
    <t>TB</t>
  </si>
  <si>
    <t>Breshad Perriman</t>
  </si>
  <si>
    <t>Broncos D/ST</t>
  </si>
  <si>
    <t>LAR</t>
  </si>
  <si>
    <t>Cam Akers</t>
  </si>
  <si>
    <t>Cardinals D/ST</t>
  </si>
  <si>
    <t>LAC</t>
  </si>
  <si>
    <t>Chargers D/ST</t>
  </si>
  <si>
    <t>KC</t>
  </si>
  <si>
    <t>Chiefs D/ST</t>
  </si>
  <si>
    <t>PIT</t>
  </si>
  <si>
    <t>Chris Boswell</t>
  </si>
  <si>
    <t>SEA</t>
  </si>
  <si>
    <t>Chris Carson</t>
  </si>
  <si>
    <t>ATL</t>
  </si>
  <si>
    <t>Cordarrelle Patterson</t>
  </si>
  <si>
    <t>DAL</t>
  </si>
  <si>
    <t>Dak Prescott</t>
  </si>
  <si>
    <t>Daniel Herron</t>
  </si>
  <si>
    <t>GB</t>
  </si>
  <si>
    <t>Davante Adams</t>
  </si>
  <si>
    <t>David Johnson</t>
  </si>
  <si>
    <t>DeAndre Hopkins</t>
  </si>
  <si>
    <t>Deebo Samuel</t>
  </si>
  <si>
    <t>TEN</t>
  </si>
  <si>
    <t>Delanie Walker</t>
  </si>
  <si>
    <t>Demaryius Thomas</t>
  </si>
  <si>
    <t>Devin Singletary</t>
  </si>
  <si>
    <t>Dez Bryant</t>
  </si>
  <si>
    <t>Drew Brees</t>
  </si>
  <si>
    <t>Eagles D/ST</t>
  </si>
  <si>
    <t>Elijah McGuire</t>
  </si>
  <si>
    <t>NYG</t>
  </si>
  <si>
    <t>Evan Engram</t>
  </si>
  <si>
    <t>Frank Gore</t>
  </si>
  <si>
    <t>CIN</t>
  </si>
  <si>
    <t>Giovani Bernard</t>
  </si>
  <si>
    <t>Golden Tate</t>
  </si>
  <si>
    <t>Graham Gano</t>
  </si>
  <si>
    <t>Greg Dulcich</t>
  </si>
  <si>
    <t>CAR</t>
  </si>
  <si>
    <t>Greg Olsen</t>
  </si>
  <si>
    <t>Harrison Butker</t>
  </si>
  <si>
    <t>Hunter Henry</t>
  </si>
  <si>
    <t>CLE</t>
  </si>
  <si>
    <t>Isaiah Crowell</t>
  </si>
  <si>
    <t>Jamison Crowder</t>
  </si>
  <si>
    <t>Jared Cook</t>
  </si>
  <si>
    <t>Jaret Patterson</t>
  </si>
  <si>
    <t>Jarvis Landry</t>
  </si>
  <si>
    <t>MIA</t>
  </si>
  <si>
    <t>Jason Sanders</t>
  </si>
  <si>
    <t>Jay Ajayi</t>
  </si>
  <si>
    <t>Jaylen Waddle</t>
  </si>
  <si>
    <t>Jeff Wilson Jr.</t>
  </si>
  <si>
    <t>Jeremy Hill</t>
  </si>
  <si>
    <t>MIN</t>
  </si>
  <si>
    <t>Jerome Simpson</t>
  </si>
  <si>
    <t>Jets D/ST</t>
  </si>
  <si>
    <t>Joe Burrow</t>
  </si>
  <si>
    <t>BAL</t>
  </si>
  <si>
    <t>Joe Flacco</t>
  </si>
  <si>
    <t>John Brown</t>
  </si>
  <si>
    <t>Jordan Howard</t>
  </si>
  <si>
    <t>Josh Allen</t>
  </si>
  <si>
    <t>Josh Gordon</t>
  </si>
  <si>
    <t>JuJu Smith-Schuster</t>
  </si>
  <si>
    <t>Julio Jones</t>
  </si>
  <si>
    <t>Ka'imi Fairbairn</t>
  </si>
  <si>
    <t>Kareem Hunt</t>
  </si>
  <si>
    <t>Keke Coutee</t>
  </si>
  <si>
    <t>Kyler Murray</t>
  </si>
  <si>
    <t>Lamar Miller</t>
  </si>
  <si>
    <t>Larry Fitzgerald</t>
  </si>
  <si>
    <t>Latavius Murray</t>
  </si>
  <si>
    <t>Leonard Fournette</t>
  </si>
  <si>
    <t>LeSean McCoy</t>
  </si>
  <si>
    <t>Le'Veon Bell</t>
  </si>
  <si>
    <t>Lions D/ST</t>
  </si>
  <si>
    <t>Mark Andrews</t>
  </si>
  <si>
    <t>Mark Sanchez</t>
  </si>
  <si>
    <t>Marquez Callaway</t>
  </si>
  <si>
    <t>Marquez Valdes-Scantling</t>
  </si>
  <si>
    <t>Marshawn Lynch</t>
  </si>
  <si>
    <t>Matt Breida</t>
  </si>
  <si>
    <t>Matt Forte</t>
  </si>
  <si>
    <t>Matt Jones</t>
  </si>
  <si>
    <t>Matt Ryan</t>
  </si>
  <si>
    <t>Mike Davis</t>
  </si>
  <si>
    <t>Mike Evans</t>
  </si>
  <si>
    <t>Myles Gaskin</t>
  </si>
  <si>
    <t>Nick Chubb</t>
  </si>
  <si>
    <t>Nick Foles</t>
  </si>
  <si>
    <t>Noah Fant</t>
  </si>
  <si>
    <t>Panthers D/ST</t>
  </si>
  <si>
    <t>Patrick Mahomes</t>
  </si>
  <si>
    <t>Patriots D/ST</t>
  </si>
  <si>
    <t>Philip Rivers</t>
  </si>
  <si>
    <t>Raheem Mostert</t>
  </si>
  <si>
    <t>Rashard Mendenhall</t>
  </si>
  <si>
    <t>Ravens D/ST</t>
  </si>
  <si>
    <t>Redskins D/ST</t>
  </si>
  <si>
    <t>Reggie Bush</t>
  </si>
  <si>
    <t>Robert Kelley</t>
  </si>
  <si>
    <t>Robert Woods</t>
  </si>
  <si>
    <t>Russell Wilson</t>
  </si>
  <si>
    <t>Ryan Tannehill</t>
  </si>
  <si>
    <t>Seahawks D/ST</t>
  </si>
  <si>
    <t>Sebastian Janikowski</t>
  </si>
  <si>
    <t>Sony Michel</t>
  </si>
  <si>
    <t>Stefon Diggs</t>
  </si>
  <si>
    <t>Stephen Gostkowski</t>
  </si>
  <si>
    <t>T.Y. Hilton</t>
  </si>
  <si>
    <t>Taylor Gabriel</t>
  </si>
  <si>
    <t>Tee Higgins</t>
  </si>
  <si>
    <t>Toby Gerhart</t>
  </si>
  <si>
    <t>Todd Gurley II</t>
  </si>
  <si>
    <t>Tom Brady</t>
  </si>
  <si>
    <t>Travis Kelce</t>
  </si>
  <si>
    <t>Tre Mason</t>
  </si>
  <si>
    <t>Ty Montgomery</t>
  </si>
  <si>
    <t>Tyler Lockett</t>
  </si>
  <si>
    <t>Tyreek Hill</t>
  </si>
  <si>
    <t>Wil Lutz</t>
  </si>
  <si>
    <t>Willie Snead</t>
  </si>
  <si>
    <t>Zach Ertz</t>
  </si>
  <si>
    <t>Count of ID</t>
  </si>
  <si>
    <t>Best Seasons of All Time</t>
  </si>
  <si>
    <t>Champ?</t>
  </si>
  <si>
    <t>Highest Regular Season Weeks</t>
  </si>
  <si>
    <t>Rank2</t>
  </si>
  <si>
    <t>Historical Division Head to Head</t>
  </si>
  <si>
    <t>Pts</t>
  </si>
  <si>
    <t>Points Scored in Playoffs</t>
  </si>
  <si>
    <t>Games</t>
  </si>
  <si>
    <t>Pts/Game</t>
  </si>
  <si>
    <t>Choose Owner</t>
  </si>
  <si>
    <t>Avg Pts 
in W</t>
  </si>
  <si>
    <t>Avg Pts 
in L</t>
  </si>
  <si>
    <t>Avg 
Finish</t>
  </si>
  <si>
    <t>You vs Them</t>
  </si>
  <si>
    <t>Them vs You</t>
  </si>
  <si>
    <t>Total</t>
  </si>
  <si>
    <t>Senior Year - Crossett</t>
  </si>
  <si>
    <t>Completions</t>
  </si>
  <si>
    <t>Yards</t>
  </si>
  <si>
    <t>TDs</t>
  </si>
  <si>
    <t>Attempts</t>
  </si>
  <si>
    <t>%</t>
  </si>
  <si>
    <t>Jessie</t>
  </si>
  <si>
    <t>Unknown</t>
  </si>
  <si>
    <t>39 yds, 1 TD</t>
  </si>
  <si>
    <t>susan oswald</t>
  </si>
  <si>
    <t>soswald@clarendonhall.net</t>
  </si>
  <si>
    <t>Jordan</t>
  </si>
  <si>
    <t>Grayson</t>
  </si>
  <si>
    <t>Justin Fields</t>
  </si>
  <si>
    <t>Breece Hall</t>
  </si>
  <si>
    <t>James Cook</t>
  </si>
  <si>
    <t>Cooper Kupp</t>
  </si>
  <si>
    <t>Puka Nacua</t>
  </si>
  <si>
    <t>David Njoku</t>
  </si>
  <si>
    <t>Justin Jefferson</t>
  </si>
  <si>
    <t>Rams D/ST</t>
  </si>
  <si>
    <t>Terry McLaurin</t>
  </si>
  <si>
    <t>Zamir White</t>
  </si>
  <si>
    <t>Romeo Doubs</t>
  </si>
  <si>
    <t>Easton Stick</t>
  </si>
  <si>
    <t>Rhamondre Stevenson</t>
  </si>
  <si>
    <t>LV</t>
  </si>
  <si>
    <t>Average Points Per Season</t>
  </si>
  <si>
    <t>Pts per Game</t>
  </si>
  <si>
    <t>Pts in W</t>
  </si>
  <si>
    <t>Pts in L</t>
  </si>
  <si>
    <t>Non-PPR</t>
  </si>
  <si>
    <t>PPR% Inc</t>
  </si>
  <si>
    <t>Matchup 
ID</t>
  </si>
  <si>
    <t>Pts/
Wins</t>
  </si>
  <si>
    <t>W 
Margin</t>
  </si>
  <si>
    <t>Pts/
Loss</t>
  </si>
  <si>
    <t>L 
Margin</t>
  </si>
  <si>
    <t>Overall 
Margin</t>
  </si>
  <si>
    <t xml:space="preserve"> Owner</t>
  </si>
  <si>
    <t>Owner vs Opponent</t>
  </si>
  <si>
    <t>Opponent vs Owner</t>
  </si>
  <si>
    <t>Combined Points</t>
  </si>
  <si>
    <t>Winner</t>
  </si>
  <si>
    <t>Record</t>
  </si>
  <si>
    <t>Other Owner</t>
  </si>
  <si>
    <t>New Record</t>
  </si>
  <si>
    <t>Opp Score</t>
  </si>
  <si>
    <t>Score</t>
  </si>
  <si>
    <t>Result</t>
  </si>
  <si>
    <t>Alternative Schedule</t>
  </si>
  <si>
    <t>Weekly Rank</t>
  </si>
  <si>
    <t>Slatton</t>
  </si>
  <si>
    <t>Malcolm</t>
  </si>
  <si>
    <t>Lamar Jackson</t>
  </si>
  <si>
    <t>Jahmyr Gibbs</t>
  </si>
  <si>
    <t>DJ Moore</t>
  </si>
  <si>
    <t>Courtland Sutton</t>
  </si>
  <si>
    <t>Trey McBride</t>
  </si>
  <si>
    <t>T.J. Hockenson</t>
  </si>
  <si>
    <t>Sam Darnold</t>
  </si>
  <si>
    <t>Aaron Rodgers</t>
  </si>
  <si>
    <t>Jerome Ford</t>
  </si>
  <si>
    <t>Brock Purdy</t>
  </si>
  <si>
    <t>Christian McCaffrey</t>
  </si>
  <si>
    <t>Josh Jacobs</t>
  </si>
  <si>
    <t>George Pickens</t>
  </si>
  <si>
    <t>Michael Wilson</t>
  </si>
  <si>
    <t>Dallas Goedert</t>
  </si>
  <si>
    <t>Michael Carter</t>
  </si>
  <si>
    <t>Marvin Harrison Jr.</t>
  </si>
  <si>
    <t>Khalil Shakir</t>
  </si>
  <si>
    <t xml:space="preserve">Brian Robinson Jr. </t>
  </si>
  <si>
    <t>Brandon Marshall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</si>
</sst>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_);[Red]\(0\)"/>
    <numFmt numFmtId="167" formatCode="0.0_);[Red]\(0.0\)"/>
    <numFmt numFmtId="168" formatCode="0.0%"/>
    <numFmt numFmtId="169" formatCode="0.00_);[Red]\(0.00\)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theme="0" tint="-0.24994659260841701"/>
      </bottom>
      <diagonal/>
    </border>
    <border>
      <left/>
      <right/>
      <top style="double">
        <color indexed="64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hair">
        <color indexed="64"/>
      </right>
      <top/>
      <bottom style="thin">
        <color theme="0" tint="-0.34998626667073579"/>
      </bottom>
      <diagonal/>
    </border>
    <border>
      <left/>
      <right style="hair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dotted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tted">
        <color indexed="64"/>
      </right>
      <top style="hair">
        <color auto="1"/>
      </top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4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0" fillId="3" borderId="2" xfId="0" applyFill="1" applyBorder="1"/>
    <xf numFmtId="164" fontId="0" fillId="3" borderId="2" xfId="0" applyNumberFormat="1" applyFill="1" applyBorder="1"/>
    <xf numFmtId="2" fontId="0" fillId="3" borderId="2" xfId="0" applyNumberFormat="1" applyFill="1" applyBorder="1"/>
    <xf numFmtId="0" fontId="0" fillId="3" borderId="3" xfId="0" applyFill="1" applyBorder="1"/>
    <xf numFmtId="164" fontId="0" fillId="3" borderId="3" xfId="0" applyNumberFormat="1" applyFill="1" applyBorder="1"/>
    <xf numFmtId="2" fontId="0" fillId="3" borderId="3" xfId="0" applyNumberFormat="1" applyFill="1" applyBorder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Protection="1">
      <protection locked="0"/>
    </xf>
    <xf numFmtId="0" fontId="2" fillId="0" borderId="0" xfId="0" applyFont="1"/>
    <xf numFmtId="0" fontId="2" fillId="3" borderId="0" xfId="0" applyFont="1" applyFill="1"/>
    <xf numFmtId="0" fontId="2" fillId="3" borderId="5" xfId="0" applyFont="1" applyFill="1" applyBorder="1"/>
    <xf numFmtId="0" fontId="0" fillId="3" borderId="5" xfId="0" applyFill="1" applyBorder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6" borderId="0" xfId="0" applyFont="1" applyFill="1"/>
    <xf numFmtId="0" fontId="4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2" fontId="3" fillId="5" borderId="0" xfId="0" applyNumberFormat="1" applyFont="1" applyFill="1" applyAlignment="1">
      <alignment vertical="center"/>
    </xf>
    <xf numFmtId="1" fontId="3" fillId="5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7" borderId="0" xfId="0" applyFill="1"/>
    <xf numFmtId="0" fontId="0" fillId="7" borderId="0" xfId="0" applyFill="1" applyProtection="1">
      <protection locked="0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0" fontId="0" fillId="0" borderId="0" xfId="0" applyAlignment="1">
      <alignment horizontal="right"/>
    </xf>
    <xf numFmtId="0" fontId="4" fillId="3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wrapText="1"/>
    </xf>
    <xf numFmtId="0" fontId="1" fillId="6" borderId="8" xfId="0" applyFont="1" applyFill="1" applyBorder="1"/>
    <xf numFmtId="0" fontId="1" fillId="6" borderId="8" xfId="0" applyFont="1" applyFill="1" applyBorder="1" applyAlignment="1">
      <alignment horizontal="right"/>
    </xf>
    <xf numFmtId="0" fontId="1" fillId="6" borderId="8" xfId="0" applyFont="1" applyFill="1" applyBorder="1" applyAlignment="1">
      <alignment vertical="center"/>
    </xf>
    <xf numFmtId="0" fontId="1" fillId="6" borderId="8" xfId="0" applyFont="1" applyFill="1" applyBorder="1" applyAlignment="1">
      <alignment horizontal="right" vertical="center"/>
    </xf>
    <xf numFmtId="2" fontId="0" fillId="3" borderId="2" xfId="0" applyNumberFormat="1" applyFill="1" applyBorder="1" applyAlignment="1">
      <alignment vertical="center"/>
    </xf>
    <xf numFmtId="1" fontId="0" fillId="3" borderId="2" xfId="0" applyNumberFormat="1" applyFill="1" applyBorder="1" applyAlignment="1">
      <alignment vertical="center"/>
    </xf>
    <xf numFmtId="165" fontId="0" fillId="3" borderId="2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4" fontId="0" fillId="3" borderId="12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65" fontId="0" fillId="3" borderId="0" xfId="0" applyNumberFormat="1" applyFill="1"/>
    <xf numFmtId="0" fontId="0" fillId="3" borderId="6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166" fontId="0" fillId="3" borderId="13" xfId="0" applyNumberFormat="1" applyFill="1" applyBorder="1" applyAlignment="1">
      <alignment vertical="center"/>
    </xf>
    <xf numFmtId="166" fontId="0" fillId="3" borderId="4" xfId="0" applyNumberFormat="1" applyFill="1" applyBorder="1" applyAlignment="1">
      <alignment vertic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left"/>
    </xf>
    <xf numFmtId="0" fontId="0" fillId="3" borderId="14" xfId="0" applyFill="1" applyBorder="1" applyAlignment="1">
      <alignment vertical="center"/>
    </xf>
    <xf numFmtId="1" fontId="0" fillId="3" borderId="14" xfId="0" applyNumberFormat="1" applyFill="1" applyBorder="1" applyAlignment="1">
      <alignment horizontal="right" vertical="center"/>
    </xf>
    <xf numFmtId="165" fontId="0" fillId="3" borderId="14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" fontId="0" fillId="3" borderId="10" xfId="0" applyNumberFormat="1" applyFill="1" applyBorder="1" applyAlignment="1">
      <alignment horizontal="right" vertical="center"/>
    </xf>
    <xf numFmtId="165" fontId="0" fillId="3" borderId="10" xfId="0" applyNumberForma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3" borderId="15" xfId="0" applyNumberFormat="1" applyFill="1" applyBorder="1" applyAlignment="1">
      <alignment horizontal="right" vertical="center"/>
    </xf>
    <xf numFmtId="165" fontId="0" fillId="3" borderId="15" xfId="0" applyNumberFormat="1" applyFill="1" applyBorder="1" applyAlignment="1">
      <alignment vertical="center"/>
    </xf>
    <xf numFmtId="0" fontId="0" fillId="3" borderId="9" xfId="0" applyFill="1" applyBorder="1"/>
    <xf numFmtId="164" fontId="0" fillId="3" borderId="9" xfId="0" applyNumberFormat="1" applyFill="1" applyBorder="1"/>
    <xf numFmtId="2" fontId="0" fillId="3" borderId="9" xfId="0" applyNumberFormat="1" applyFill="1" applyBorder="1"/>
    <xf numFmtId="0" fontId="3" fillId="5" borderId="0" xfId="0" applyFont="1" applyFill="1"/>
    <xf numFmtId="164" fontId="3" fillId="5" borderId="0" xfId="0" applyNumberFormat="1" applyFont="1" applyFill="1"/>
    <xf numFmtId="2" fontId="3" fillId="5" borderId="0" xfId="0" applyNumberFormat="1" applyFont="1" applyFill="1"/>
    <xf numFmtId="0" fontId="3" fillId="4" borderId="16" xfId="0" applyFont="1" applyFill="1" applyBorder="1" applyAlignment="1">
      <alignment horizontal="center"/>
    </xf>
    <xf numFmtId="2" fontId="0" fillId="3" borderId="17" xfId="0" applyNumberFormat="1" applyFill="1" applyBorder="1"/>
    <xf numFmtId="2" fontId="0" fillId="3" borderId="18" xfId="0" applyNumberFormat="1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164" fontId="0" fillId="3" borderId="17" xfId="0" applyNumberFormat="1" applyFill="1" applyBorder="1"/>
    <xf numFmtId="164" fontId="0" fillId="3" borderId="18" xfId="0" applyNumberFormat="1" applyFill="1" applyBorder="1"/>
    <xf numFmtId="164" fontId="0" fillId="3" borderId="19" xfId="0" applyNumberFormat="1" applyFill="1" applyBorder="1"/>
    <xf numFmtId="164" fontId="0" fillId="3" borderId="20" xfId="0" applyNumberFormat="1" applyFill="1" applyBorder="1"/>
    <xf numFmtId="0" fontId="0" fillId="4" borderId="0" xfId="0" applyFill="1"/>
    <xf numFmtId="165" fontId="0" fillId="0" borderId="2" xfId="0" applyNumberFormat="1" applyBorder="1" applyAlignment="1">
      <alignment vertical="center"/>
    </xf>
    <xf numFmtId="165" fontId="0" fillId="3" borderId="3" xfId="0" applyNumberFormat="1" applyFill="1" applyBorder="1" applyAlignment="1">
      <alignment vertical="center"/>
    </xf>
    <xf numFmtId="165" fontId="0" fillId="3" borderId="8" xfId="0" applyNumberFormat="1" applyFill="1" applyBorder="1" applyAlignment="1">
      <alignment vertical="center"/>
    </xf>
    <xf numFmtId="0" fontId="6" fillId="3" borderId="0" xfId="0" applyFont="1" applyFill="1"/>
    <xf numFmtId="0" fontId="1" fillId="6" borderId="7" xfId="0" applyFont="1" applyFill="1" applyBorder="1"/>
    <xf numFmtId="0" fontId="1" fillId="6" borderId="7" xfId="0" applyFont="1" applyFill="1" applyBorder="1" applyAlignment="1">
      <alignment horizontal="right"/>
    </xf>
    <xf numFmtId="0" fontId="1" fillId="6" borderId="0" xfId="0" applyFont="1" applyFill="1" applyAlignment="1">
      <alignment horizontal="right"/>
    </xf>
    <xf numFmtId="0" fontId="0" fillId="3" borderId="4" xfId="0" applyFill="1" applyBorder="1"/>
    <xf numFmtId="165" fontId="0" fillId="3" borderId="4" xfId="0" applyNumberFormat="1" applyFill="1" applyBorder="1"/>
    <xf numFmtId="167" fontId="0" fillId="3" borderId="4" xfId="0" applyNumberFormat="1" applyFill="1" applyBorder="1"/>
    <xf numFmtId="167" fontId="0" fillId="3" borderId="24" xfId="0" applyNumberFormat="1" applyFill="1" applyBorder="1"/>
    <xf numFmtId="167" fontId="3" fillId="3" borderId="4" xfId="0" applyNumberFormat="1" applyFont="1" applyFill="1" applyBorder="1"/>
    <xf numFmtId="165" fontId="3" fillId="5" borderId="0" xfId="0" applyNumberFormat="1" applyFont="1" applyFill="1"/>
    <xf numFmtId="0" fontId="3" fillId="5" borderId="25" xfId="0" applyFont="1" applyFill="1" applyBorder="1"/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165" fontId="0" fillId="3" borderId="1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" fontId="4" fillId="3" borderId="0" xfId="0" applyNumberFormat="1" applyFont="1" applyFill="1"/>
    <xf numFmtId="9" fontId="0" fillId="0" borderId="0" xfId="1" applyFont="1"/>
    <xf numFmtId="168" fontId="0" fillId="0" borderId="0" xfId="1" applyNumberFormat="1" applyFont="1"/>
    <xf numFmtId="0" fontId="10" fillId="0" borderId="0" xfId="2"/>
    <xf numFmtId="0" fontId="0" fillId="3" borderId="1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165" fontId="0" fillId="3" borderId="14" xfId="0" applyNumberFormat="1" applyFill="1" applyBorder="1" applyAlignment="1">
      <alignment horizontal="right" vertical="center"/>
    </xf>
    <xf numFmtId="165" fontId="0" fillId="3" borderId="10" xfId="0" applyNumberFormat="1" applyFill="1" applyBorder="1" applyAlignment="1">
      <alignment horizontal="right" vertical="center"/>
    </xf>
    <xf numFmtId="165" fontId="3" fillId="5" borderId="0" xfId="0" applyNumberFormat="1" applyFont="1" applyFill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165" fontId="3" fillId="3" borderId="10" xfId="0" applyNumberFormat="1" applyFont="1" applyFill="1" applyBorder="1" applyAlignment="1">
      <alignment horizontal="right" vertical="center"/>
    </xf>
    <xf numFmtId="165" fontId="3" fillId="3" borderId="10" xfId="0" applyNumberFormat="1" applyFont="1" applyFill="1" applyBorder="1" applyAlignment="1">
      <alignment vertical="center"/>
    </xf>
    <xf numFmtId="168" fontId="3" fillId="3" borderId="10" xfId="1" applyNumberFormat="1" applyFont="1" applyFill="1" applyBorder="1" applyAlignment="1">
      <alignment horizontal="right" vertical="center"/>
    </xf>
    <xf numFmtId="168" fontId="3" fillId="3" borderId="10" xfId="1" applyNumberFormat="1" applyFont="1" applyFill="1" applyBorder="1" applyAlignment="1">
      <alignment vertical="center"/>
    </xf>
    <xf numFmtId="0" fontId="11" fillId="3" borderId="0" xfId="0" applyFont="1" applyFill="1"/>
    <xf numFmtId="0" fontId="0" fillId="3" borderId="7" xfId="0" applyFill="1" applyBorder="1"/>
    <xf numFmtId="0" fontId="0" fillId="3" borderId="26" xfId="0" applyFill="1" applyBorder="1"/>
    <xf numFmtId="0" fontId="0" fillId="3" borderId="0" xfId="0" applyFill="1" applyAlignment="1">
      <alignment horizontal="right"/>
    </xf>
    <xf numFmtId="169" fontId="0" fillId="3" borderId="0" xfId="0" applyNumberFormat="1" applyFill="1" applyAlignment="1">
      <alignment horizontal="right"/>
    </xf>
    <xf numFmtId="165" fontId="0" fillId="3" borderId="7" xfId="0" applyNumberFormat="1" applyFill="1" applyBorder="1" applyAlignment="1">
      <alignment horizontal="right"/>
    </xf>
    <xf numFmtId="169" fontId="0" fillId="3" borderId="7" xfId="0" applyNumberFormat="1" applyFill="1" applyBorder="1" applyAlignment="1">
      <alignment horizontal="right"/>
    </xf>
    <xf numFmtId="1" fontId="0" fillId="3" borderId="7" xfId="0" applyNumberFormat="1" applyFill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169" fontId="0" fillId="3" borderId="4" xfId="0" applyNumberForma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65" fontId="0" fillId="3" borderId="26" xfId="0" applyNumberFormat="1" applyFill="1" applyBorder="1" applyAlignment="1">
      <alignment horizontal="right"/>
    </xf>
    <xf numFmtId="169" fontId="0" fillId="3" borderId="26" xfId="0" applyNumberFormat="1" applyFill="1" applyBorder="1" applyAlignment="1">
      <alignment horizontal="right"/>
    </xf>
    <xf numFmtId="1" fontId="0" fillId="3" borderId="26" xfId="0" applyNumberFormat="1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1" fillId="6" borderId="0" xfId="0" applyFont="1" applyFill="1" applyAlignment="1">
      <alignment horizontal="left" wrapText="1"/>
    </xf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right" wrapText="1"/>
    </xf>
    <xf numFmtId="169" fontId="1" fillId="6" borderId="0" xfId="0" applyNumberFormat="1" applyFont="1" applyFill="1" applyAlignment="1">
      <alignment horizontal="right" wrapText="1"/>
    </xf>
    <xf numFmtId="165" fontId="0" fillId="3" borderId="27" xfId="0" applyNumberFormat="1" applyFill="1" applyBorder="1" applyAlignment="1">
      <alignment horizontal="right"/>
    </xf>
    <xf numFmtId="165" fontId="0" fillId="3" borderId="24" xfId="0" applyNumberFormat="1" applyFill="1" applyBorder="1" applyAlignment="1">
      <alignment horizontal="right"/>
    </xf>
    <xf numFmtId="165" fontId="0" fillId="3" borderId="28" xfId="0" applyNumberFormat="1" applyFill="1" applyBorder="1" applyAlignment="1">
      <alignment horizontal="right"/>
    </xf>
    <xf numFmtId="169" fontId="0" fillId="3" borderId="27" xfId="0" applyNumberFormat="1" applyFill="1" applyBorder="1" applyAlignment="1">
      <alignment horizontal="right"/>
    </xf>
    <xf numFmtId="169" fontId="0" fillId="3" borderId="24" xfId="0" applyNumberFormat="1" applyFill="1" applyBorder="1" applyAlignment="1">
      <alignment horizontal="right"/>
    </xf>
    <xf numFmtId="169" fontId="0" fillId="3" borderId="28" xfId="0" applyNumberFormat="1" applyFill="1" applyBorder="1" applyAlignment="1">
      <alignment horizontal="right"/>
    </xf>
    <xf numFmtId="0" fontId="0" fillId="3" borderId="27" xfId="0" applyFill="1" applyBorder="1"/>
    <xf numFmtId="0" fontId="0" fillId="3" borderId="24" xfId="0" applyFill="1" applyBorder="1"/>
    <xf numFmtId="0" fontId="0" fillId="3" borderId="28" xfId="0" applyFill="1" applyBorder="1"/>
    <xf numFmtId="169" fontId="3" fillId="3" borderId="4" xfId="0" applyNumberFormat="1" applyFont="1" applyFill="1" applyBorder="1" applyAlignment="1">
      <alignment horizontal="right"/>
    </xf>
    <xf numFmtId="169" fontId="3" fillId="3" borderId="26" xfId="0" applyNumberFormat="1" applyFont="1" applyFill="1" applyBorder="1" applyAlignment="1">
      <alignment horizontal="right"/>
    </xf>
    <xf numFmtId="0" fontId="3" fillId="0" borderId="0" xfId="0" applyFont="1"/>
    <xf numFmtId="0" fontId="1" fillId="6" borderId="8" xfId="0" applyFont="1" applyFill="1" applyBorder="1" applyAlignment="1">
      <alignment horizontal="left"/>
    </xf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6" borderId="29" xfId="0" applyFont="1" applyFill="1" applyBorder="1"/>
    <xf numFmtId="0" fontId="3" fillId="4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40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ont>
        <color rgb="FF00B05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font>
        <color rgb="FF00B05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7" tint="0.79998168889431442"/>
        </patternFill>
      </fill>
    </dxf>
    <dxf>
      <numFmt numFmtId="165" formatCode="0.0"/>
    </dxf>
    <dxf>
      <numFmt numFmtId="165" formatCode="0.0"/>
    </dxf>
  </dxfs>
  <tableStyles count="0" defaultTableStyle="TableStyleMedium2" defaultPivotStyle="PivotStyleLight16"/>
  <colors>
    <mruColors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ickland, Michael" refreshedDate="45184.547346296298" createdVersion="7" refreshedVersion="7" minRefreshableVersion="3" recordCount="1532" xr:uid="{0CBED053-B80B-4014-92EC-1DF00CC5A138}">
  <cacheSource type="worksheet">
    <worksheetSource ref="A1:N1533" sheet="Regular Season Data"/>
  </cacheSource>
  <cacheFields count="14">
    <cacheField name="Game ID" numFmtId="0">
      <sharedItems containsSemiMixedTypes="0" containsString="0" containsNumber="1" containsInteger="1" minValue="1" maxValue="1532"/>
    </cacheField>
    <cacheField name="Rank" numFmtId="0">
      <sharedItems containsSemiMixedTypes="0" containsString="0" containsNumber="1" containsInteger="1" minValue="1" maxValue="1544"/>
    </cacheField>
    <cacheField name="Rank2" numFmtId="0">
      <sharedItems containsSemiMixedTypes="0" containsString="0" containsNumber="1" containsInteger="1" minValue="1" maxValue="1544"/>
    </cacheField>
    <cacheField name="Manager" numFmtId="0">
      <sharedItems/>
    </cacheField>
    <cacheField name="Opponent" numFmtId="0">
      <sharedItems/>
    </cacheField>
    <cacheField name="Season" numFmtId="0">
      <sharedItems containsSemiMixedTypes="0" containsString="0" containsNumber="1" containsInteger="1" minValue="2013" maxValue="2022"/>
    </cacheField>
    <cacheField name="Week" numFmtId="0">
      <sharedItems containsSemiMixedTypes="0" containsString="0" containsNumber="1" containsInteger="1" minValue="1" maxValue="14"/>
    </cacheField>
    <cacheField name="Game" numFmtId="0">
      <sharedItems containsSemiMixedTypes="0" containsString="0" containsNumber="1" minValue="1.1000000000000001" maxValue="6.2"/>
    </cacheField>
    <cacheField name="Points" numFmtId="0">
      <sharedItems containsSemiMixedTypes="0" containsString="0" containsNumber="1" containsInteger="1" minValue="19" maxValue="174"/>
    </cacheField>
    <cacheField name="Diff" numFmtId="0">
      <sharedItems containsSemiMixedTypes="0" containsString="0" containsNumber="1" containsInteger="1" minValue="-99" maxValue="99"/>
    </cacheField>
    <cacheField name="Outcome" numFmtId="0">
      <sharedItems count="3">
        <s v="W"/>
        <s v="L"/>
        <s v="T"/>
      </sharedItems>
    </cacheField>
    <cacheField name="Manager 2" numFmtId="0">
      <sharedItems/>
    </cacheField>
    <cacheField name="Division" numFmtId="0">
      <sharedItems/>
    </cacheField>
    <cacheField name="vs Divi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Strickland" refreshedDate="46129.683271064816" createdVersion="7" refreshedVersion="8" minRefreshableVersion="3" recordCount="116" xr:uid="{D7DFF344-1B6D-43ED-AA20-9B1409D33EBA}">
  <cacheSource type="worksheet">
    <worksheetSource ref="B1:S117" sheet="Final Tables"/>
  </cacheSource>
  <cacheFields count="18">
    <cacheField name="Team Display Name" numFmtId="0">
      <sharedItems/>
    </cacheField>
    <cacheField name="Column1" numFmtId="0">
      <sharedItems/>
    </cacheField>
    <cacheField name="Owner First Name" numFmtId="0">
      <sharedItems count="17">
        <s v="Brian"/>
        <s v="Watty"/>
        <s v="Abby"/>
        <s v="Russell"/>
        <s v="Michael"/>
        <s v="Mark"/>
        <s v="David"/>
        <s v="BR"/>
        <s v="Sarah"/>
        <s v="Matt"/>
        <s v="Charles"/>
        <s v="Emily"/>
        <s v="Brent"/>
        <s v="Arnold"/>
        <s v="Matthew" u="1"/>
        <s v="Maria" u="1"/>
        <s v="Billy" u="1"/>
      </sharedItems>
    </cacheField>
    <cacheField name="Owner Last Name" numFmtId="0">
      <sharedItems/>
    </cacheField>
    <cacheField name="Team Abbreviation" numFmtId="0">
      <sharedItems/>
    </cacheField>
    <cacheField name="Team Location" numFmtId="0">
      <sharedItems/>
    </cacheField>
    <cacheField name="Team Nickname" numFmtId="0">
      <sharedItems/>
    </cacheField>
    <cacheField name="Playoff Seed" numFmtId="0">
      <sharedItems containsSemiMixedTypes="0" containsString="0" containsNumber="1" containsInteger="1" minValue="1" maxValue="12"/>
    </cacheField>
    <cacheField name="Final Rank" numFmtId="0">
      <sharedItems containsSemiMixedTypes="0" containsString="0" containsNumber="1" containsInteger="1" minValue="1" maxValue="12"/>
    </cacheField>
    <cacheField name="Wins" numFmtId="0">
      <sharedItems containsSemiMixedTypes="0" containsString="0" containsNumber="1" containsInteger="1" minValue="2" maxValue="12"/>
    </cacheField>
    <cacheField name="Losses" numFmtId="0">
      <sharedItems containsSemiMixedTypes="0" containsString="0" containsNumber="1" containsInteger="1" minValue="1" maxValue="11"/>
    </cacheField>
    <cacheField name="Ties" numFmtId="0">
      <sharedItems containsSemiMixedTypes="0" containsString="0" containsNumber="1" containsInteger="1" minValue="0" maxValue="1"/>
    </cacheField>
    <cacheField name="Points For" numFmtId="0">
      <sharedItems containsSemiMixedTypes="0" containsString="0" containsNumber="1" containsInteger="1" minValue="884" maxValue="1427"/>
    </cacheField>
    <cacheField name="Points Against" numFmtId="0">
      <sharedItems containsSemiMixedTypes="0" containsString="0" containsNumber="1" containsInteger="1" minValue="966" maxValue="1402"/>
    </cacheField>
    <cacheField name="Pts/Game" numFmtId="165">
      <sharedItems containsSemiMixedTypes="0" containsString="0" containsNumber="1" minValue="68" maxValue="108.69230769230769"/>
    </cacheField>
    <cacheField name="Playoff App" numFmtId="0">
      <sharedItems containsBlank="1"/>
    </cacheField>
    <cacheField name="Div Title" numFmtId="0">
      <sharedItems containsBlank="1"/>
    </cacheField>
    <cacheField name="Season" numFmtId="0">
      <sharedItems containsSemiMixedTypes="0" containsString="0" containsNumber="1" containsInteger="1" minValue="2013" maxValue="2022" count="10">
        <n v="2013"/>
        <n v="2014"/>
        <n v="2015"/>
        <n v="2016"/>
        <n v="2017"/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Strickland" refreshedDate="46129.690374768521" createdVersion="8" refreshedVersion="8" minRefreshableVersion="3" recordCount="168" xr:uid="{4CCA1746-61A8-4AD8-BAAB-D3DA321E8956}">
  <cacheSource type="worksheet">
    <worksheetSource ref="A1:O169" sheet="Championship Rosters"/>
  </cacheSource>
  <cacheFields count="15">
    <cacheField name="ID" numFmtId="0">
      <sharedItems containsSemiMixedTypes="0" containsString="0" containsNumber="1" containsInteger="1" minValue="1" maxValue="168"/>
    </cacheField>
    <cacheField name="Owner" numFmtId="0">
      <sharedItems count="8">
        <s v="Brian"/>
        <s v="Russell"/>
        <s v="Michael"/>
        <s v="Brent"/>
        <s v="Watty"/>
        <s v="BR"/>
        <s v="Mark"/>
        <s v="Charles"/>
      </sharedItems>
    </cacheField>
    <cacheField name="Year" numFmtId="0">
      <sharedItems containsSemiMixedTypes="0" containsString="0" containsNumber="1" containsInteger="1" minValue="2013" maxValue="2024"/>
    </cacheField>
    <cacheField name="Team" numFmtId="0">
      <sharedItems count="32">
        <s v="NO"/>
        <s v="PHI"/>
        <s v="CIN"/>
        <s v="DEN"/>
        <s v="CLE"/>
        <s v="TEN"/>
        <s v="DET"/>
        <s v="SEA"/>
        <s v="NE"/>
        <s v="BAL"/>
        <s v="SF"/>
        <s v="MIN"/>
        <s v="HOU"/>
        <s v="ARI"/>
        <s v="LAR"/>
        <s v="MIA"/>
        <s v="DAL"/>
        <s v="CHI"/>
        <s v="CAR"/>
        <s v="IND"/>
        <s v="JAC"/>
        <s v="LAC"/>
        <s v="NYJ"/>
        <s v="TB"/>
        <s v="PIT"/>
        <s v="WSH"/>
        <s v="GB"/>
        <s v="ATL"/>
        <s v="KC"/>
        <s v="BUF"/>
        <s v="LV"/>
        <s v="NYG"/>
      </sharedItems>
    </cacheField>
    <cacheField name="Role" numFmtId="0">
      <sharedItems count="2">
        <s v="Starter"/>
        <s v="Bench"/>
      </sharedItems>
    </cacheField>
    <cacheField name="Position" numFmtId="0">
      <sharedItems/>
    </cacheField>
    <cacheField name="Multiple" numFmtId="0">
      <sharedItems containsBlank="1" count="2">
        <m/>
        <s v="Yes"/>
      </sharedItems>
    </cacheField>
    <cacheField name="Player" numFmtId="0">
      <sharedItems count="149">
        <s v="Drew Brees"/>
        <s v="LeSean McCoy"/>
        <s v="Giovani Bernard"/>
        <s v="Demaryius Thomas"/>
        <s v="Josh Gordon"/>
        <s v="Delanie Walker"/>
        <s v="Reggie Bush"/>
        <s v="Seahawks D/ST"/>
        <s v="Stephen Gostkowski"/>
        <s v="Joe Flacco"/>
        <s v="Brandon Pettigrew"/>
        <s v="Ravens D/ST"/>
        <s v="Anquan Boldin"/>
        <s v="Jerome Simpson"/>
        <s v="Arian Foster"/>
        <s v="Rashard Mendenhall"/>
        <s v="Mark Sanchez"/>
        <s v="Tre Mason"/>
        <s v="Lamar Miller"/>
        <s v="Dez Bryant"/>
        <s v="Alshon Jeffery"/>
        <s v="Greg Olsen"/>
        <s v="Daniel Herron"/>
        <s v="Eagles D/ST"/>
        <s v="T.Y. Hilton"/>
        <s v="Toby Gerhart"/>
        <s v="Philip Rivers"/>
        <s v="Andre Ellington"/>
        <s v="Ahmad Bradshaw"/>
        <s v="Blake Bortles"/>
        <s v="Matt Forte"/>
        <s v="Frank Gore"/>
        <s v="DeAndre Hopkins"/>
        <s v="Brandon Marshall"/>
        <s v="Mike Evans"/>
        <s v="Lions D/ST"/>
        <s v="Chris Boswell"/>
        <s v="Le'Veon Bell"/>
        <s v="Willie Snead"/>
        <s v="Matt Jones"/>
        <s v="Brandon Bolden"/>
        <s v="Isaiah Crowell"/>
        <s v="Tom Brady"/>
        <s v="David Johnson"/>
        <s v="Ty Montgomery"/>
        <s v="Julio Jones"/>
        <s v="Travis Kelce"/>
        <s v="Robert Kelley"/>
        <s v="Bills D/ST"/>
        <s v="Sebastian Janikowski"/>
        <s v="Jeremy Hill"/>
        <s v="Jamison Crowder"/>
        <s v="Davante Adams"/>
        <s v="Chargers D/ST"/>
        <s v="Taylor Gabriel"/>
        <s v="Alex Smith"/>
        <s v="Jordan Howard"/>
        <s v="Kareem Hunt"/>
        <s v="Tyreek Hill"/>
        <s v="JuJu Smith-Schuster"/>
        <s v="Evan Engram"/>
        <s v="Jay Ajayi"/>
        <s v="Panthers D/ST"/>
        <s v="Wil Lutz"/>
        <s v="Mike Davis"/>
        <s v="Nick Foles"/>
        <s v="Redskins D/ST"/>
        <s v="Cardinals D/ST"/>
        <s v="Robert Woods"/>
        <s v="Matt Ryan"/>
        <s v="Chris Carson"/>
        <s v="Matt Breida"/>
        <s v="Larry Fitzgerald"/>
        <s v="Tyler Lockett"/>
        <s v="Hunter Henry"/>
        <s v="Elijah McGuire"/>
        <s v="Bears D/ST"/>
        <s v="Ka'imi Fairbairn"/>
        <s v="Todd Gurley II"/>
        <s v="Jared Cook"/>
        <s v="Dak Prescott"/>
        <s v="Kyler Murray"/>
        <s v="Sony Michel"/>
        <s v="Raheem Mostert"/>
        <s v="Breshad Perriman"/>
        <s v="Zach Ertz"/>
        <s v="Broncos D/ST"/>
        <s v="Brandon McManus"/>
        <s v="Jarvis Landry"/>
        <s v="Golden Tate"/>
        <s v="Latavius Murray"/>
        <s v="Jets D/ST"/>
        <s v="Marshawn Lynch"/>
        <s v="Patrick Mahomes"/>
        <s v="Leonard Fournette"/>
        <s v="Nick Chubb"/>
        <s v="Brandon Aiyuk"/>
        <s v="Noah Fant"/>
        <s v="Jason Sanders"/>
        <s v="Devin Singletary"/>
        <s v="Jeff Wilson Jr."/>
        <s v="John Brown"/>
        <s v="Keke Coutee"/>
        <s v="Josh Allen"/>
        <s v="Alvin Kamara"/>
        <s v="Jaret Patterson"/>
        <s v="Tee Higgins"/>
        <s v="Deebo Samuel"/>
        <s v="Mark Andrews"/>
        <s v="Marquez Callaway"/>
        <s v="Patriots D/ST"/>
        <s v="Harrison Butker"/>
        <s v="Myles Gaskin"/>
        <s v="Ryan Tannehill"/>
        <s v="Boston Scott"/>
        <s v="Marquez Valdes-Scantling"/>
        <s v="Joe Burrow"/>
        <s v="Rhamondre Stevenson"/>
        <s v="Cam Akers"/>
        <s v="Stefon Diggs"/>
        <s v="Jaylen Waddle"/>
        <s v="Amon-Ra St. Brown"/>
        <s v="Chiefs D/ST"/>
        <s v="Graham Gano"/>
        <s v="Cordarrelle Patterson"/>
        <s v="Russell Wilson"/>
        <s v="Greg Dulcich"/>
        <s v="Justin Fields"/>
        <s v="Breece Hall"/>
        <s v="James Cook"/>
        <s v="Cooper Kupp"/>
        <s v="Puka Nacua"/>
        <s v="David Njoku"/>
        <s v="Justin Jefferson"/>
        <s v="Rams D/ST"/>
        <s v="Terry McLaurin"/>
        <s v="Zamir White"/>
        <s v="Romeo Doubs"/>
        <s v="Easton Stick"/>
        <s v="Lamar Jackson"/>
        <s v="Jahmyr Gibbs"/>
        <s v="Jerome Ford"/>
        <s v="DJ Moore"/>
        <s v="Courtland Sutton"/>
        <s v="Trey McBride"/>
        <s v="T.J. Hockenson"/>
        <s v="Sam Darnold"/>
        <s v="Aaron Rodgers"/>
        <s v="Brandon Marshal" u="1"/>
      </sharedItems>
    </cacheField>
    <cacheField name="%ST" numFmtId="0">
      <sharedItems containsString="0" containsBlank="1" containsNumber="1" minValue="0" maxValue="99.1"/>
    </cacheField>
    <cacheField name="%ROST" numFmtId="0">
      <sharedItems containsString="0" containsBlank="1" containsNumber="1" minValue="0" maxValue="100"/>
    </cacheField>
    <cacheField name="+/-" numFmtId="0">
      <sharedItems containsString="0" containsBlank="1" containsNumber="1" minValue="-24" maxValue="38.5"/>
    </cacheField>
    <cacheField name="PRK" numFmtId="0">
      <sharedItems containsBlank="1" containsMixedTypes="1" containsNumber="1" containsInteger="1" minValue="1" maxValue="100"/>
    </cacheField>
    <cacheField name="FPTS" numFmtId="0">
      <sharedItems containsString="0" containsBlank="1" containsNumber="1" containsInteger="1" minValue="0" maxValue="1589"/>
    </cacheField>
    <cacheField name="AVG" numFmtId="0">
      <sharedItems containsString="0" containsBlank="1" containsNumber="1" minValue="0" maxValue="118.3"/>
    </cacheField>
    <cacheField name="LAST" numFmtId="0">
      <sharedItems containsBlank="1" containsMixedTypes="1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2">
  <r>
    <n v="1"/>
    <n v="43"/>
    <n v="24"/>
    <s v="Mark"/>
    <s v="Michael"/>
    <n v="2013"/>
    <n v="1"/>
    <n v="1.1000000000000001"/>
    <n v="138"/>
    <n v="58"/>
    <x v="0"/>
    <s v="Mark"/>
    <s v="AKCOVA"/>
    <s v="N"/>
  </r>
  <r>
    <n v="2"/>
    <n v="1495"/>
    <n v="956"/>
    <s v="Michael"/>
    <s v="Mark"/>
    <n v="2013"/>
    <n v="1"/>
    <n v="1.2"/>
    <n v="80"/>
    <n v="-58"/>
    <x v="1"/>
    <s v="Michael"/>
    <s v="AKCOVA"/>
    <s v="N"/>
  </r>
  <r>
    <n v="3"/>
    <n v="843"/>
    <n v="852"/>
    <s v="Watty"/>
    <s v="BR"/>
    <n v="2013"/>
    <n v="1"/>
    <n v="2.1"/>
    <n v="83"/>
    <n v="-4"/>
    <x v="1"/>
    <s v="Watty"/>
    <s v="AKCOVA"/>
    <s v="N"/>
  </r>
  <r>
    <n v="4"/>
    <n v="679"/>
    <n v="741"/>
    <s v="BR"/>
    <s v="Watty"/>
    <n v="2013"/>
    <n v="1"/>
    <n v="2.2000000000000002"/>
    <n v="87"/>
    <n v="4"/>
    <x v="0"/>
    <s v="BR"/>
    <s v="AKCOVA"/>
    <s v="N"/>
  </r>
  <r>
    <n v="5"/>
    <n v="1393"/>
    <n v="207"/>
    <s v="Emily"/>
    <s v="Brian"/>
    <n v="2013"/>
    <n v="1"/>
    <n v="3.1"/>
    <n v="110"/>
    <n v="-38"/>
    <x v="1"/>
    <s v="Emily"/>
    <s v="TEXAROK"/>
    <s v="N"/>
  </r>
  <r>
    <n v="6"/>
    <n v="141"/>
    <n v="11"/>
    <s v="Brian"/>
    <s v="Emily"/>
    <n v="2013"/>
    <n v="1"/>
    <n v="3.2"/>
    <n v="148"/>
    <n v="38"/>
    <x v="0"/>
    <s v="Brian"/>
    <s v="TEXAROK"/>
    <s v="N"/>
  </r>
  <r>
    <n v="7"/>
    <n v="95"/>
    <n v="31"/>
    <s v="Abby"/>
    <s v="Russell"/>
    <n v="2013"/>
    <n v="1"/>
    <n v="4.0999999999999996"/>
    <n v="135"/>
    <n v="44"/>
    <x v="0"/>
    <s v="Abby"/>
    <s v="AKCOVA"/>
    <s v="Y"/>
  </r>
  <r>
    <n v="8"/>
    <n v="1443"/>
    <n v="627"/>
    <s v="Russell"/>
    <s v="Abby"/>
    <n v="2013"/>
    <n v="1"/>
    <n v="4.2"/>
    <n v="91"/>
    <n v="-44"/>
    <x v="1"/>
    <s v="Russell"/>
    <s v="TEXAROK"/>
    <s v="Y"/>
  </r>
  <r>
    <n v="9"/>
    <n v="373"/>
    <n v="439"/>
    <s v="David"/>
    <s v="Matt"/>
    <n v="2013"/>
    <n v="1"/>
    <n v="5.0999999999999996"/>
    <n v="98"/>
    <n v="20"/>
    <x v="0"/>
    <s v="David"/>
    <s v="TEXAROK"/>
    <s v="N"/>
  </r>
  <r>
    <n v="10"/>
    <n v="1148"/>
    <n v="1012"/>
    <s v="Matt"/>
    <s v="David"/>
    <n v="2013"/>
    <n v="1"/>
    <n v="5.2"/>
    <n v="78"/>
    <n v="-20"/>
    <x v="1"/>
    <s v="Matt"/>
    <s v="TEXAROK"/>
    <s v="N"/>
  </r>
  <r>
    <n v="11"/>
    <n v="1422"/>
    <n v="924"/>
    <s v="BR"/>
    <s v="Michael"/>
    <n v="2013"/>
    <n v="2"/>
    <n v="1.1000000000000001"/>
    <n v="81"/>
    <n v="-41"/>
    <x v="1"/>
    <s v="BR"/>
    <s v="AKCOVA"/>
    <s v="N"/>
  </r>
  <r>
    <n v="12"/>
    <n v="119"/>
    <n v="89"/>
    <s v="Michael"/>
    <s v="BR"/>
    <n v="2013"/>
    <n v="2"/>
    <n v="1.2"/>
    <n v="122"/>
    <n v="41"/>
    <x v="0"/>
    <s v="Michael"/>
    <s v="AKCOVA"/>
    <s v="N"/>
  </r>
  <r>
    <n v="13"/>
    <n v="1095"/>
    <n v="1044"/>
    <s v="Russell"/>
    <s v="Mark"/>
    <n v="2013"/>
    <n v="2"/>
    <n v="2.1"/>
    <n v="77"/>
    <n v="-17"/>
    <x v="1"/>
    <s v="Russell"/>
    <s v="TEXAROK"/>
    <s v="Y"/>
  </r>
  <r>
    <n v="14"/>
    <n v="433"/>
    <n v="544"/>
    <s v="Mark"/>
    <s v="Russell"/>
    <n v="2013"/>
    <n v="2"/>
    <n v="2.2000000000000002"/>
    <n v="94"/>
    <n v="17"/>
    <x v="0"/>
    <s v="Mark"/>
    <s v="AKCOVA"/>
    <s v="Y"/>
  </r>
  <r>
    <n v="15"/>
    <n v="194"/>
    <n v="53"/>
    <s v="Matt"/>
    <s v="Brian"/>
    <n v="2013"/>
    <n v="2"/>
    <n v="3.1"/>
    <n v="129"/>
    <n v="32"/>
    <x v="0"/>
    <s v="Matt"/>
    <s v="TEXAROK"/>
    <s v="N"/>
  </r>
  <r>
    <n v="16"/>
    <n v="1341"/>
    <n v="461"/>
    <s v="Brian"/>
    <s v="Matt"/>
    <n v="2013"/>
    <n v="2"/>
    <n v="3.2"/>
    <n v="97"/>
    <n v="-32"/>
    <x v="1"/>
    <s v="Brian"/>
    <s v="TEXAROK"/>
    <s v="N"/>
  </r>
  <r>
    <n v="17"/>
    <n v="1326"/>
    <n v="819"/>
    <s v="David"/>
    <s v="Watty"/>
    <n v="2013"/>
    <n v="2"/>
    <n v="4.0999999999999996"/>
    <n v="84"/>
    <n v="-31"/>
    <x v="1"/>
    <s v="David"/>
    <s v="TEXAROK"/>
    <s v="Y"/>
  </r>
  <r>
    <n v="18"/>
    <n v="205"/>
    <n v="146"/>
    <s v="Watty"/>
    <s v="David"/>
    <n v="2013"/>
    <n v="2"/>
    <n v="4.2"/>
    <n v="115"/>
    <n v="31"/>
    <x v="0"/>
    <s v="Watty"/>
    <s v="AKCOVA"/>
    <s v="Y"/>
  </r>
  <r>
    <n v="19"/>
    <n v="433"/>
    <n v="1306"/>
    <s v="Abby"/>
    <s v="Emily"/>
    <n v="2013"/>
    <n v="2"/>
    <n v="5.0999999999999996"/>
    <n v="67"/>
    <n v="17"/>
    <x v="0"/>
    <s v="Abby"/>
    <s v="AKCOVA"/>
    <s v="Y"/>
  </r>
  <r>
    <n v="20"/>
    <n v="1095"/>
    <n v="1505"/>
    <s v="Emily"/>
    <s v="Abby"/>
    <n v="2013"/>
    <n v="2"/>
    <n v="5.2"/>
    <n v="50"/>
    <n v="-17"/>
    <x v="1"/>
    <s v="Emily"/>
    <s v="TEXAROK"/>
    <s v="Y"/>
  </r>
  <r>
    <n v="21"/>
    <n v="1002"/>
    <n v="544"/>
    <s v="Michael"/>
    <s v="Watty"/>
    <n v="2013"/>
    <n v="3"/>
    <n v="1.1000000000000001"/>
    <n v="94"/>
    <n v="-12"/>
    <x v="1"/>
    <s v="Michael"/>
    <s v="AKCOVA"/>
    <s v="N"/>
  </r>
  <r>
    <n v="22"/>
    <n v="525"/>
    <n v="271"/>
    <s v="Watty"/>
    <s v="Michael"/>
    <n v="2013"/>
    <n v="3"/>
    <n v="1.2"/>
    <n v="106"/>
    <n v="12"/>
    <x v="0"/>
    <s v="Watty"/>
    <s v="AKCOVA"/>
    <s v="N"/>
  </r>
  <r>
    <n v="23"/>
    <n v="643"/>
    <n v="439"/>
    <s v="Brian"/>
    <s v="David"/>
    <n v="2013"/>
    <n v="3"/>
    <n v="2.1"/>
    <n v="98"/>
    <n v="6"/>
    <x v="0"/>
    <s v="Brian"/>
    <s v="TEXAROK"/>
    <s v="N"/>
  </r>
  <r>
    <n v="24"/>
    <n v="882"/>
    <n v="599"/>
    <s v="David"/>
    <s v="Brian"/>
    <n v="2013"/>
    <n v="3"/>
    <n v="2.2000000000000002"/>
    <n v="92"/>
    <n v="-6"/>
    <x v="1"/>
    <s v="David"/>
    <s v="TEXAROK"/>
    <s v="N"/>
  </r>
  <r>
    <n v="25"/>
    <n v="622"/>
    <n v="852"/>
    <s v="Matt"/>
    <s v="Abby"/>
    <n v="2013"/>
    <n v="3"/>
    <n v="3.1"/>
    <n v="83"/>
    <n v="7"/>
    <x v="0"/>
    <s v="Matt"/>
    <s v="TEXAROK"/>
    <s v="Y"/>
  </r>
  <r>
    <n v="26"/>
    <n v="903"/>
    <n v="1076"/>
    <s v="Abby"/>
    <s v="Matt"/>
    <n v="2013"/>
    <n v="3"/>
    <n v="3.2"/>
    <n v="76"/>
    <n v="-7"/>
    <x v="1"/>
    <s v="Abby"/>
    <s v="AKCOVA"/>
    <s v="Y"/>
  </r>
  <r>
    <n v="27"/>
    <n v="1113"/>
    <n v="1441"/>
    <s v="Emily"/>
    <s v="Mark"/>
    <n v="2013"/>
    <n v="3"/>
    <n v="4.0999999999999996"/>
    <n v="58"/>
    <n v="-18"/>
    <x v="1"/>
    <s v="Emily"/>
    <s v="TEXAROK"/>
    <s v="Y"/>
  </r>
  <r>
    <n v="28"/>
    <n v="413"/>
    <n v="1076"/>
    <s v="Mark"/>
    <s v="Emily"/>
    <n v="2013"/>
    <n v="3"/>
    <n v="4.2"/>
    <n v="76"/>
    <n v="18"/>
    <x v="0"/>
    <s v="Mark"/>
    <s v="AKCOVA"/>
    <s v="Y"/>
  </r>
  <r>
    <n v="29"/>
    <n v="1443"/>
    <n v="1319"/>
    <s v="BR"/>
    <s v="Russell"/>
    <n v="2013"/>
    <n v="3"/>
    <n v="5.0999999999999996"/>
    <n v="66"/>
    <n v="-44"/>
    <x v="1"/>
    <s v="BR"/>
    <s v="AKCOVA"/>
    <s v="Y"/>
  </r>
  <r>
    <n v="30"/>
    <n v="95"/>
    <n v="207"/>
    <s v="Russell"/>
    <s v="BR"/>
    <n v="2013"/>
    <n v="3"/>
    <n v="5.2"/>
    <n v="110"/>
    <n v="44"/>
    <x v="0"/>
    <s v="Russell"/>
    <s v="TEXAROK"/>
    <s v="Y"/>
  </r>
  <r>
    <n v="31"/>
    <n v="220"/>
    <n v="89"/>
    <s v="Brian"/>
    <s v="Michael"/>
    <n v="2013"/>
    <n v="4"/>
    <n v="1.1000000000000001"/>
    <n v="122"/>
    <n v="30"/>
    <x v="0"/>
    <s v="Brian"/>
    <s v="TEXAROK"/>
    <s v="Y"/>
  </r>
  <r>
    <n v="32"/>
    <n v="1310"/>
    <n v="599"/>
    <s v="Michael"/>
    <s v="Brian"/>
    <n v="2013"/>
    <n v="4"/>
    <n v="1.2"/>
    <n v="92"/>
    <n v="-30"/>
    <x v="1"/>
    <s v="Michael"/>
    <s v="AKCOVA"/>
    <s v="Y"/>
  </r>
  <r>
    <n v="33"/>
    <n v="596"/>
    <n v="544"/>
    <s v="Emily"/>
    <s v="Matt"/>
    <n v="2013"/>
    <n v="4"/>
    <n v="2.1"/>
    <n v="94"/>
    <n v="8"/>
    <x v="0"/>
    <s v="Emily"/>
    <s v="TEXAROK"/>
    <s v="N"/>
  </r>
  <r>
    <n v="34"/>
    <n v="924"/>
    <n v="768"/>
    <s v="Matt"/>
    <s v="Emily"/>
    <n v="2013"/>
    <n v="4"/>
    <n v="2.2000000000000002"/>
    <n v="86"/>
    <n v="-8"/>
    <x v="1"/>
    <s v="Matt"/>
    <s v="TEXAROK"/>
    <s v="N"/>
  </r>
  <r>
    <n v="35"/>
    <n v="1095"/>
    <n v="1117"/>
    <s v="David"/>
    <s v="Abby"/>
    <n v="2013"/>
    <n v="4"/>
    <n v="3.1"/>
    <n v="75"/>
    <n v="-17"/>
    <x v="1"/>
    <s v="David"/>
    <s v="TEXAROK"/>
    <s v="Y"/>
  </r>
  <r>
    <n v="36"/>
    <n v="433"/>
    <n v="599"/>
    <s v="Abby"/>
    <s v="David"/>
    <n v="2013"/>
    <n v="4"/>
    <n v="3.2"/>
    <n v="92"/>
    <n v="17"/>
    <x v="0"/>
    <s v="Abby"/>
    <s v="AKCOVA"/>
    <s v="Y"/>
  </r>
  <r>
    <n v="37"/>
    <n v="983"/>
    <n v="414"/>
    <s v="Mark"/>
    <s v="BR"/>
    <n v="2013"/>
    <n v="4"/>
    <n v="4.0999999999999996"/>
    <n v="99"/>
    <n v="-11"/>
    <x v="1"/>
    <s v="Mark"/>
    <s v="AKCOVA"/>
    <s v="N"/>
  </r>
  <r>
    <n v="38"/>
    <n v="544"/>
    <n v="207"/>
    <s v="BR"/>
    <s v="Mark"/>
    <n v="2013"/>
    <n v="4"/>
    <n v="4.2"/>
    <n v="110"/>
    <n v="11"/>
    <x v="0"/>
    <s v="BR"/>
    <s v="AKCOVA"/>
    <s v="N"/>
  </r>
  <r>
    <n v="39"/>
    <n v="1113"/>
    <n v="311"/>
    <s v="Watty"/>
    <s v="Russell"/>
    <n v="2013"/>
    <n v="4"/>
    <n v="5.0999999999999996"/>
    <n v="104"/>
    <n v="-18"/>
    <x v="1"/>
    <s v="Watty"/>
    <s v="AKCOVA"/>
    <s v="Y"/>
  </r>
  <r>
    <n v="40"/>
    <n v="413"/>
    <n v="89"/>
    <s v="Russell"/>
    <s v="Watty"/>
    <n v="2013"/>
    <n v="4"/>
    <n v="5.2"/>
    <n v="122"/>
    <n v="18"/>
    <x v="0"/>
    <s v="Russell"/>
    <s v="TEXAROK"/>
    <s v="Y"/>
  </r>
  <r>
    <n v="41"/>
    <n v="882"/>
    <n v="572"/>
    <s v="Russell"/>
    <s v="Michael"/>
    <n v="2013"/>
    <n v="5"/>
    <n v="1.1000000000000001"/>
    <n v="93"/>
    <n v="-6"/>
    <x v="1"/>
    <s v="Russell"/>
    <s v="TEXAROK"/>
    <s v="Y"/>
  </r>
  <r>
    <n v="42"/>
    <n v="643"/>
    <n v="414"/>
    <s v="Michael"/>
    <s v="Russell"/>
    <n v="2013"/>
    <n v="5"/>
    <n v="1.2"/>
    <n v="99"/>
    <n v="6"/>
    <x v="0"/>
    <s v="Michael"/>
    <s v="AKCOVA"/>
    <s v="Y"/>
  </r>
  <r>
    <n v="43"/>
    <n v="324"/>
    <n v="311"/>
    <s v="Abby"/>
    <s v="Brian"/>
    <n v="2013"/>
    <n v="5"/>
    <n v="2.1"/>
    <n v="104"/>
    <n v="23"/>
    <x v="0"/>
    <s v="Abby"/>
    <s v="AKCOVA"/>
    <s v="Y"/>
  </r>
  <r>
    <n v="44"/>
    <n v="1208"/>
    <n v="924"/>
    <s v="Brian"/>
    <s v="Abby"/>
    <n v="2013"/>
    <n v="5"/>
    <n v="2.2000000000000002"/>
    <n v="81"/>
    <n v="-23"/>
    <x v="1"/>
    <s v="Brian"/>
    <s v="TEXAROK"/>
    <s v="Y"/>
  </r>
  <r>
    <n v="45"/>
    <n v="373"/>
    <n v="819"/>
    <s v="David"/>
    <s v="Emily"/>
    <n v="2013"/>
    <n v="5"/>
    <n v="3.1"/>
    <n v="84"/>
    <n v="20"/>
    <x v="0"/>
    <s v="David"/>
    <s v="TEXAROK"/>
    <s v="N"/>
  </r>
  <r>
    <n v="46"/>
    <n v="1148"/>
    <n v="1346"/>
    <s v="Emily"/>
    <s v="David"/>
    <n v="2013"/>
    <n v="5"/>
    <n v="3.2"/>
    <n v="64"/>
    <n v="-20"/>
    <x v="1"/>
    <s v="Emily"/>
    <s v="TEXAROK"/>
    <s v="N"/>
  </r>
  <r>
    <n v="47"/>
    <n v="1373"/>
    <n v="1012"/>
    <s v="Matt"/>
    <s v="BR"/>
    <n v="2013"/>
    <n v="5"/>
    <n v="4.0999999999999996"/>
    <n v="78"/>
    <n v="-36"/>
    <x v="1"/>
    <s v="Matt"/>
    <s v="TEXAROK"/>
    <s v="Y"/>
  </r>
  <r>
    <n v="48"/>
    <n v="164"/>
    <n v="155"/>
    <s v="BR"/>
    <s v="Matt"/>
    <n v="2013"/>
    <n v="5"/>
    <n v="4.2"/>
    <n v="114"/>
    <n v="36"/>
    <x v="0"/>
    <s v="BR"/>
    <s v="AKCOVA"/>
    <s v="Y"/>
  </r>
  <r>
    <n v="49"/>
    <n v="82"/>
    <n v="163"/>
    <s v="Watty"/>
    <s v="Mark"/>
    <n v="2013"/>
    <n v="5"/>
    <n v="5.0999999999999996"/>
    <n v="113"/>
    <n v="49"/>
    <x v="0"/>
    <s v="Watty"/>
    <s v="AKCOVA"/>
    <s v="N"/>
  </r>
  <r>
    <n v="50"/>
    <n v="1462"/>
    <n v="1346"/>
    <s v="Mark"/>
    <s v="Watty"/>
    <n v="2013"/>
    <n v="5"/>
    <n v="5.2"/>
    <n v="64"/>
    <n v="-49"/>
    <x v="1"/>
    <s v="Mark"/>
    <s v="AKCOVA"/>
    <s v="N"/>
  </r>
  <r>
    <n v="51"/>
    <n v="950"/>
    <n v="1135"/>
    <s v="Michael"/>
    <s v="Emily"/>
    <n v="2013"/>
    <n v="6"/>
    <n v="1.1000000000000001"/>
    <n v="74"/>
    <n v="-9"/>
    <x v="1"/>
    <s v="Michael"/>
    <s v="AKCOVA"/>
    <s v="Y"/>
  </r>
  <r>
    <n v="52"/>
    <n v="580"/>
    <n v="852"/>
    <s v="Emily"/>
    <s v="Michael"/>
    <n v="2013"/>
    <n v="6"/>
    <n v="1.2"/>
    <n v="83"/>
    <n v="9"/>
    <x v="0"/>
    <s v="Emily"/>
    <s v="TEXAROK"/>
    <s v="Y"/>
  </r>
  <r>
    <n v="53"/>
    <n v="503"/>
    <n v="414"/>
    <s v="Mark"/>
    <s v="David"/>
    <n v="2013"/>
    <n v="6"/>
    <n v="2.1"/>
    <n v="99"/>
    <n v="13"/>
    <x v="0"/>
    <s v="Mark"/>
    <s v="AKCOVA"/>
    <s v="Y"/>
  </r>
  <r>
    <n v="54"/>
    <n v="1021"/>
    <n v="768"/>
    <s v="David"/>
    <s v="Mark"/>
    <n v="2013"/>
    <n v="6"/>
    <n v="2.2000000000000002"/>
    <n v="86"/>
    <n v="-13"/>
    <x v="1"/>
    <s v="David"/>
    <s v="TEXAROK"/>
    <s v="Y"/>
  </r>
  <r>
    <n v="55"/>
    <n v="766"/>
    <n v="924"/>
    <s v="Russell"/>
    <s v="Matt"/>
    <n v="2013"/>
    <n v="6"/>
    <n v="3.1"/>
    <n v="81"/>
    <n v="0"/>
    <x v="2"/>
    <s v="Russell"/>
    <s v="TEXAROK"/>
    <s v="N"/>
  </r>
  <r>
    <n v="56"/>
    <n v="766"/>
    <n v="924"/>
    <s v="Matt"/>
    <s v="Russell"/>
    <n v="2013"/>
    <n v="6"/>
    <n v="3.2"/>
    <n v="81"/>
    <n v="0"/>
    <x v="2"/>
    <s v="Matt"/>
    <s v="TEXAROK"/>
    <s v="N"/>
  </r>
  <r>
    <n v="57"/>
    <n v="9"/>
    <n v="58"/>
    <s v="Watty"/>
    <s v="Abby"/>
    <n v="2013"/>
    <n v="6"/>
    <n v="4.0999999999999996"/>
    <n v="128"/>
    <n v="77"/>
    <x v="0"/>
    <s v="Watty"/>
    <s v="AKCOVA"/>
    <s v="N"/>
  </r>
  <r>
    <n v="58"/>
    <n v="1536"/>
    <n v="1498"/>
    <s v="Abby"/>
    <s v="Watty"/>
    <n v="2013"/>
    <n v="6"/>
    <n v="4.2"/>
    <n v="51"/>
    <n v="-77"/>
    <x v="1"/>
    <s v="Abby"/>
    <s v="AKCOVA"/>
    <s v="N"/>
  </r>
  <r>
    <n v="59"/>
    <n v="1526"/>
    <n v="1540"/>
    <s v="BR"/>
    <s v="Brian"/>
    <n v="2013"/>
    <n v="6"/>
    <n v="5.0999999999999996"/>
    <n v="36"/>
    <n v="-69"/>
    <x v="1"/>
    <s v="BR"/>
    <s v="AKCOVA"/>
    <s v="Y"/>
  </r>
  <r>
    <n v="60"/>
    <n v="19"/>
    <n v="288"/>
    <s v="Brian"/>
    <s v="BR"/>
    <n v="2013"/>
    <n v="6"/>
    <n v="5.2"/>
    <n v="105"/>
    <n v="69"/>
    <x v="0"/>
    <s v="Brian"/>
    <s v="TEXAROK"/>
    <s v="Y"/>
  </r>
  <r>
    <n v="61"/>
    <n v="260"/>
    <n v="651"/>
    <s v="David"/>
    <s v="Michael"/>
    <n v="2013"/>
    <n v="7"/>
    <n v="1.1000000000000001"/>
    <n v="90"/>
    <n v="27"/>
    <x v="0"/>
    <s v="David"/>
    <s v="TEXAROK"/>
    <s v="Y"/>
  </r>
  <r>
    <n v="62"/>
    <n v="1268"/>
    <n v="1362"/>
    <s v="Michael"/>
    <s v="David"/>
    <n v="2013"/>
    <n v="7"/>
    <n v="1.2"/>
    <n v="63"/>
    <n v="-27"/>
    <x v="1"/>
    <s v="Michael"/>
    <s v="AKCOVA"/>
    <s v="Y"/>
  </r>
  <r>
    <n v="63"/>
    <n v="433"/>
    <n v="599"/>
    <s v="Emily"/>
    <s v="BR"/>
    <n v="2013"/>
    <n v="7"/>
    <n v="2.1"/>
    <n v="92"/>
    <n v="17"/>
    <x v="0"/>
    <s v="Emily"/>
    <s v="TEXAROK"/>
    <s v="Y"/>
  </r>
  <r>
    <n v="64"/>
    <n v="1095"/>
    <n v="1117"/>
    <s v="BR"/>
    <s v="Emily"/>
    <n v="2013"/>
    <n v="7"/>
    <n v="2.2000000000000002"/>
    <n v="75"/>
    <n v="-17"/>
    <x v="1"/>
    <s v="BR"/>
    <s v="AKCOVA"/>
    <s v="Y"/>
  </r>
  <r>
    <n v="65"/>
    <n v="780"/>
    <n v="627"/>
    <s v="Matt"/>
    <s v="Watty"/>
    <n v="2013"/>
    <n v="7"/>
    <n v="3.1"/>
    <n v="91"/>
    <n v="-1"/>
    <x v="1"/>
    <s v="Matt"/>
    <s v="TEXAROK"/>
    <s v="Y"/>
  </r>
  <r>
    <n v="66"/>
    <n v="741"/>
    <n v="599"/>
    <s v="Watty"/>
    <s v="Matt"/>
    <n v="2013"/>
    <n v="7"/>
    <n v="3.2"/>
    <n v="92"/>
    <n v="1"/>
    <x v="0"/>
    <s v="Watty"/>
    <s v="AKCOVA"/>
    <s v="Y"/>
  </r>
  <r>
    <n v="67"/>
    <n v="679"/>
    <n v="741"/>
    <s v="Abby"/>
    <s v="Mark"/>
    <n v="2013"/>
    <n v="7"/>
    <n v="4.0999999999999996"/>
    <n v="87"/>
    <n v="4"/>
    <x v="0"/>
    <s v="Abby"/>
    <s v="AKCOVA"/>
    <s v="N"/>
  </r>
  <r>
    <n v="68"/>
    <n v="843"/>
    <n v="852"/>
    <s v="Mark"/>
    <s v="Abby"/>
    <n v="2013"/>
    <n v="7"/>
    <n v="4.2"/>
    <n v="83"/>
    <n v="-4"/>
    <x v="1"/>
    <s v="Mark"/>
    <s v="AKCOVA"/>
    <s v="N"/>
  </r>
  <r>
    <n v="69"/>
    <n v="643"/>
    <n v="710"/>
    <s v="Brian"/>
    <s v="Russell"/>
    <n v="2013"/>
    <n v="7"/>
    <n v="5.0999999999999996"/>
    <n v="88"/>
    <n v="6"/>
    <x v="0"/>
    <s v="Brian"/>
    <s v="TEXAROK"/>
    <s v="N"/>
  </r>
  <r>
    <n v="70"/>
    <n v="882"/>
    <n v="883"/>
    <s v="Russell"/>
    <s v="Brian"/>
    <n v="2013"/>
    <n v="7"/>
    <n v="5.2"/>
    <n v="82"/>
    <n v="-6"/>
    <x v="1"/>
    <s v="Russell"/>
    <s v="TEXAROK"/>
    <s v="N"/>
  </r>
  <r>
    <n v="71"/>
    <n v="703"/>
    <n v="651"/>
    <s v="Michael"/>
    <s v="Abby"/>
    <n v="2013"/>
    <n v="8"/>
    <n v="1.1000000000000001"/>
    <n v="90"/>
    <n v="3"/>
    <x v="0"/>
    <s v="Michael"/>
    <s v="AKCOVA"/>
    <s v="N"/>
  </r>
  <r>
    <n v="72"/>
    <n v="823"/>
    <n v="741"/>
    <s v="Abby"/>
    <s v="Michael"/>
    <n v="2013"/>
    <n v="8"/>
    <n v="1.2"/>
    <n v="87"/>
    <n v="-3"/>
    <x v="1"/>
    <s v="Abby"/>
    <s v="AKCOVA"/>
    <s v="N"/>
  </r>
  <r>
    <n v="73"/>
    <n v="983"/>
    <n v="1117"/>
    <s v="Russell"/>
    <s v="Emily"/>
    <n v="2013"/>
    <n v="8"/>
    <n v="2.1"/>
    <n v="75"/>
    <n v="-11"/>
    <x v="1"/>
    <s v="Russell"/>
    <s v="TEXAROK"/>
    <s v="N"/>
  </r>
  <r>
    <n v="74"/>
    <n v="544"/>
    <n v="768"/>
    <s v="Emily"/>
    <s v="Russell"/>
    <n v="2013"/>
    <n v="8"/>
    <n v="2.2000000000000002"/>
    <n v="86"/>
    <n v="11"/>
    <x v="0"/>
    <s v="Emily"/>
    <s v="TEXAROK"/>
    <s v="N"/>
  </r>
  <r>
    <n v="75"/>
    <n v="741"/>
    <n v="924"/>
    <s v="Mark"/>
    <s v="Matt"/>
    <n v="2013"/>
    <n v="8"/>
    <n v="3.1"/>
    <n v="81"/>
    <n v="1"/>
    <x v="0"/>
    <s v="Mark"/>
    <s v="AKCOVA"/>
    <s v="Y"/>
  </r>
  <r>
    <n v="76"/>
    <n v="780"/>
    <n v="956"/>
    <s v="Matt"/>
    <s v="Mark"/>
    <n v="2013"/>
    <n v="8"/>
    <n v="3.2"/>
    <n v="80"/>
    <n v="-1"/>
    <x v="1"/>
    <s v="Matt"/>
    <s v="TEXAROK"/>
    <s v="Y"/>
  </r>
  <r>
    <n v="77"/>
    <n v="373"/>
    <n v="155"/>
    <s v="BR"/>
    <s v="David"/>
    <n v="2013"/>
    <n v="8"/>
    <n v="4.0999999999999996"/>
    <n v="114"/>
    <n v="20"/>
    <x v="0"/>
    <s v="BR"/>
    <s v="AKCOVA"/>
    <s v="Y"/>
  </r>
  <r>
    <n v="78"/>
    <n v="1148"/>
    <n v="544"/>
    <s v="David"/>
    <s v="BR"/>
    <n v="2013"/>
    <n v="8"/>
    <n v="4.2"/>
    <n v="94"/>
    <n v="-20"/>
    <x v="1"/>
    <s v="David"/>
    <s v="TEXAROK"/>
    <s v="Y"/>
  </r>
  <r>
    <n v="79"/>
    <n v="643"/>
    <n v="107"/>
    <s v="Watty"/>
    <s v="Brian"/>
    <n v="2013"/>
    <n v="8"/>
    <n v="5.0999999999999996"/>
    <n v="120"/>
    <n v="6"/>
    <x v="0"/>
    <s v="Watty"/>
    <s v="AKCOVA"/>
    <s v="Y"/>
  </r>
  <r>
    <n v="80"/>
    <n v="882"/>
    <n v="155"/>
    <s v="Brian"/>
    <s v="Watty"/>
    <n v="2013"/>
    <n v="8"/>
    <n v="5.2"/>
    <n v="114"/>
    <n v="-6"/>
    <x v="1"/>
    <s v="Brian"/>
    <s v="TEXAROK"/>
    <s v="Y"/>
  </r>
  <r>
    <n v="81"/>
    <n v="1063"/>
    <n v="710"/>
    <s v="Michael"/>
    <s v="Russell"/>
    <n v="2013"/>
    <n v="9"/>
    <n v="1.1000000000000001"/>
    <n v="88"/>
    <n v="-15"/>
    <x v="1"/>
    <s v="Michael"/>
    <s v="AKCOVA"/>
    <s v="Y"/>
  </r>
  <r>
    <n v="82"/>
    <n v="467"/>
    <n v="339"/>
    <s v="Russell"/>
    <s v="Michael"/>
    <n v="2013"/>
    <n v="9"/>
    <n v="1.2"/>
    <n v="103"/>
    <n v="15"/>
    <x v="0"/>
    <s v="Russell"/>
    <s v="TEXAROK"/>
    <s v="Y"/>
  </r>
  <r>
    <n v="83"/>
    <n v="1299"/>
    <n v="883"/>
    <s v="Matt"/>
    <s v="David"/>
    <n v="2013"/>
    <n v="9"/>
    <n v="2.1"/>
    <n v="82"/>
    <n v="-29"/>
    <x v="1"/>
    <s v="Matt"/>
    <s v="TEXAROK"/>
    <s v="N"/>
  </r>
  <r>
    <n v="84"/>
    <n v="236"/>
    <n v="192"/>
    <s v="David"/>
    <s v="Matt"/>
    <n v="2013"/>
    <n v="9"/>
    <n v="2.2000000000000002"/>
    <n v="111"/>
    <n v="29"/>
    <x v="0"/>
    <s v="David"/>
    <s v="TEXAROK"/>
    <s v="N"/>
  </r>
  <r>
    <n v="85"/>
    <n v="291"/>
    <n v="375"/>
    <s v="Brian"/>
    <s v="Emily"/>
    <n v="2013"/>
    <n v="9"/>
    <n v="3.1"/>
    <n v="101"/>
    <n v="25"/>
    <x v="0"/>
    <s v="Brian"/>
    <s v="TEXAROK"/>
    <s v="N"/>
  </r>
  <r>
    <n v="86"/>
    <n v="1236"/>
    <n v="1076"/>
    <s v="Emily"/>
    <s v="Brian"/>
    <n v="2013"/>
    <n v="9"/>
    <n v="3.2"/>
    <n v="76"/>
    <n v="-25"/>
    <x v="1"/>
    <s v="Emily"/>
    <s v="TEXAROK"/>
    <s v="N"/>
  </r>
  <r>
    <n v="87"/>
    <n v="28"/>
    <n v="78"/>
    <s v="Abby"/>
    <s v="BR"/>
    <n v="2013"/>
    <n v="9"/>
    <n v="4.0999999999999996"/>
    <n v="124"/>
    <n v="64"/>
    <x v="0"/>
    <s v="Abby"/>
    <s v="AKCOVA"/>
    <s v="N"/>
  </r>
  <r>
    <n v="88"/>
    <n v="1514"/>
    <n v="1406"/>
    <s v="BR"/>
    <s v="Abby"/>
    <n v="2013"/>
    <n v="9"/>
    <n v="4.2"/>
    <n v="60"/>
    <n v="-64"/>
    <x v="1"/>
    <s v="BR"/>
    <s v="AKCOVA"/>
    <s v="N"/>
  </r>
  <r>
    <n v="89"/>
    <n v="22"/>
    <n v="107"/>
    <s v="Mark"/>
    <s v="Watty"/>
    <n v="2013"/>
    <n v="9"/>
    <n v="5.0999999999999996"/>
    <n v="120"/>
    <n v="67"/>
    <x v="0"/>
    <s v="Mark"/>
    <s v="AKCOVA"/>
    <s v="N"/>
  </r>
  <r>
    <n v="90"/>
    <n v="1522"/>
    <n v="1486"/>
    <s v="Watty"/>
    <s v="Mark"/>
    <n v="2013"/>
    <n v="9"/>
    <n v="5.2"/>
    <n v="53"/>
    <n v="-67"/>
    <x v="1"/>
    <s v="Watty"/>
    <s v="AKCOVA"/>
    <s v="N"/>
  </r>
  <r>
    <n v="91"/>
    <n v="205"/>
    <n v="107"/>
    <s v="Michael"/>
    <s v="Mark"/>
    <n v="2013"/>
    <n v="10"/>
    <n v="1.1000000000000001"/>
    <n v="120"/>
    <n v="31"/>
    <x v="0"/>
    <s v="Michael"/>
    <s v="AKCOVA"/>
    <s v="N"/>
  </r>
  <r>
    <n v="92"/>
    <n v="1326"/>
    <n v="673"/>
    <s v="Mark"/>
    <s v="Michael"/>
    <n v="2013"/>
    <n v="10"/>
    <n v="1.2"/>
    <n v="89"/>
    <n v="-31"/>
    <x v="1"/>
    <s v="Mark"/>
    <s v="AKCOVA"/>
    <s v="N"/>
  </r>
  <r>
    <n v="93"/>
    <n v="260"/>
    <n v="1044"/>
    <s v="BR"/>
    <s v="Watty"/>
    <n v="2013"/>
    <n v="10"/>
    <n v="2.1"/>
    <n v="77"/>
    <n v="27"/>
    <x v="0"/>
    <s v="BR"/>
    <s v="AKCOVA"/>
    <s v="N"/>
  </r>
  <r>
    <n v="94"/>
    <n v="1268"/>
    <n v="1505"/>
    <s v="Watty"/>
    <s v="BR"/>
    <n v="2013"/>
    <n v="10"/>
    <n v="2.2000000000000002"/>
    <n v="50"/>
    <n v="-27"/>
    <x v="1"/>
    <s v="Watty"/>
    <s v="AKCOVA"/>
    <s v="N"/>
  </r>
  <r>
    <n v="95"/>
    <n v="310"/>
    <n v="78"/>
    <s v="Brian"/>
    <s v="Matt"/>
    <n v="2013"/>
    <n v="10"/>
    <n v="3.1"/>
    <n v="124"/>
    <n v="24"/>
    <x v="0"/>
    <s v="Brian"/>
    <s v="TEXAROK"/>
    <s v="N"/>
  </r>
  <r>
    <n v="96"/>
    <n v="1222"/>
    <n v="391"/>
    <s v="Matt"/>
    <s v="Brian"/>
    <n v="2013"/>
    <n v="10"/>
    <n v="3.2"/>
    <n v="100"/>
    <n v="-24"/>
    <x v="1"/>
    <s v="Matt"/>
    <s v="TEXAROK"/>
    <s v="N"/>
  </r>
  <r>
    <n v="97"/>
    <n v="703"/>
    <n v="984"/>
    <s v="David"/>
    <s v="Russell"/>
    <n v="2013"/>
    <n v="10"/>
    <n v="4.0999999999999996"/>
    <n v="79"/>
    <n v="3"/>
    <x v="0"/>
    <s v="David"/>
    <s v="TEXAROK"/>
    <s v="N"/>
  </r>
  <r>
    <n v="98"/>
    <n v="823"/>
    <n v="1076"/>
    <s v="Russell"/>
    <s v="David"/>
    <n v="2013"/>
    <n v="10"/>
    <n v="4.2"/>
    <n v="76"/>
    <n v="-3"/>
    <x v="1"/>
    <s v="Russell"/>
    <s v="TEXAROK"/>
    <s v="N"/>
  </r>
  <r>
    <n v="99"/>
    <n v="843"/>
    <n v="741"/>
    <s v="Emily"/>
    <s v="Abby"/>
    <n v="2013"/>
    <n v="10"/>
    <n v="5.0999999999999996"/>
    <n v="87"/>
    <n v="-4"/>
    <x v="1"/>
    <s v="Emily"/>
    <s v="TEXAROK"/>
    <s v="Y"/>
  </r>
  <r>
    <n v="100"/>
    <n v="679"/>
    <n v="627"/>
    <s v="Abby"/>
    <s v="Emily"/>
    <n v="2013"/>
    <n v="10"/>
    <n v="5.2"/>
    <n v="91"/>
    <n v="4"/>
    <x v="0"/>
    <s v="Abby"/>
    <s v="AKCOVA"/>
    <s v="Y"/>
  </r>
  <r>
    <n v="101"/>
    <n v="723"/>
    <n v="461"/>
    <s v="Michael"/>
    <s v="BR"/>
    <n v="2013"/>
    <n v="11"/>
    <n v="1.1000000000000001"/>
    <n v="97"/>
    <n v="2"/>
    <x v="0"/>
    <s v="Michael"/>
    <s v="AKCOVA"/>
    <s v="N"/>
  </r>
  <r>
    <n v="102"/>
    <n v="805"/>
    <n v="518"/>
    <s v="BR"/>
    <s v="Michael"/>
    <n v="2013"/>
    <n v="11"/>
    <n v="1.2"/>
    <n v="95"/>
    <n v="-2"/>
    <x v="1"/>
    <s v="BR"/>
    <s v="AKCOVA"/>
    <s v="N"/>
  </r>
  <r>
    <n v="103"/>
    <n v="843"/>
    <n v="1076"/>
    <s v="Mark"/>
    <s v="Russell"/>
    <n v="2013"/>
    <n v="11"/>
    <n v="2.1"/>
    <n v="76"/>
    <n v="-4"/>
    <x v="1"/>
    <s v="Mark"/>
    <s v="AKCOVA"/>
    <s v="Y"/>
  </r>
  <r>
    <n v="104"/>
    <n v="679"/>
    <n v="956"/>
    <s v="Russell"/>
    <s v="Mark"/>
    <n v="2013"/>
    <n v="11"/>
    <n v="2.2000000000000002"/>
    <n v="80"/>
    <n v="4"/>
    <x v="0"/>
    <s v="Russell"/>
    <s v="TEXAROK"/>
    <s v="Y"/>
  </r>
  <r>
    <n v="105"/>
    <n v="1079"/>
    <n v="673"/>
    <s v="Abby"/>
    <s v="Matt"/>
    <n v="2013"/>
    <n v="11"/>
    <n v="3.1"/>
    <n v="89"/>
    <n v="-16"/>
    <x v="1"/>
    <s v="Abby"/>
    <s v="AKCOVA"/>
    <s v="Y"/>
  </r>
  <r>
    <n v="106"/>
    <n v="451"/>
    <n v="288"/>
    <s v="Matt"/>
    <s v="Abby"/>
    <n v="2013"/>
    <n v="11"/>
    <n v="3.2"/>
    <n v="105"/>
    <n v="16"/>
    <x v="0"/>
    <s v="Matt"/>
    <s v="TEXAROK"/>
    <s v="Y"/>
  </r>
  <r>
    <n v="107"/>
    <n v="1095"/>
    <n v="984"/>
    <s v="Emily"/>
    <s v="Watty"/>
    <n v="2013"/>
    <n v="11"/>
    <n v="4.0999999999999996"/>
    <n v="79"/>
    <n v="-17"/>
    <x v="1"/>
    <s v="Emily"/>
    <s v="TEXAROK"/>
    <s v="Y"/>
  </r>
  <r>
    <n v="108"/>
    <n v="433"/>
    <n v="493"/>
    <s v="Watty"/>
    <s v="Emily"/>
    <n v="2013"/>
    <n v="11"/>
    <n v="4.2"/>
    <n v="96"/>
    <n v="17"/>
    <x v="0"/>
    <s v="Watty"/>
    <s v="AKCOVA"/>
    <s v="Y"/>
  </r>
  <r>
    <n v="109"/>
    <n v="1043"/>
    <n v="461"/>
    <s v="David"/>
    <s v="Brian"/>
    <n v="2013"/>
    <n v="11"/>
    <n v="5.0999999999999996"/>
    <n v="97"/>
    <n v="-14"/>
    <x v="1"/>
    <s v="David"/>
    <s v="TEXAROK"/>
    <s v="N"/>
  </r>
  <r>
    <n v="110"/>
    <n v="483"/>
    <n v="192"/>
    <s v="Brian"/>
    <s v="David"/>
    <n v="2013"/>
    <n v="11"/>
    <n v="5.2"/>
    <n v="111"/>
    <n v="14"/>
    <x v="0"/>
    <s v="Brian"/>
    <s v="TEXAROK"/>
    <s v="N"/>
  </r>
  <r>
    <n v="111"/>
    <n v="349"/>
    <n v="544"/>
    <s v="Watty"/>
    <s v="Michael"/>
    <n v="2013"/>
    <n v="12"/>
    <n v="1.1000000000000001"/>
    <n v="94"/>
    <n v="21"/>
    <x v="0"/>
    <s v="Watty"/>
    <s v="AKCOVA"/>
    <s v="N"/>
  </r>
  <r>
    <n v="112"/>
    <n v="1173"/>
    <n v="1162"/>
    <s v="Michael"/>
    <s v="Watty"/>
    <n v="2013"/>
    <n v="12"/>
    <n v="1.2"/>
    <n v="73"/>
    <n v="-21"/>
    <x v="1"/>
    <s v="Michael"/>
    <s v="AKCOVA"/>
    <s v="N"/>
  </r>
  <r>
    <n v="113"/>
    <n v="220"/>
    <n v="984"/>
    <s v="Matt"/>
    <s v="Emily"/>
    <n v="2013"/>
    <n v="12"/>
    <n v="2.1"/>
    <n v="79"/>
    <n v="30"/>
    <x v="0"/>
    <s v="Matt"/>
    <s v="TEXAROK"/>
    <s v="N"/>
  </r>
  <r>
    <n v="114"/>
    <n v="1310"/>
    <n v="1513"/>
    <s v="Emily"/>
    <s v="Matt"/>
    <n v="2013"/>
    <n v="12"/>
    <n v="2.2000000000000002"/>
    <n v="49"/>
    <n v="-30"/>
    <x v="1"/>
    <s v="Emily"/>
    <s v="TEXAROK"/>
    <s v="N"/>
  </r>
  <r>
    <n v="115"/>
    <n v="882"/>
    <n v="956"/>
    <s v="Abby"/>
    <s v="David"/>
    <n v="2013"/>
    <n v="12"/>
    <n v="3.1"/>
    <n v="80"/>
    <n v="-6"/>
    <x v="1"/>
    <s v="Abby"/>
    <s v="AKCOVA"/>
    <s v="Y"/>
  </r>
  <r>
    <n v="116"/>
    <n v="643"/>
    <n v="768"/>
    <s v="David"/>
    <s v="Abby"/>
    <n v="2013"/>
    <n v="12"/>
    <n v="3.2"/>
    <n v="86"/>
    <n v="6"/>
    <x v="0"/>
    <s v="David"/>
    <s v="TEXAROK"/>
    <s v="Y"/>
  </r>
  <r>
    <n v="117"/>
    <n v="32"/>
    <n v="48"/>
    <s v="Brian"/>
    <s v="Mark"/>
    <n v="2013"/>
    <n v="12"/>
    <n v="4.0999999999999996"/>
    <n v="130"/>
    <n v="63"/>
    <x v="0"/>
    <s v="Brian"/>
    <s v="TEXAROK"/>
    <s v="Y"/>
  </r>
  <r>
    <n v="118"/>
    <n v="1512"/>
    <n v="1306"/>
    <s v="Mark"/>
    <s v="Brian"/>
    <n v="2013"/>
    <n v="12"/>
    <n v="4.2"/>
    <n v="67"/>
    <n v="-63"/>
    <x v="1"/>
    <s v="Mark"/>
    <s v="AKCOVA"/>
    <s v="Y"/>
  </r>
  <r>
    <n v="119"/>
    <n v="164"/>
    <n v="192"/>
    <s v="Russell"/>
    <s v="BR"/>
    <n v="2013"/>
    <n v="12"/>
    <n v="5.0999999999999996"/>
    <n v="111"/>
    <n v="36"/>
    <x v="0"/>
    <s v="Russell"/>
    <s v="TEXAROK"/>
    <s v="Y"/>
  </r>
  <r>
    <n v="120"/>
    <n v="1373"/>
    <n v="1117"/>
    <s v="BR"/>
    <s v="Russell"/>
    <n v="2013"/>
    <n v="12"/>
    <n v="5.2"/>
    <n v="75"/>
    <n v="-36"/>
    <x v="1"/>
    <s v="BR"/>
    <s v="AKCOVA"/>
    <s v="Y"/>
  </r>
  <r>
    <n v="121"/>
    <n v="1002"/>
    <n v="1076"/>
    <s v="Matt"/>
    <s v="Michael"/>
    <n v="2013"/>
    <n v="13"/>
    <n v="1.1000000000000001"/>
    <n v="76"/>
    <n v="-12"/>
    <x v="1"/>
    <s v="Matt"/>
    <s v="TEXAROK"/>
    <s v="Y"/>
  </r>
  <r>
    <n v="122"/>
    <n v="525"/>
    <n v="710"/>
    <s v="Michael"/>
    <s v="Matt"/>
    <n v="2013"/>
    <n v="13"/>
    <n v="1.2"/>
    <n v="88"/>
    <n v="12"/>
    <x v="0"/>
    <s v="Michael"/>
    <s v="AKCOVA"/>
    <s v="Y"/>
  </r>
  <r>
    <n v="123"/>
    <n v="220"/>
    <n v="120"/>
    <s v="Brian"/>
    <s v="Abby"/>
    <n v="2013"/>
    <n v="13"/>
    <n v="2.1"/>
    <n v="119"/>
    <n v="30"/>
    <x v="0"/>
    <s v="Brian"/>
    <s v="TEXAROK"/>
    <s v="Y"/>
  </r>
  <r>
    <n v="124"/>
    <n v="1310"/>
    <n v="673"/>
    <s v="Abby"/>
    <s v="Brian"/>
    <n v="2013"/>
    <n v="13"/>
    <n v="2.2000000000000002"/>
    <n v="89"/>
    <n v="-30"/>
    <x v="1"/>
    <s v="Abby"/>
    <s v="AKCOVA"/>
    <s v="Y"/>
  </r>
  <r>
    <n v="125"/>
    <n v="679"/>
    <n v="1346"/>
    <s v="Emily"/>
    <s v="David"/>
    <n v="2013"/>
    <n v="13"/>
    <n v="3.1"/>
    <n v="64"/>
    <n v="4"/>
    <x v="0"/>
    <s v="Emily"/>
    <s v="TEXAROK"/>
    <s v="N"/>
  </r>
  <r>
    <n v="126"/>
    <n v="843"/>
    <n v="1406"/>
    <s v="David"/>
    <s v="Emily"/>
    <n v="2013"/>
    <n v="13"/>
    <n v="3.2"/>
    <n v="60"/>
    <n v="-4"/>
    <x v="1"/>
    <s v="David"/>
    <s v="TEXAROK"/>
    <s v="N"/>
  </r>
  <r>
    <n v="127"/>
    <n v="349"/>
    <n v="1135"/>
    <s v="BR"/>
    <s v="Mark"/>
    <n v="2013"/>
    <n v="13"/>
    <n v="4.0999999999999996"/>
    <n v="74"/>
    <n v="21"/>
    <x v="0"/>
    <s v="BR"/>
    <s v="AKCOVA"/>
    <s v="N"/>
  </r>
  <r>
    <n v="128"/>
    <n v="1173"/>
    <n v="1486"/>
    <s v="Mark"/>
    <s v="BR"/>
    <n v="2013"/>
    <n v="13"/>
    <n v="4.2"/>
    <n v="53"/>
    <n v="-21"/>
    <x v="1"/>
    <s v="Mark"/>
    <s v="AKCOVA"/>
    <s v="N"/>
  </r>
  <r>
    <n v="129"/>
    <n v="260"/>
    <n v="63"/>
    <s v="Russell"/>
    <s v="Watty"/>
    <n v="2013"/>
    <n v="13"/>
    <n v="5.0999999999999996"/>
    <n v="127"/>
    <n v="27"/>
    <x v="0"/>
    <s v="Russell"/>
    <s v="TEXAROK"/>
    <s v="Y"/>
  </r>
  <r>
    <n v="130"/>
    <n v="1268"/>
    <n v="391"/>
    <s v="Watty"/>
    <s v="Russell"/>
    <n v="2013"/>
    <n v="13"/>
    <n v="5.2"/>
    <n v="100"/>
    <n v="-27"/>
    <x v="1"/>
    <s v="Watty"/>
    <s v="AKCOVA"/>
    <s v="Y"/>
  </r>
  <r>
    <n v="131"/>
    <n v="1002"/>
    <n v="1243"/>
    <s v="Michael"/>
    <s v="Matt"/>
    <n v="2014"/>
    <n v="1"/>
    <n v="1.1000000000000001"/>
    <n v="70"/>
    <n v="-12"/>
    <x v="1"/>
    <s v="Michael"/>
    <s v="AKCOVA"/>
    <s v="Y"/>
  </r>
  <r>
    <n v="132"/>
    <n v="525"/>
    <n v="883"/>
    <s v="Matt"/>
    <s v="Michael"/>
    <n v="2014"/>
    <n v="1"/>
    <n v="1.2"/>
    <n v="82"/>
    <n v="12"/>
    <x v="0"/>
    <s v="Matt"/>
    <s v="TEXAROK"/>
    <s v="Y"/>
  </r>
  <r>
    <n v="133"/>
    <n v="563"/>
    <n v="288"/>
    <s v="Mark"/>
    <s v="Brian"/>
    <n v="2014"/>
    <n v="1"/>
    <n v="2.1"/>
    <n v="105"/>
    <n v="10"/>
    <x v="0"/>
    <s v="Mark"/>
    <s v="AKCOVA"/>
    <s v="Y"/>
  </r>
  <r>
    <n v="134"/>
    <n v="966"/>
    <n v="518"/>
    <s v="Brian"/>
    <s v="Mark"/>
    <n v="2014"/>
    <n v="1"/>
    <n v="2.2000000000000002"/>
    <n v="95"/>
    <n v="-10"/>
    <x v="1"/>
    <s v="Brian"/>
    <s v="TEXAROK"/>
    <s v="Y"/>
  </r>
  <r>
    <n v="135"/>
    <n v="338"/>
    <n v="414"/>
    <s v="BR"/>
    <s v="Abby"/>
    <n v="2014"/>
    <n v="1"/>
    <n v="3.1"/>
    <n v="99"/>
    <n v="22"/>
    <x v="0"/>
    <s v="BR"/>
    <s v="AKCOVA"/>
    <s v="N"/>
  </r>
  <r>
    <n v="136"/>
    <n v="1197"/>
    <n v="1044"/>
    <s v="Abby"/>
    <s v="BR"/>
    <n v="2014"/>
    <n v="1"/>
    <n v="3.2"/>
    <n v="77"/>
    <n v="-22"/>
    <x v="1"/>
    <s v="Abby"/>
    <s v="AKCOVA"/>
    <s v="N"/>
  </r>
  <r>
    <n v="137"/>
    <n v="805"/>
    <n v="796"/>
    <s v="Watty"/>
    <s v="Russell"/>
    <n v="2014"/>
    <n v="1"/>
    <n v="4.0999999999999996"/>
    <n v="85"/>
    <n v="-2"/>
    <x v="1"/>
    <s v="Watty"/>
    <s v="AKCOVA"/>
    <s v="Y"/>
  </r>
  <r>
    <n v="138"/>
    <n v="723"/>
    <n v="741"/>
    <s v="Russell"/>
    <s v="Watty"/>
    <n v="2014"/>
    <n v="1"/>
    <n v="4.2"/>
    <n v="87"/>
    <n v="2"/>
    <x v="0"/>
    <s v="Russell"/>
    <s v="TEXAROK"/>
    <s v="Y"/>
  </r>
  <r>
    <n v="139"/>
    <n v="966"/>
    <n v="239"/>
    <s v="David"/>
    <s v="Emily"/>
    <n v="2014"/>
    <n v="1"/>
    <n v="5.0999999999999996"/>
    <n v="108"/>
    <n v="-10"/>
    <x v="1"/>
    <s v="David"/>
    <s v="TEXAROK"/>
    <s v="N"/>
  </r>
  <r>
    <n v="140"/>
    <n v="563"/>
    <n v="126"/>
    <s v="Emily"/>
    <s v="David"/>
    <n v="2014"/>
    <n v="1"/>
    <n v="5.2"/>
    <n v="118"/>
    <n v="10"/>
    <x v="0"/>
    <s v="Emily"/>
    <s v="TEXAROK"/>
    <s v="N"/>
  </r>
  <r>
    <n v="141"/>
    <n v="260"/>
    <n v="768"/>
    <s v="Mark"/>
    <s v="Michael"/>
    <n v="2014"/>
    <n v="2"/>
    <n v="1.1000000000000001"/>
    <n v="86"/>
    <n v="27"/>
    <x v="0"/>
    <s v="Mark"/>
    <s v="AKCOVA"/>
    <s v="N"/>
  </r>
  <r>
    <n v="142"/>
    <n v="1268"/>
    <n v="1421"/>
    <s v="Michael"/>
    <s v="Mark"/>
    <n v="2014"/>
    <n v="2"/>
    <n v="1.2"/>
    <n v="59"/>
    <n v="-27"/>
    <x v="1"/>
    <s v="Michael"/>
    <s v="AKCOVA"/>
    <s v="N"/>
  </r>
  <r>
    <n v="143"/>
    <n v="924"/>
    <n v="956"/>
    <s v="Russell"/>
    <s v="BR"/>
    <n v="2014"/>
    <n v="2"/>
    <n v="2.1"/>
    <n v="80"/>
    <n v="-8"/>
    <x v="1"/>
    <s v="Russell"/>
    <s v="TEXAROK"/>
    <s v="Y"/>
  </r>
  <r>
    <n v="144"/>
    <n v="596"/>
    <n v="710"/>
    <s v="BR"/>
    <s v="Russell"/>
    <n v="2014"/>
    <n v="2"/>
    <n v="2.2000000000000002"/>
    <n v="88"/>
    <n v="8"/>
    <x v="0"/>
    <s v="BR"/>
    <s v="AKCOVA"/>
    <s v="Y"/>
  </r>
  <r>
    <n v="145"/>
    <n v="1255"/>
    <n v="1421"/>
    <s v="Watty"/>
    <s v="Abby"/>
    <n v="2014"/>
    <n v="2"/>
    <n v="3.1"/>
    <n v="59"/>
    <n v="-26"/>
    <x v="1"/>
    <s v="Watty"/>
    <s v="AKCOVA"/>
    <s v="N"/>
  </r>
  <r>
    <n v="146"/>
    <n v="278"/>
    <n v="796"/>
    <s v="Abby"/>
    <s v="Watty"/>
    <n v="2014"/>
    <n v="2"/>
    <n v="3.2"/>
    <n v="85"/>
    <n v="26"/>
    <x v="0"/>
    <s v="Abby"/>
    <s v="AKCOVA"/>
    <s v="N"/>
  </r>
  <r>
    <n v="147"/>
    <n v="373"/>
    <n v="222"/>
    <s v="Brian"/>
    <s v="David"/>
    <n v="2014"/>
    <n v="2"/>
    <n v="4.0999999999999996"/>
    <n v="109"/>
    <n v="20"/>
    <x v="0"/>
    <s v="Brian"/>
    <s v="TEXAROK"/>
    <s v="N"/>
  </r>
  <r>
    <n v="148"/>
    <n v="1148"/>
    <n v="673"/>
    <s v="David"/>
    <s v="Brian"/>
    <n v="2014"/>
    <n v="2"/>
    <n v="4.2"/>
    <n v="89"/>
    <n v="-20"/>
    <x v="1"/>
    <s v="David"/>
    <s v="TEXAROK"/>
    <s v="N"/>
  </r>
  <r>
    <n v="149"/>
    <n v="310"/>
    <n v="572"/>
    <s v="Matt"/>
    <s v="Emily"/>
    <n v="2014"/>
    <n v="2"/>
    <n v="5.0999999999999996"/>
    <n v="93"/>
    <n v="24"/>
    <x v="0"/>
    <s v="Matt"/>
    <s v="TEXAROK"/>
    <s v="N"/>
  </r>
  <r>
    <n v="150"/>
    <n v="1222"/>
    <n v="1265"/>
    <s v="Emily"/>
    <s v="Matt"/>
    <n v="2014"/>
    <n v="2"/>
    <n v="5.2"/>
    <n v="69"/>
    <n v="-24"/>
    <x v="1"/>
    <s v="Emily"/>
    <s v="TEXAROK"/>
    <s v="N"/>
  </r>
  <r>
    <n v="151"/>
    <n v="903"/>
    <n v="1117"/>
    <s v="Emily"/>
    <s v="Michael"/>
    <n v="2014"/>
    <n v="3"/>
    <n v="1.1000000000000001"/>
    <n v="75"/>
    <n v="-7"/>
    <x v="1"/>
    <s v="Emily"/>
    <s v="TEXAROK"/>
    <s v="Y"/>
  </r>
  <r>
    <n v="152"/>
    <n v="622"/>
    <n v="883"/>
    <s v="Michael"/>
    <s v="Emily"/>
    <n v="2014"/>
    <n v="3"/>
    <n v="1.2"/>
    <n v="82"/>
    <n v="7"/>
    <x v="0"/>
    <s v="Michael"/>
    <s v="AKCOVA"/>
    <s v="Y"/>
  </r>
  <r>
    <n v="153"/>
    <n v="1443"/>
    <n v="1478"/>
    <s v="Abby"/>
    <s v="Mark"/>
    <n v="2014"/>
    <n v="3"/>
    <n v="2.1"/>
    <n v="54"/>
    <n v="-44"/>
    <x v="1"/>
    <s v="Abby"/>
    <s v="AKCOVA"/>
    <s v="N"/>
  </r>
  <r>
    <n v="154"/>
    <n v="95"/>
    <n v="439"/>
    <s v="Mark"/>
    <s v="Abby"/>
    <n v="2014"/>
    <n v="3"/>
    <n v="2.2000000000000002"/>
    <n v="98"/>
    <n v="44"/>
    <x v="0"/>
    <s v="Mark"/>
    <s v="AKCOVA"/>
    <s v="N"/>
  </r>
  <r>
    <n v="155"/>
    <n v="1286"/>
    <n v="1243"/>
    <s v="Brian"/>
    <s v="Watty"/>
    <n v="2014"/>
    <n v="3"/>
    <n v="3.1"/>
    <n v="70"/>
    <n v="-28"/>
    <x v="1"/>
    <s v="Brian"/>
    <s v="TEXAROK"/>
    <s v="Y"/>
  </r>
  <r>
    <n v="156"/>
    <n v="247"/>
    <n v="439"/>
    <s v="Watty"/>
    <s v="Brian"/>
    <n v="2014"/>
    <n v="3"/>
    <n v="3.2"/>
    <n v="98"/>
    <n v="28"/>
    <x v="0"/>
    <s v="Watty"/>
    <s v="AKCOVA"/>
    <s v="Y"/>
  </r>
  <r>
    <n v="157"/>
    <n v="805"/>
    <n v="819"/>
    <s v="BR"/>
    <s v="David"/>
    <n v="2014"/>
    <n v="3"/>
    <n v="4.0999999999999996"/>
    <n v="84"/>
    <n v="-2"/>
    <x v="1"/>
    <s v="BR"/>
    <s v="AKCOVA"/>
    <s v="Y"/>
  </r>
  <r>
    <n v="158"/>
    <n v="723"/>
    <n v="768"/>
    <s v="David"/>
    <s v="BR"/>
    <n v="2014"/>
    <n v="3"/>
    <n v="4.2"/>
    <n v="86"/>
    <n v="2"/>
    <x v="0"/>
    <s v="David"/>
    <s v="TEXAROK"/>
    <s v="Y"/>
  </r>
  <r>
    <n v="159"/>
    <n v="1021"/>
    <n v="1406"/>
    <s v="Matt"/>
    <s v="Russell"/>
    <n v="2014"/>
    <n v="3"/>
    <n v="5.0999999999999996"/>
    <n v="60"/>
    <n v="-13"/>
    <x v="1"/>
    <s v="Matt"/>
    <s v="TEXAROK"/>
    <s v="N"/>
  </r>
  <r>
    <n v="160"/>
    <n v="503"/>
    <n v="1162"/>
    <s v="Russell"/>
    <s v="Matt"/>
    <n v="2014"/>
    <n v="3"/>
    <n v="5.2"/>
    <n v="73"/>
    <n v="13"/>
    <x v="0"/>
    <s v="Russell"/>
    <s v="TEXAROK"/>
    <s v="N"/>
  </r>
  <r>
    <n v="161"/>
    <n v="703"/>
    <n v="493"/>
    <s v="Michael"/>
    <s v="Russell"/>
    <n v="2014"/>
    <n v="4"/>
    <n v="1.1000000000000001"/>
    <n v="96"/>
    <n v="3"/>
    <x v="0"/>
    <s v="Michael"/>
    <s v="AKCOVA"/>
    <s v="Y"/>
  </r>
  <r>
    <n v="162"/>
    <n v="823"/>
    <n v="572"/>
    <s v="Russell"/>
    <s v="Michael"/>
    <n v="2014"/>
    <n v="4"/>
    <n v="1.2"/>
    <n v="93"/>
    <n v="-3"/>
    <x v="1"/>
    <s v="Russell"/>
    <s v="TEXAROK"/>
    <s v="Y"/>
  </r>
  <r>
    <n v="163"/>
    <n v="28"/>
    <n v="67"/>
    <s v="David"/>
    <s v="Matt"/>
    <n v="2014"/>
    <n v="4"/>
    <n v="2.1"/>
    <n v="126"/>
    <n v="64"/>
    <x v="0"/>
    <s v="David"/>
    <s v="TEXAROK"/>
    <s v="N"/>
  </r>
  <r>
    <n v="164"/>
    <n v="1514"/>
    <n v="1383"/>
    <s v="Matt"/>
    <s v="David"/>
    <n v="2014"/>
    <n v="4"/>
    <n v="2.2000000000000002"/>
    <n v="62"/>
    <n v="-64"/>
    <x v="1"/>
    <s v="Matt"/>
    <s v="TEXAROK"/>
    <s v="N"/>
  </r>
  <r>
    <n v="165"/>
    <n v="433"/>
    <n v="146"/>
    <s v="Mark"/>
    <s v="Watty"/>
    <n v="2014"/>
    <n v="4"/>
    <n v="3.1"/>
    <n v="115"/>
    <n v="17"/>
    <x v="0"/>
    <s v="Mark"/>
    <s v="AKCOVA"/>
    <s v="N"/>
  </r>
  <r>
    <n v="166"/>
    <n v="1095"/>
    <n v="439"/>
    <s v="Watty"/>
    <s v="Mark"/>
    <n v="2014"/>
    <n v="4"/>
    <n v="3.2"/>
    <n v="98"/>
    <n v="-17"/>
    <x v="1"/>
    <s v="Watty"/>
    <s v="AKCOVA"/>
    <s v="N"/>
  </r>
  <r>
    <n v="167"/>
    <n v="1326"/>
    <n v="1531"/>
    <s v="Abby"/>
    <s v="Emily"/>
    <n v="2014"/>
    <n v="4"/>
    <n v="4.0999999999999996"/>
    <n v="43"/>
    <n v="-31"/>
    <x v="1"/>
    <s v="Abby"/>
    <s v="AKCOVA"/>
    <s v="Y"/>
  </r>
  <r>
    <n v="168"/>
    <n v="205"/>
    <n v="1135"/>
    <s v="Emily"/>
    <s v="Abby"/>
    <n v="2014"/>
    <n v="4"/>
    <n v="4.2"/>
    <n v="74"/>
    <n v="31"/>
    <x v="0"/>
    <s v="Emily"/>
    <s v="TEXAROK"/>
    <s v="Y"/>
  </r>
  <r>
    <n v="169"/>
    <n v="349"/>
    <n v="673"/>
    <s v="BR"/>
    <s v="Brian"/>
    <n v="2014"/>
    <n v="4"/>
    <n v="5.0999999999999996"/>
    <n v="89"/>
    <n v="21"/>
    <x v="0"/>
    <s v="BR"/>
    <s v="AKCOVA"/>
    <s v="Y"/>
  </r>
  <r>
    <n v="170"/>
    <n v="1173"/>
    <n v="1288"/>
    <s v="Brian"/>
    <s v="BR"/>
    <n v="2014"/>
    <n v="4"/>
    <n v="5.2"/>
    <n v="68"/>
    <n v="-21"/>
    <x v="1"/>
    <s v="Brian"/>
    <s v="TEXAROK"/>
    <s v="Y"/>
  </r>
  <r>
    <n v="171"/>
    <n v="1268"/>
    <n v="1224"/>
    <s v="Michael"/>
    <s v="David"/>
    <n v="2014"/>
    <n v="5"/>
    <n v="1.1000000000000001"/>
    <n v="71"/>
    <n v="-27"/>
    <x v="1"/>
    <s v="Michael"/>
    <s v="AKCOVA"/>
    <s v="Y"/>
  </r>
  <r>
    <n v="172"/>
    <n v="260"/>
    <n v="439"/>
    <s v="David"/>
    <s v="Michael"/>
    <n v="2014"/>
    <n v="5"/>
    <n v="1.2"/>
    <n v="98"/>
    <n v="27"/>
    <x v="0"/>
    <s v="David"/>
    <s v="TEXAROK"/>
    <s v="Y"/>
  </r>
  <r>
    <n v="173"/>
    <n v="124"/>
    <n v="391"/>
    <s v="Russell"/>
    <s v="Emily"/>
    <n v="2014"/>
    <n v="5"/>
    <n v="2.1"/>
    <n v="100"/>
    <n v="40"/>
    <x v="0"/>
    <s v="Russell"/>
    <s v="TEXAROK"/>
    <s v="N"/>
  </r>
  <r>
    <n v="174"/>
    <n v="1412"/>
    <n v="1406"/>
    <s v="Emily"/>
    <s v="Russell"/>
    <n v="2014"/>
    <n v="5"/>
    <n v="2.2000000000000002"/>
    <n v="60"/>
    <n v="-40"/>
    <x v="1"/>
    <s v="Emily"/>
    <s v="TEXAROK"/>
    <s v="N"/>
  </r>
  <r>
    <n v="175"/>
    <n v="503"/>
    <n v="924"/>
    <s v="Mark"/>
    <s v="BR"/>
    <n v="2014"/>
    <n v="5"/>
    <n v="3.1"/>
    <n v="81"/>
    <n v="13"/>
    <x v="0"/>
    <s v="Mark"/>
    <s v="AKCOVA"/>
    <s v="N"/>
  </r>
  <r>
    <n v="176"/>
    <n v="1021"/>
    <n v="1288"/>
    <s v="BR"/>
    <s v="Mark"/>
    <n v="2014"/>
    <n v="5"/>
    <n v="3.2"/>
    <n v="68"/>
    <n v="-13"/>
    <x v="1"/>
    <s v="BR"/>
    <s v="AKCOVA"/>
    <s v="N"/>
  </r>
  <r>
    <n v="177"/>
    <n v="205"/>
    <n v="107"/>
    <s v="Brian"/>
    <s v="Matt"/>
    <n v="2014"/>
    <n v="5"/>
    <n v="4.0999999999999996"/>
    <n v="120"/>
    <n v="31"/>
    <x v="0"/>
    <s v="Brian"/>
    <s v="TEXAROK"/>
    <s v="N"/>
  </r>
  <r>
    <n v="178"/>
    <n v="1326"/>
    <n v="673"/>
    <s v="Matt"/>
    <s v="Brian"/>
    <n v="2014"/>
    <n v="5"/>
    <n v="4.2"/>
    <n v="89"/>
    <n v="-31"/>
    <x v="1"/>
    <s v="Matt"/>
    <s v="TEXAROK"/>
    <s v="N"/>
  </r>
  <r>
    <n v="179"/>
    <n v="413"/>
    <n v="414"/>
    <s v="Watty"/>
    <s v="Abby"/>
    <n v="2014"/>
    <n v="5"/>
    <n v="5.0999999999999996"/>
    <n v="99"/>
    <n v="18"/>
    <x v="0"/>
    <s v="Watty"/>
    <s v="AKCOVA"/>
    <s v="N"/>
  </r>
  <r>
    <n v="180"/>
    <n v="1113"/>
    <n v="924"/>
    <s v="Abby"/>
    <s v="Watty"/>
    <n v="2014"/>
    <n v="5"/>
    <n v="5.2"/>
    <n v="81"/>
    <n v="-18"/>
    <x v="1"/>
    <s v="Abby"/>
    <s v="AKCOVA"/>
    <s v="N"/>
  </r>
  <r>
    <n v="181"/>
    <n v="843"/>
    <n v="1044"/>
    <s v="Michael"/>
    <s v="Watty"/>
    <n v="2014"/>
    <n v="6"/>
    <n v="1.1000000000000001"/>
    <n v="77"/>
    <n v="-4"/>
    <x v="1"/>
    <s v="Michael"/>
    <s v="AKCOVA"/>
    <s v="N"/>
  </r>
  <r>
    <n v="182"/>
    <n v="679"/>
    <n v="924"/>
    <s v="Watty"/>
    <s v="Michael"/>
    <n v="2014"/>
    <n v="6"/>
    <n v="1.2"/>
    <n v="81"/>
    <n v="4"/>
    <x v="0"/>
    <s v="Watty"/>
    <s v="AKCOVA"/>
    <s v="N"/>
  </r>
  <r>
    <n v="183"/>
    <n v="766"/>
    <n v="984"/>
    <s v="Emily"/>
    <s v="BR"/>
    <n v="2014"/>
    <n v="6"/>
    <n v="2.1"/>
    <n v="79"/>
    <n v="0"/>
    <x v="2"/>
    <s v="Emily"/>
    <s v="TEXAROK"/>
    <s v="Y"/>
  </r>
  <r>
    <n v="184"/>
    <n v="766"/>
    <n v="984"/>
    <s v="BR"/>
    <s v="Emily"/>
    <n v="2014"/>
    <n v="6"/>
    <n v="2.2000000000000002"/>
    <n v="79"/>
    <n v="0"/>
    <x v="2"/>
    <s v="BR"/>
    <s v="AKCOVA"/>
    <s v="Y"/>
  </r>
  <r>
    <n v="185"/>
    <n v="1148"/>
    <n v="53"/>
    <s v="Russell"/>
    <s v="Brian"/>
    <n v="2014"/>
    <n v="6"/>
    <n v="3.1"/>
    <n v="129"/>
    <n v="-20"/>
    <x v="1"/>
    <s v="Russell"/>
    <s v="TEXAROK"/>
    <s v="N"/>
  </r>
  <r>
    <n v="186"/>
    <n v="373"/>
    <n v="9"/>
    <s v="Brian"/>
    <s v="Russell"/>
    <n v="2014"/>
    <n v="6"/>
    <n v="3.2"/>
    <n v="149"/>
    <n v="20"/>
    <x v="0"/>
    <s v="Brian"/>
    <s v="TEXAROK"/>
    <s v="N"/>
  </r>
  <r>
    <n v="187"/>
    <n v="291"/>
    <n v="120"/>
    <s v="David"/>
    <s v="Mark"/>
    <n v="2014"/>
    <n v="6"/>
    <n v="4.0999999999999996"/>
    <n v="119"/>
    <n v="25"/>
    <x v="0"/>
    <s v="David"/>
    <s v="TEXAROK"/>
    <s v="Y"/>
  </r>
  <r>
    <n v="188"/>
    <n v="1236"/>
    <n v="544"/>
    <s v="Mark"/>
    <s v="David"/>
    <n v="2014"/>
    <n v="6"/>
    <n v="4.2"/>
    <n v="94"/>
    <n v="-25"/>
    <x v="1"/>
    <s v="Mark"/>
    <s v="AKCOVA"/>
    <s v="Y"/>
  </r>
  <r>
    <n v="189"/>
    <n v="643"/>
    <n v="984"/>
    <s v="Matt"/>
    <s v="Abby"/>
    <n v="2014"/>
    <n v="6"/>
    <n v="5.0999999999999996"/>
    <n v="79"/>
    <n v="6"/>
    <x v="0"/>
    <s v="Matt"/>
    <s v="TEXAROK"/>
    <s v="Y"/>
  </r>
  <r>
    <n v="190"/>
    <n v="882"/>
    <n v="1162"/>
    <s v="Abby"/>
    <s v="Matt"/>
    <n v="2014"/>
    <n v="6"/>
    <n v="5.2"/>
    <n v="73"/>
    <n v="-6"/>
    <x v="1"/>
    <s v="Abby"/>
    <s v="AKCOVA"/>
    <s v="Y"/>
  </r>
  <r>
    <n v="191"/>
    <n v="741"/>
    <n v="1044"/>
    <s v="Brian"/>
    <s v="Michael"/>
    <n v="2014"/>
    <n v="7"/>
    <n v="1.1000000000000001"/>
    <n v="77"/>
    <n v="1"/>
    <x v="0"/>
    <s v="Brian"/>
    <s v="TEXAROK"/>
    <s v="Y"/>
  </r>
  <r>
    <n v="192"/>
    <n v="780"/>
    <n v="1076"/>
    <s v="Michael"/>
    <s v="Brian"/>
    <n v="2014"/>
    <n v="7"/>
    <n v="1.2"/>
    <n v="76"/>
    <n v="-1"/>
    <x v="1"/>
    <s v="Michael"/>
    <s v="AKCOVA"/>
    <s v="Y"/>
  </r>
  <r>
    <n v="193"/>
    <n v="164"/>
    <n v="768"/>
    <s v="Mark"/>
    <s v="Emily"/>
    <n v="2014"/>
    <n v="7"/>
    <n v="2.1"/>
    <n v="86"/>
    <n v="36"/>
    <x v="0"/>
    <s v="Mark"/>
    <s v="AKCOVA"/>
    <s v="Y"/>
  </r>
  <r>
    <n v="194"/>
    <n v="1373"/>
    <n v="1505"/>
    <s v="Emily"/>
    <s v="Mark"/>
    <n v="2014"/>
    <n v="7"/>
    <n v="2.2000000000000002"/>
    <n v="50"/>
    <n v="-36"/>
    <x v="1"/>
    <s v="Emily"/>
    <s v="TEXAROK"/>
    <s v="Y"/>
  </r>
  <r>
    <n v="195"/>
    <n v="503"/>
    <n v="883"/>
    <s v="Abby"/>
    <s v="Russell"/>
    <n v="2014"/>
    <n v="7"/>
    <n v="3.1"/>
    <n v="82"/>
    <n v="13"/>
    <x v="0"/>
    <s v="Abby"/>
    <s v="AKCOVA"/>
    <s v="Y"/>
  </r>
  <r>
    <n v="196"/>
    <n v="1021"/>
    <n v="1265"/>
    <s v="Russell"/>
    <s v="Abby"/>
    <n v="2014"/>
    <n v="7"/>
    <n v="3.2"/>
    <n v="69"/>
    <n v="-13"/>
    <x v="1"/>
    <s v="Russell"/>
    <s v="TEXAROK"/>
    <s v="Y"/>
  </r>
  <r>
    <n v="197"/>
    <n v="867"/>
    <n v="207"/>
    <s v="Watty"/>
    <s v="David"/>
    <n v="2014"/>
    <n v="7"/>
    <n v="4.0999999999999996"/>
    <n v="110"/>
    <n v="-5"/>
    <x v="1"/>
    <s v="Watty"/>
    <s v="AKCOVA"/>
    <s v="Y"/>
  </r>
  <r>
    <n v="198"/>
    <n v="664"/>
    <n v="146"/>
    <s v="David"/>
    <s v="Watty"/>
    <n v="2014"/>
    <n v="7"/>
    <n v="4.2"/>
    <n v="115"/>
    <n v="5"/>
    <x v="0"/>
    <s v="David"/>
    <s v="TEXAROK"/>
    <s v="Y"/>
  </r>
  <r>
    <n v="199"/>
    <n v="1393"/>
    <n v="1452"/>
    <s v="BR"/>
    <s v="Matt"/>
    <n v="2014"/>
    <n v="7"/>
    <n v="5.0999999999999996"/>
    <n v="57"/>
    <n v="-38"/>
    <x v="1"/>
    <s v="BR"/>
    <s v="AKCOVA"/>
    <s v="Y"/>
  </r>
  <r>
    <n v="200"/>
    <n v="141"/>
    <n v="518"/>
    <s v="Matt"/>
    <s v="BR"/>
    <n v="2014"/>
    <n v="7"/>
    <n v="5.2"/>
    <n v="95"/>
    <n v="38"/>
    <x v="0"/>
    <s v="Matt"/>
    <s v="TEXAROK"/>
    <s v="Y"/>
  </r>
  <r>
    <n v="201"/>
    <n v="1514"/>
    <n v="1333"/>
    <s v="Michael"/>
    <s v="Abby"/>
    <n v="2014"/>
    <n v="8"/>
    <n v="1.1000000000000001"/>
    <n v="65"/>
    <n v="-64"/>
    <x v="1"/>
    <s v="Michael"/>
    <s v="AKCOVA"/>
    <s v="N"/>
  </r>
  <r>
    <n v="202"/>
    <n v="28"/>
    <n v="53"/>
    <s v="Abby"/>
    <s v="Michael"/>
    <n v="2014"/>
    <n v="8"/>
    <n v="1.2"/>
    <n v="129"/>
    <n v="64"/>
    <x v="0"/>
    <s v="Abby"/>
    <s v="AKCOVA"/>
    <s v="N"/>
  </r>
  <r>
    <n v="203"/>
    <n v="1299"/>
    <n v="819"/>
    <s v="Matt"/>
    <s v="Mark"/>
    <n v="2014"/>
    <n v="8"/>
    <n v="2.1"/>
    <n v="84"/>
    <n v="-29"/>
    <x v="1"/>
    <s v="Matt"/>
    <s v="TEXAROK"/>
    <s v="Y"/>
  </r>
  <r>
    <n v="204"/>
    <n v="236"/>
    <n v="163"/>
    <s v="Mark"/>
    <s v="Matt"/>
    <n v="2014"/>
    <n v="8"/>
    <n v="2.2000000000000002"/>
    <n v="113"/>
    <n v="29"/>
    <x v="0"/>
    <s v="Mark"/>
    <s v="AKCOVA"/>
    <s v="Y"/>
  </r>
  <r>
    <n v="205"/>
    <n v="503"/>
    <n v="311"/>
    <s v="David"/>
    <s v="Brian"/>
    <n v="2014"/>
    <n v="8"/>
    <n v="3.1"/>
    <n v="104"/>
    <n v="13"/>
    <x v="0"/>
    <s v="David"/>
    <s v="TEXAROK"/>
    <s v="N"/>
  </r>
  <r>
    <n v="206"/>
    <n v="1021"/>
    <n v="627"/>
    <s v="Brian"/>
    <s v="David"/>
    <n v="2014"/>
    <n v="8"/>
    <n v="3.2"/>
    <n v="91"/>
    <n v="-13"/>
    <x v="1"/>
    <s v="Brian"/>
    <s v="TEXAROK"/>
    <s v="N"/>
  </r>
  <r>
    <n v="207"/>
    <n v="1528"/>
    <n v="796"/>
    <s v="Emily"/>
    <s v="Watty"/>
    <n v="2014"/>
    <n v="8"/>
    <n v="4.0999999999999996"/>
    <n v="85"/>
    <n v="-72"/>
    <x v="1"/>
    <s v="Emily"/>
    <s v="TEXAROK"/>
    <s v="Y"/>
  </r>
  <r>
    <n v="208"/>
    <n v="16"/>
    <n v="4"/>
    <s v="Watty"/>
    <s v="Emily"/>
    <n v="2014"/>
    <n v="8"/>
    <n v="4.2"/>
    <n v="157"/>
    <n v="72"/>
    <x v="0"/>
    <s v="Watty"/>
    <s v="AKCOVA"/>
    <s v="Y"/>
  </r>
  <r>
    <n v="209"/>
    <n v="124"/>
    <n v="439"/>
    <s v="Russell"/>
    <s v="BR"/>
    <n v="2014"/>
    <n v="8"/>
    <n v="5.0999999999999996"/>
    <n v="98"/>
    <n v="40"/>
    <x v="0"/>
    <s v="Russell"/>
    <s v="TEXAROK"/>
    <s v="Y"/>
  </r>
  <r>
    <n v="210"/>
    <n v="1412"/>
    <n v="1441"/>
    <s v="BR"/>
    <s v="Russell"/>
    <n v="2014"/>
    <n v="8"/>
    <n v="5.2"/>
    <n v="58"/>
    <n v="-40"/>
    <x v="1"/>
    <s v="BR"/>
    <s v="AKCOVA"/>
    <s v="Y"/>
  </r>
  <r>
    <n v="211"/>
    <n v="398"/>
    <n v="439"/>
    <s v="David"/>
    <s v="Michael"/>
    <n v="2014"/>
    <n v="9"/>
    <n v="1.1000000000000001"/>
    <n v="98"/>
    <n v="19"/>
    <x v="0"/>
    <s v="David"/>
    <s v="TEXAROK"/>
    <s v="Y"/>
  </r>
  <r>
    <n v="212"/>
    <n v="1133"/>
    <n v="984"/>
    <s v="Michael"/>
    <s v="David"/>
    <n v="2014"/>
    <n v="9"/>
    <n v="1.2"/>
    <n v="79"/>
    <n v="-19"/>
    <x v="1"/>
    <s v="Michael"/>
    <s v="AKCOVA"/>
    <s v="Y"/>
  </r>
  <r>
    <n v="213"/>
    <n v="398"/>
    <n v="1117"/>
    <s v="Emily"/>
    <s v="Russell"/>
    <n v="2014"/>
    <n v="9"/>
    <n v="2.1"/>
    <n v="75"/>
    <n v="19"/>
    <x v="0"/>
    <s v="Emily"/>
    <s v="TEXAROK"/>
    <s v="N"/>
  </r>
  <r>
    <n v="214"/>
    <n v="1133"/>
    <n v="1465"/>
    <s v="Russell"/>
    <s v="Emily"/>
    <n v="2014"/>
    <n v="9"/>
    <n v="2.2000000000000002"/>
    <n v="56"/>
    <n v="-19"/>
    <x v="1"/>
    <s v="Russell"/>
    <s v="TEXAROK"/>
    <s v="N"/>
  </r>
  <r>
    <n v="215"/>
    <n v="95"/>
    <n v="391"/>
    <s v="Abby"/>
    <s v="BR"/>
    <n v="2014"/>
    <n v="9"/>
    <n v="3.1"/>
    <n v="100"/>
    <n v="44"/>
    <x v="0"/>
    <s v="Abby"/>
    <s v="AKCOVA"/>
    <s v="N"/>
  </r>
  <r>
    <n v="216"/>
    <n v="1443"/>
    <n v="1465"/>
    <s v="BR"/>
    <s v="Abby"/>
    <n v="2014"/>
    <n v="9"/>
    <n v="3.2"/>
    <n v="56"/>
    <n v="-44"/>
    <x v="1"/>
    <s v="BR"/>
    <s v="AKCOVA"/>
    <s v="N"/>
  </r>
  <r>
    <n v="217"/>
    <n v="503"/>
    <n v="120"/>
    <s v="Watty"/>
    <s v="Matt"/>
    <n v="2014"/>
    <n v="9"/>
    <n v="4.0999999999999996"/>
    <n v="119"/>
    <n v="13"/>
    <x v="0"/>
    <s v="Watty"/>
    <s v="AKCOVA"/>
    <s v="Y"/>
  </r>
  <r>
    <n v="218"/>
    <n v="1021"/>
    <n v="271"/>
    <s v="Matt"/>
    <s v="Watty"/>
    <n v="2014"/>
    <n v="9"/>
    <n v="4.2"/>
    <n v="106"/>
    <n v="-13"/>
    <x v="1"/>
    <s v="Matt"/>
    <s v="TEXAROK"/>
    <s v="Y"/>
  </r>
  <r>
    <n v="219"/>
    <n v="983"/>
    <n v="518"/>
    <s v="Brian"/>
    <s v="Mark"/>
    <n v="2014"/>
    <n v="9"/>
    <n v="5.0999999999999996"/>
    <n v="95"/>
    <n v="-11"/>
    <x v="1"/>
    <s v="Brian"/>
    <s v="TEXAROK"/>
    <s v="Y"/>
  </r>
  <r>
    <n v="220"/>
    <n v="544"/>
    <n v="271"/>
    <s v="Mark"/>
    <s v="Brian"/>
    <n v="2014"/>
    <n v="9"/>
    <n v="5.2"/>
    <n v="106"/>
    <n v="11"/>
    <x v="0"/>
    <s v="Mark"/>
    <s v="AKCOVA"/>
    <s v="Y"/>
  </r>
  <r>
    <n v="221"/>
    <n v="63"/>
    <n v="23"/>
    <s v="Matt"/>
    <s v="Michael"/>
    <n v="2014"/>
    <n v="10"/>
    <n v="1.1000000000000001"/>
    <n v="139"/>
    <n v="53"/>
    <x v="0"/>
    <s v="Matt"/>
    <s v="TEXAROK"/>
    <s v="Y"/>
  </r>
  <r>
    <n v="222"/>
    <n v="1478"/>
    <n v="768"/>
    <s v="Michael"/>
    <s v="Matt"/>
    <n v="2014"/>
    <n v="10"/>
    <n v="1.2"/>
    <n v="86"/>
    <n v="-53"/>
    <x v="1"/>
    <s v="Michael"/>
    <s v="AKCOVA"/>
    <s v="Y"/>
  </r>
  <r>
    <n v="223"/>
    <n v="324"/>
    <n v="768"/>
    <s v="BR"/>
    <s v="Watty"/>
    <n v="2014"/>
    <n v="10"/>
    <n v="2.1"/>
    <n v="86"/>
    <n v="23"/>
    <x v="0"/>
    <s v="BR"/>
    <s v="AKCOVA"/>
    <s v="N"/>
  </r>
  <r>
    <n v="224"/>
    <n v="1208"/>
    <n v="1362"/>
    <s v="Watty"/>
    <s v="BR"/>
    <n v="2014"/>
    <n v="10"/>
    <n v="2.2000000000000002"/>
    <n v="63"/>
    <n v="-23"/>
    <x v="1"/>
    <s v="Watty"/>
    <s v="AKCOVA"/>
    <s v="N"/>
  </r>
  <r>
    <n v="225"/>
    <n v="349"/>
    <n v="768"/>
    <s v="Abby"/>
    <s v="Brian"/>
    <n v="2014"/>
    <n v="10"/>
    <n v="3.1"/>
    <n v="86"/>
    <n v="21"/>
    <x v="0"/>
    <s v="Abby"/>
    <s v="AKCOVA"/>
    <s v="Y"/>
  </r>
  <r>
    <n v="226"/>
    <n v="1173"/>
    <n v="1333"/>
    <s v="Brian"/>
    <s v="Abby"/>
    <n v="2014"/>
    <n v="10"/>
    <n v="3.2"/>
    <n v="65"/>
    <n v="-21"/>
    <x v="1"/>
    <s v="Brian"/>
    <s v="TEXAROK"/>
    <s v="Y"/>
  </r>
  <r>
    <n v="227"/>
    <n v="1043"/>
    <n v="98"/>
    <s v="Mark"/>
    <s v="Russell"/>
    <n v="2014"/>
    <n v="10"/>
    <n v="4.0999999999999996"/>
    <n v="121"/>
    <n v="-14"/>
    <x v="1"/>
    <s v="Mark"/>
    <s v="AKCOVA"/>
    <s v="Y"/>
  </r>
  <r>
    <n v="228"/>
    <n v="483"/>
    <n v="31"/>
    <s v="Russell"/>
    <s v="Mark"/>
    <n v="2014"/>
    <n v="10"/>
    <n v="4.2"/>
    <n v="135"/>
    <n v="14"/>
    <x v="0"/>
    <s v="Russell"/>
    <s v="TEXAROK"/>
    <s v="Y"/>
  </r>
  <r>
    <n v="229"/>
    <n v="1533"/>
    <n v="1441"/>
    <s v="Emily"/>
    <s v="David"/>
    <n v="2014"/>
    <n v="10"/>
    <n v="5.0999999999999996"/>
    <n v="58"/>
    <n v="-76"/>
    <x v="1"/>
    <s v="Emily"/>
    <s v="TEXAROK"/>
    <s v="N"/>
  </r>
  <r>
    <n v="230"/>
    <n v="10"/>
    <n v="35"/>
    <s v="David"/>
    <s v="Emily"/>
    <n v="2014"/>
    <n v="10"/>
    <n v="5.2"/>
    <n v="134"/>
    <n v="76"/>
    <x v="0"/>
    <s v="David"/>
    <s v="TEXAROK"/>
    <s v="N"/>
  </r>
  <r>
    <n v="231"/>
    <n v="622"/>
    <n v="1012"/>
    <s v="BR"/>
    <s v="Michael"/>
    <n v="2014"/>
    <n v="11"/>
    <n v="1.1000000000000001"/>
    <n v="78"/>
    <n v="7"/>
    <x v="0"/>
    <s v="BR"/>
    <s v="AKCOVA"/>
    <s v="N"/>
  </r>
  <r>
    <n v="232"/>
    <n v="903"/>
    <n v="1224"/>
    <s v="Michael"/>
    <s v="BR"/>
    <n v="2014"/>
    <n v="11"/>
    <n v="1.2"/>
    <n v="71"/>
    <n v="-7"/>
    <x v="1"/>
    <s v="Michael"/>
    <s v="AKCOVA"/>
    <s v="N"/>
  </r>
  <r>
    <n v="233"/>
    <n v="1148"/>
    <n v="1346"/>
    <s v="Mark"/>
    <s v="Abby"/>
    <n v="2014"/>
    <n v="11"/>
    <n v="2.1"/>
    <n v="64"/>
    <n v="-20"/>
    <x v="1"/>
    <s v="Mark"/>
    <s v="AKCOVA"/>
    <s v="N"/>
  </r>
  <r>
    <n v="234"/>
    <n v="373"/>
    <n v="819"/>
    <s v="Abby"/>
    <s v="Mark"/>
    <n v="2014"/>
    <n v="11"/>
    <n v="2.2000000000000002"/>
    <n v="84"/>
    <n v="20"/>
    <x v="0"/>
    <s v="Abby"/>
    <s v="AKCOVA"/>
    <s v="N"/>
  </r>
  <r>
    <n v="235"/>
    <n v="1063"/>
    <n v="1012"/>
    <s v="Watty"/>
    <s v="Brian"/>
    <n v="2014"/>
    <n v="11"/>
    <n v="3.1"/>
    <n v="78"/>
    <n v="-15"/>
    <x v="1"/>
    <s v="Watty"/>
    <s v="AKCOVA"/>
    <s v="Y"/>
  </r>
  <r>
    <n v="236"/>
    <n v="467"/>
    <n v="572"/>
    <s v="Brian"/>
    <s v="Watty"/>
    <n v="2014"/>
    <n v="11"/>
    <n v="3.2"/>
    <n v="93"/>
    <n v="15"/>
    <x v="0"/>
    <s v="Brian"/>
    <s v="TEXAROK"/>
    <s v="Y"/>
  </r>
  <r>
    <n v="237"/>
    <n v="1095"/>
    <n v="710"/>
    <s v="David"/>
    <s v="Russell"/>
    <n v="2014"/>
    <n v="11"/>
    <n v="4.0999999999999996"/>
    <n v="88"/>
    <n v="-17"/>
    <x v="1"/>
    <s v="David"/>
    <s v="TEXAROK"/>
    <s v="N"/>
  </r>
  <r>
    <n v="238"/>
    <n v="433"/>
    <n v="288"/>
    <s v="Russell"/>
    <s v="David"/>
    <n v="2014"/>
    <n v="11"/>
    <n v="4.2"/>
    <n v="105"/>
    <n v="17"/>
    <x v="0"/>
    <s v="Russell"/>
    <s v="TEXAROK"/>
    <s v="N"/>
  </r>
  <r>
    <n v="239"/>
    <n v="703"/>
    <n v="710"/>
    <s v="Emily"/>
    <s v="Matt"/>
    <n v="2014"/>
    <n v="11"/>
    <n v="5.0999999999999996"/>
    <n v="88"/>
    <n v="3"/>
    <x v="0"/>
    <s v="Emily"/>
    <s v="TEXAROK"/>
    <s v="N"/>
  </r>
  <r>
    <n v="240"/>
    <n v="823"/>
    <n v="796"/>
    <s v="Matt"/>
    <s v="Emily"/>
    <n v="2014"/>
    <n v="11"/>
    <n v="5.2"/>
    <n v="85"/>
    <n v="-3"/>
    <x v="1"/>
    <s v="Matt"/>
    <s v="TEXAROK"/>
    <s v="N"/>
  </r>
  <r>
    <n v="241"/>
    <n v="124"/>
    <n v="180"/>
    <s v="Michael"/>
    <s v="Emily"/>
    <n v="2014"/>
    <n v="12"/>
    <n v="1.1000000000000001"/>
    <n v="112"/>
    <n v="40"/>
    <x v="0"/>
    <s v="Michael"/>
    <s v="AKCOVA"/>
    <s v="Y"/>
  </r>
  <r>
    <n v="242"/>
    <n v="1412"/>
    <n v="1198"/>
    <s v="Emily"/>
    <s v="Michael"/>
    <n v="2014"/>
    <n v="12"/>
    <n v="1.2"/>
    <n v="72"/>
    <n v="-40"/>
    <x v="1"/>
    <s v="Emily"/>
    <s v="TEXAROK"/>
    <s v="Y"/>
  </r>
  <r>
    <n v="243"/>
    <n v="679"/>
    <n v="414"/>
    <s v="Brian"/>
    <s v="BR"/>
    <n v="2014"/>
    <n v="12"/>
    <n v="2.1"/>
    <n v="99"/>
    <n v="4"/>
    <x v="0"/>
    <s v="Brian"/>
    <s v="TEXAROK"/>
    <s v="Y"/>
  </r>
  <r>
    <n v="244"/>
    <n v="843"/>
    <n v="518"/>
    <s v="BR"/>
    <s v="Brian"/>
    <n v="2014"/>
    <n v="12"/>
    <n v="2.2000000000000002"/>
    <n v="95"/>
    <n v="-4"/>
    <x v="1"/>
    <s v="BR"/>
    <s v="AKCOVA"/>
    <s v="Y"/>
  </r>
  <r>
    <n v="245"/>
    <n v="903"/>
    <n v="1135"/>
    <s v="Watty"/>
    <s v="Mark"/>
    <n v="2014"/>
    <n v="12"/>
    <n v="3.1"/>
    <n v="74"/>
    <n v="-7"/>
    <x v="1"/>
    <s v="Watty"/>
    <s v="AKCOVA"/>
    <s v="N"/>
  </r>
  <r>
    <n v="246"/>
    <n v="622"/>
    <n v="924"/>
    <s v="Mark"/>
    <s v="Watty"/>
    <n v="2014"/>
    <n v="12"/>
    <n v="3.2"/>
    <n v="81"/>
    <n v="7"/>
    <x v="0"/>
    <s v="Mark"/>
    <s v="AKCOVA"/>
    <s v="N"/>
  </r>
  <r>
    <n v="247"/>
    <n v="373"/>
    <n v="222"/>
    <s v="Abby"/>
    <s v="David"/>
    <n v="2014"/>
    <n v="12"/>
    <n v="4.0999999999999996"/>
    <n v="109"/>
    <n v="20"/>
    <x v="0"/>
    <s v="Abby"/>
    <s v="AKCOVA"/>
    <s v="Y"/>
  </r>
  <r>
    <n v="248"/>
    <n v="1148"/>
    <n v="673"/>
    <s v="David"/>
    <s v="Abby"/>
    <n v="2014"/>
    <n v="12"/>
    <n v="4.2"/>
    <n v="89"/>
    <n v="-20"/>
    <x v="1"/>
    <s v="David"/>
    <s v="TEXAROK"/>
    <s v="Y"/>
  </r>
  <r>
    <n v="249"/>
    <n v="1133"/>
    <n v="414"/>
    <s v="Russell"/>
    <s v="Matt"/>
    <n v="2014"/>
    <n v="12"/>
    <n v="5.0999999999999996"/>
    <n v="99"/>
    <n v="-19"/>
    <x v="1"/>
    <s v="Russell"/>
    <s v="TEXAROK"/>
    <s v="N"/>
  </r>
  <r>
    <n v="250"/>
    <n v="398"/>
    <n v="126"/>
    <s v="Matt"/>
    <s v="Russell"/>
    <n v="2014"/>
    <n v="12"/>
    <n v="5.2"/>
    <n v="118"/>
    <n v="19"/>
    <x v="0"/>
    <s v="Matt"/>
    <s v="TEXAROK"/>
    <s v="N"/>
  </r>
  <r>
    <n v="251"/>
    <n v="766"/>
    <n v="222"/>
    <s v="Russell"/>
    <s v="Michael"/>
    <n v="2014"/>
    <n v="13"/>
    <n v="1.1000000000000001"/>
    <n v="109"/>
    <n v="0"/>
    <x v="2"/>
    <s v="Russell"/>
    <s v="TEXAROK"/>
    <s v="Y"/>
  </r>
  <r>
    <n v="252"/>
    <n v="766"/>
    <n v="222"/>
    <s v="Michael"/>
    <s v="Russell"/>
    <n v="2014"/>
    <n v="13"/>
    <n v="1.2"/>
    <n v="109"/>
    <n v="0"/>
    <x v="2"/>
    <s v="Michael"/>
    <s v="AKCOVA"/>
    <s v="Y"/>
  </r>
  <r>
    <n v="253"/>
    <n v="1095"/>
    <n v="439"/>
    <s v="Matt"/>
    <s v="David"/>
    <n v="2014"/>
    <n v="13"/>
    <n v="2.1"/>
    <n v="98"/>
    <n v="-17"/>
    <x v="1"/>
    <s v="Matt"/>
    <s v="TEXAROK"/>
    <s v="N"/>
  </r>
  <r>
    <n v="254"/>
    <n v="433"/>
    <n v="146"/>
    <s v="David"/>
    <s v="Matt"/>
    <n v="2014"/>
    <n v="13"/>
    <n v="2.2000000000000002"/>
    <n v="115"/>
    <n v="17"/>
    <x v="0"/>
    <s v="David"/>
    <s v="TEXAROK"/>
    <s v="N"/>
  </r>
  <r>
    <n v="255"/>
    <n v="164"/>
    <n v="38"/>
    <s v="BR"/>
    <s v="Mark"/>
    <n v="2014"/>
    <n v="13"/>
    <n v="3.1"/>
    <n v="133"/>
    <n v="36"/>
    <x v="0"/>
    <s v="BR"/>
    <s v="AKCOVA"/>
    <s v="N"/>
  </r>
  <r>
    <n v="256"/>
    <n v="1373"/>
    <n v="461"/>
    <s v="Mark"/>
    <s v="BR"/>
    <n v="2014"/>
    <n v="13"/>
    <n v="3.2"/>
    <n v="97"/>
    <n v="-36"/>
    <x v="1"/>
    <s v="Mark"/>
    <s v="AKCOVA"/>
    <s v="N"/>
  </r>
  <r>
    <n v="257"/>
    <n v="544"/>
    <n v="572"/>
    <s v="Brian"/>
    <s v="Emily"/>
    <n v="2014"/>
    <n v="13"/>
    <n v="4.0999999999999996"/>
    <n v="93"/>
    <n v="11"/>
    <x v="0"/>
    <s v="Brian"/>
    <s v="TEXAROK"/>
    <s v="N"/>
  </r>
  <r>
    <n v="258"/>
    <n v="983"/>
    <n v="883"/>
    <s v="Emily"/>
    <s v="Brian"/>
    <n v="2014"/>
    <n v="13"/>
    <n v="4.2"/>
    <n v="82"/>
    <n v="-11"/>
    <x v="1"/>
    <s v="Emily"/>
    <s v="TEXAROK"/>
    <s v="N"/>
  </r>
  <r>
    <n v="259"/>
    <n v="433"/>
    <n v="1012"/>
    <s v="Abby"/>
    <s v="Watty"/>
    <n v="2014"/>
    <n v="13"/>
    <n v="5.0999999999999996"/>
    <n v="78"/>
    <n v="17"/>
    <x v="0"/>
    <s v="Abby"/>
    <s v="AKCOVA"/>
    <s v="N"/>
  </r>
  <r>
    <n v="260"/>
    <n v="1095"/>
    <n v="1398"/>
    <s v="Watty"/>
    <s v="Abby"/>
    <n v="2014"/>
    <n v="13"/>
    <n v="5.2"/>
    <n v="61"/>
    <n v="-17"/>
    <x v="1"/>
    <s v="Watty"/>
    <s v="AKCOVA"/>
    <s v="N"/>
  </r>
  <r>
    <n v="261"/>
    <n v="966"/>
    <n v="375"/>
    <s v="Russell"/>
    <s v="Brent"/>
    <n v="2015"/>
    <n v="1"/>
    <n v="1.1000000000000001"/>
    <n v="101"/>
    <n v="-10"/>
    <x v="1"/>
    <s v="Russell"/>
    <s v="TEXAROK"/>
    <s v="N"/>
  </r>
  <r>
    <n v="262"/>
    <n v="563"/>
    <n v="192"/>
    <s v="Brent"/>
    <s v="Russell"/>
    <n v="2015"/>
    <n v="1"/>
    <n v="1.2"/>
    <n v="111"/>
    <n v="10"/>
    <x v="0"/>
    <s v="Brent"/>
    <s v="TEXAROK"/>
    <s v="N"/>
  </r>
  <r>
    <n v="263"/>
    <n v="247"/>
    <n v="311"/>
    <s v="Michael"/>
    <s v="Matt"/>
    <n v="2015"/>
    <n v="1"/>
    <n v="2.1"/>
    <n v="104"/>
    <n v="28"/>
    <x v="0"/>
    <s v="Michael"/>
    <s v="AKCOVA"/>
    <s v="Y"/>
  </r>
  <r>
    <n v="264"/>
    <n v="1286"/>
    <n v="1076"/>
    <s v="Matt"/>
    <s v="Michael"/>
    <n v="2015"/>
    <n v="1"/>
    <n v="2.2000000000000002"/>
    <n v="76"/>
    <n v="-28"/>
    <x v="1"/>
    <s v="Matt"/>
    <s v="TEXAROK"/>
    <s v="Y"/>
  </r>
  <r>
    <n v="265"/>
    <n v="1268"/>
    <n v="1421"/>
    <s v="Emily"/>
    <s v="David"/>
    <n v="2015"/>
    <n v="1"/>
    <n v="3.1"/>
    <n v="59"/>
    <n v="-27"/>
    <x v="1"/>
    <s v="Emily"/>
    <s v="TEXAROK"/>
    <s v="N"/>
  </r>
  <r>
    <n v="266"/>
    <n v="260"/>
    <n v="768"/>
    <s v="David"/>
    <s v="Emily"/>
    <n v="2015"/>
    <n v="1"/>
    <n v="3.2"/>
    <n v="86"/>
    <n v="27"/>
    <x v="0"/>
    <s v="David"/>
    <s v="TEXAROK"/>
    <s v="N"/>
  </r>
  <r>
    <n v="267"/>
    <n v="1021"/>
    <n v="1406"/>
    <s v="Abby"/>
    <s v="Mark"/>
    <n v="2015"/>
    <n v="1"/>
    <n v="4.0999999999999996"/>
    <n v="60"/>
    <n v="-13"/>
    <x v="1"/>
    <s v="Abby"/>
    <s v="AKCOVA"/>
    <s v="N"/>
  </r>
  <r>
    <n v="268"/>
    <n v="503"/>
    <n v="1162"/>
    <s v="Mark"/>
    <s v="Abby"/>
    <n v="2015"/>
    <n v="1"/>
    <n v="4.2"/>
    <n v="73"/>
    <n v="13"/>
    <x v="0"/>
    <s v="Mark"/>
    <s v="AKCOVA"/>
    <s v="N"/>
  </r>
  <r>
    <n v="269"/>
    <n v="451"/>
    <n v="1117"/>
    <s v="BR"/>
    <s v="Watty"/>
    <n v="2015"/>
    <n v="1"/>
    <n v="5.0999999999999996"/>
    <n v="75"/>
    <n v="16"/>
    <x v="0"/>
    <s v="BR"/>
    <s v="AKCOVA"/>
    <s v="N"/>
  </r>
  <r>
    <n v="270"/>
    <n v="1079"/>
    <n v="1421"/>
    <s v="Watty"/>
    <s v="BR"/>
    <n v="2015"/>
    <n v="1"/>
    <n v="5.2"/>
    <n v="59"/>
    <n v="-16"/>
    <x v="1"/>
    <s v="Watty"/>
    <s v="AKCOVA"/>
    <s v="N"/>
  </r>
  <r>
    <n v="271"/>
    <n v="103"/>
    <n v="414"/>
    <s v="Charles"/>
    <s v="Brian"/>
    <n v="2015"/>
    <n v="1"/>
    <n v="6.1"/>
    <n v="99"/>
    <n v="43"/>
    <x v="0"/>
    <s v="Charles"/>
    <s v="AKCOVA"/>
    <s v="Y"/>
  </r>
  <r>
    <n v="272"/>
    <n v="1434"/>
    <n v="1465"/>
    <s v="Brian"/>
    <s v="Charles"/>
    <n v="2015"/>
    <n v="1"/>
    <n v="6.2"/>
    <n v="56"/>
    <n v="-43"/>
    <x v="1"/>
    <s v="Brian"/>
    <s v="TEXAROK"/>
    <s v="Y"/>
  </r>
  <r>
    <n v="273"/>
    <n v="622"/>
    <n v="1076"/>
    <s v="Russell"/>
    <s v="David"/>
    <n v="2015"/>
    <n v="2"/>
    <n v="1.1000000000000001"/>
    <n v="76"/>
    <n v="7"/>
    <x v="0"/>
    <s v="Russell"/>
    <s v="TEXAROK"/>
    <s v="N"/>
  </r>
  <r>
    <n v="274"/>
    <n v="903"/>
    <n v="1265"/>
    <s v="David"/>
    <s v="Russell"/>
    <n v="2015"/>
    <n v="2"/>
    <n v="1.2"/>
    <n v="69"/>
    <n v="-7"/>
    <x v="1"/>
    <s v="David"/>
    <s v="TEXAROK"/>
    <s v="N"/>
  </r>
  <r>
    <n v="275"/>
    <n v="467"/>
    <n v="239"/>
    <s v="Emily"/>
    <s v="Michael"/>
    <n v="2015"/>
    <n v="2"/>
    <n v="2.1"/>
    <n v="108"/>
    <n v="15"/>
    <x v="0"/>
    <s v="Emily"/>
    <s v="TEXAROK"/>
    <s v="Y"/>
  </r>
  <r>
    <n v="276"/>
    <n v="1063"/>
    <n v="572"/>
    <s v="Michael"/>
    <s v="Emily"/>
    <n v="2015"/>
    <n v="2"/>
    <n v="2.2000000000000002"/>
    <n v="93"/>
    <n v="-15"/>
    <x v="1"/>
    <s v="Michael"/>
    <s v="AKCOVA"/>
    <s v="Y"/>
  </r>
  <r>
    <n v="277"/>
    <n v="924"/>
    <n v="956"/>
    <s v="Matt"/>
    <s v="Brent"/>
    <n v="2015"/>
    <n v="2"/>
    <n v="3.1"/>
    <n v="80"/>
    <n v="-8"/>
    <x v="1"/>
    <s v="Matt"/>
    <s v="TEXAROK"/>
    <s v="N"/>
  </r>
  <r>
    <n v="278"/>
    <n v="596"/>
    <n v="710"/>
    <s v="Brent"/>
    <s v="Matt"/>
    <n v="2015"/>
    <n v="2"/>
    <n v="3.2"/>
    <n v="88"/>
    <n v="8"/>
    <x v="0"/>
    <s v="Brent"/>
    <s v="TEXAROK"/>
    <s v="N"/>
  </r>
  <r>
    <n v="279"/>
    <n v="664"/>
    <n v="883"/>
    <s v="BR"/>
    <s v="Abby"/>
    <n v="2015"/>
    <n v="2"/>
    <n v="4.0999999999999996"/>
    <n v="82"/>
    <n v="5"/>
    <x v="0"/>
    <s v="BR"/>
    <s v="AKCOVA"/>
    <s v="N"/>
  </r>
  <r>
    <n v="280"/>
    <n v="867"/>
    <n v="1044"/>
    <s v="Abby"/>
    <s v="BR"/>
    <n v="2015"/>
    <n v="2"/>
    <n v="4.2"/>
    <n v="77"/>
    <n v="-5"/>
    <x v="1"/>
    <s v="Abby"/>
    <s v="AKCOVA"/>
    <s v="N"/>
  </r>
  <r>
    <n v="281"/>
    <n v="349"/>
    <n v="956"/>
    <s v="Mark"/>
    <s v="Charles"/>
    <n v="2015"/>
    <n v="2"/>
    <n v="5.0999999999999996"/>
    <n v="80"/>
    <n v="21"/>
    <x v="0"/>
    <s v="Mark"/>
    <s v="AKCOVA"/>
    <s v="N"/>
  </r>
  <r>
    <n v="282"/>
    <n v="1173"/>
    <n v="1421"/>
    <s v="Charles"/>
    <s v="Mark"/>
    <n v="2015"/>
    <n v="2"/>
    <n v="5.2"/>
    <n v="59"/>
    <n v="-21"/>
    <x v="1"/>
    <s v="Charles"/>
    <s v="AKCOVA"/>
    <s v="N"/>
  </r>
  <r>
    <n v="283"/>
    <n v="1299"/>
    <n v="1516"/>
    <s v="Watty"/>
    <s v="Brian"/>
    <n v="2015"/>
    <n v="2"/>
    <n v="6.1"/>
    <n v="48"/>
    <n v="-29"/>
    <x v="1"/>
    <s v="Watty"/>
    <s v="AKCOVA"/>
    <s v="Y"/>
  </r>
  <r>
    <n v="284"/>
    <n v="236"/>
    <n v="1044"/>
    <s v="Brian"/>
    <s v="Watty"/>
    <n v="2015"/>
    <n v="2"/>
    <n v="6.2"/>
    <n v="77"/>
    <n v="29"/>
    <x v="0"/>
    <s v="Brian"/>
    <s v="TEXAROK"/>
    <s v="Y"/>
  </r>
  <r>
    <n v="285"/>
    <n v="1522"/>
    <n v="673"/>
    <s v="Russell"/>
    <s v="Emily"/>
    <n v="2015"/>
    <n v="3"/>
    <n v="1.1000000000000001"/>
    <n v="89"/>
    <n v="-67"/>
    <x v="1"/>
    <s v="Russell"/>
    <s v="TEXAROK"/>
    <s v="N"/>
  </r>
  <r>
    <n v="286"/>
    <n v="22"/>
    <n v="5"/>
    <s v="Emily"/>
    <s v="Russell"/>
    <n v="2015"/>
    <n v="3"/>
    <n v="1.2"/>
    <n v="156"/>
    <n v="67"/>
    <x v="0"/>
    <s v="Emily"/>
    <s v="TEXAROK"/>
    <s v="N"/>
  </r>
  <r>
    <n v="287"/>
    <n v="1095"/>
    <n v="599"/>
    <s v="Michael"/>
    <s v="Brent"/>
    <n v="2015"/>
    <n v="3"/>
    <n v="2.1"/>
    <n v="92"/>
    <n v="-17"/>
    <x v="1"/>
    <s v="Michael"/>
    <s v="AKCOVA"/>
    <s v="Y"/>
  </r>
  <r>
    <n v="288"/>
    <n v="433"/>
    <n v="222"/>
    <s v="Brent"/>
    <s v="Michael"/>
    <n v="2015"/>
    <n v="3"/>
    <n v="2.2000000000000002"/>
    <n v="109"/>
    <n v="17"/>
    <x v="0"/>
    <s v="Brent"/>
    <s v="TEXAROK"/>
    <s v="Y"/>
  </r>
  <r>
    <n v="289"/>
    <n v="451"/>
    <n v="984"/>
    <s v="David"/>
    <s v="Matt"/>
    <n v="2015"/>
    <n v="3"/>
    <n v="3.1"/>
    <n v="79"/>
    <n v="16"/>
    <x v="0"/>
    <s v="David"/>
    <s v="TEXAROK"/>
    <s v="N"/>
  </r>
  <r>
    <n v="290"/>
    <n v="1079"/>
    <n v="1362"/>
    <s v="Matt"/>
    <s v="David"/>
    <n v="2015"/>
    <n v="3"/>
    <n v="3.2"/>
    <n v="63"/>
    <n v="-16"/>
    <x v="1"/>
    <s v="Matt"/>
    <s v="TEXAROK"/>
    <s v="N"/>
  </r>
  <r>
    <n v="291"/>
    <n v="1434"/>
    <n v="1265"/>
    <s v="Abby"/>
    <s v="Charles"/>
    <n v="2015"/>
    <n v="3"/>
    <n v="4.0999999999999996"/>
    <n v="69"/>
    <n v="-43"/>
    <x v="1"/>
    <s v="Abby"/>
    <s v="AKCOVA"/>
    <s v="N"/>
  </r>
  <r>
    <n v="292"/>
    <n v="103"/>
    <n v="180"/>
    <s v="Charles"/>
    <s v="Abby"/>
    <n v="2015"/>
    <n v="3"/>
    <n v="4.2"/>
    <n v="112"/>
    <n v="43"/>
    <x v="0"/>
    <s v="Charles"/>
    <s v="AKCOVA"/>
    <s v="N"/>
  </r>
  <r>
    <n v="293"/>
    <n v="15"/>
    <n v="19"/>
    <s v="Brian"/>
    <s v="BR"/>
    <n v="2015"/>
    <n v="3"/>
    <n v="5.0999999999999996"/>
    <n v="141"/>
    <n v="73"/>
    <x v="0"/>
    <s v="Brian"/>
    <s v="TEXAROK"/>
    <s v="Y"/>
  </r>
  <r>
    <n v="294"/>
    <n v="1530"/>
    <n v="1288"/>
    <s v="BR"/>
    <s v="Brian"/>
    <n v="2015"/>
    <n v="3"/>
    <n v="5.2"/>
    <n v="68"/>
    <n v="-73"/>
    <x v="1"/>
    <s v="BR"/>
    <s v="AKCOVA"/>
    <s v="Y"/>
  </r>
  <r>
    <n v="295"/>
    <n v="278"/>
    <n v="439"/>
    <s v="Watty"/>
    <s v="Mark"/>
    <n v="2015"/>
    <n v="3"/>
    <n v="6.1"/>
    <n v="98"/>
    <n v="26"/>
    <x v="0"/>
    <s v="Watty"/>
    <s v="AKCOVA"/>
    <s v="N"/>
  </r>
  <r>
    <n v="296"/>
    <n v="1255"/>
    <n v="1198"/>
    <s v="Mark"/>
    <s v="Watty"/>
    <n v="2015"/>
    <n v="3"/>
    <n v="6.2"/>
    <n v="72"/>
    <n v="-26"/>
    <x v="1"/>
    <s v="Mark"/>
    <s v="AKCOVA"/>
    <s v="N"/>
  </r>
  <r>
    <n v="297"/>
    <n v="503"/>
    <n v="852"/>
    <s v="Russell"/>
    <s v="Michael"/>
    <n v="2015"/>
    <n v="4"/>
    <n v="1.1000000000000001"/>
    <n v="83"/>
    <n v="13"/>
    <x v="0"/>
    <s v="Russell"/>
    <s v="TEXAROK"/>
    <s v="Y"/>
  </r>
  <r>
    <n v="298"/>
    <n v="1021"/>
    <n v="1243"/>
    <s v="Michael"/>
    <s v="Russell"/>
    <n v="2015"/>
    <n v="4"/>
    <n v="1.2"/>
    <n v="70"/>
    <n v="-13"/>
    <x v="1"/>
    <s v="Michael"/>
    <s v="AKCOVA"/>
    <s v="Y"/>
  </r>
  <r>
    <n v="299"/>
    <n v="1173"/>
    <n v="1333"/>
    <s v="Brent"/>
    <s v="David"/>
    <n v="2015"/>
    <n v="4"/>
    <n v="2.1"/>
    <n v="65"/>
    <n v="-21"/>
    <x v="1"/>
    <s v="Brent"/>
    <s v="TEXAROK"/>
    <s v="N"/>
  </r>
  <r>
    <n v="300"/>
    <n v="349"/>
    <n v="768"/>
    <s v="David"/>
    <s v="Brent"/>
    <n v="2015"/>
    <n v="4"/>
    <n v="2.2000000000000002"/>
    <n v="86"/>
    <n v="21"/>
    <x v="0"/>
    <s v="David"/>
    <s v="TEXAROK"/>
    <s v="N"/>
  </r>
  <r>
    <n v="301"/>
    <n v="291"/>
    <n v="339"/>
    <s v="Emily"/>
    <s v="Matt"/>
    <n v="2015"/>
    <n v="4"/>
    <n v="3.1"/>
    <n v="103"/>
    <n v="25"/>
    <x v="0"/>
    <s v="Emily"/>
    <s v="TEXAROK"/>
    <s v="N"/>
  </r>
  <r>
    <n v="302"/>
    <n v="1236"/>
    <n v="1012"/>
    <s v="Matt"/>
    <s v="Emily"/>
    <n v="2015"/>
    <n v="4"/>
    <n v="3.2"/>
    <n v="78"/>
    <n v="-25"/>
    <x v="1"/>
    <s v="Matt"/>
    <s v="TEXAROK"/>
    <s v="N"/>
  </r>
  <r>
    <n v="303"/>
    <n v="1268"/>
    <n v="1539"/>
    <s v="Brian"/>
    <s v="Abby"/>
    <n v="2015"/>
    <n v="4"/>
    <n v="4.0999999999999996"/>
    <n v="39"/>
    <n v="-27"/>
    <x v="1"/>
    <s v="Brian"/>
    <s v="TEXAROK"/>
    <s v="Y"/>
  </r>
  <r>
    <n v="304"/>
    <n v="260"/>
    <n v="1319"/>
    <s v="Abby"/>
    <s v="Brian"/>
    <n v="2015"/>
    <n v="4"/>
    <n v="4.2"/>
    <n v="66"/>
    <n v="27"/>
    <x v="0"/>
    <s v="Abby"/>
    <s v="AKCOVA"/>
    <s v="Y"/>
  </r>
  <r>
    <n v="305"/>
    <n v="1043"/>
    <n v="1452"/>
    <s v="Charles"/>
    <s v="Watty"/>
    <n v="2015"/>
    <n v="4"/>
    <n v="5.0999999999999996"/>
    <n v="57"/>
    <n v="-14"/>
    <x v="1"/>
    <s v="Charles"/>
    <s v="AKCOVA"/>
    <s v="N"/>
  </r>
  <r>
    <n v="306"/>
    <n v="483"/>
    <n v="1224"/>
    <s v="Watty"/>
    <s v="Charles"/>
    <n v="2015"/>
    <n v="4"/>
    <n v="5.2"/>
    <n v="71"/>
    <n v="14"/>
    <x v="0"/>
    <s v="Watty"/>
    <s v="AKCOVA"/>
    <s v="N"/>
  </r>
  <r>
    <n v="307"/>
    <n v="723"/>
    <n v="1117"/>
    <s v="BR"/>
    <s v="Mark"/>
    <n v="2015"/>
    <n v="4"/>
    <n v="6.1"/>
    <n v="75"/>
    <n v="2"/>
    <x v="0"/>
    <s v="BR"/>
    <s v="AKCOVA"/>
    <s v="N"/>
  </r>
  <r>
    <n v="308"/>
    <n v="805"/>
    <n v="1162"/>
    <s v="Mark"/>
    <s v="BR"/>
    <n v="2015"/>
    <n v="4"/>
    <n v="6.2"/>
    <n v="73"/>
    <n v="-2"/>
    <x v="1"/>
    <s v="Mark"/>
    <s v="AKCOVA"/>
    <s v="N"/>
  </r>
  <r>
    <n v="309"/>
    <n v="882"/>
    <n v="288"/>
    <s v="Russell"/>
    <s v="Matt"/>
    <n v="2015"/>
    <n v="5"/>
    <n v="1.1000000000000001"/>
    <n v="105"/>
    <n v="-6"/>
    <x v="1"/>
    <s v="Russell"/>
    <s v="TEXAROK"/>
    <s v="N"/>
  </r>
  <r>
    <n v="310"/>
    <n v="643"/>
    <n v="192"/>
    <s v="Matt"/>
    <s v="Russell"/>
    <n v="2015"/>
    <n v="5"/>
    <n v="1.2"/>
    <n v="111"/>
    <n v="6"/>
    <x v="0"/>
    <s v="Matt"/>
    <s v="TEXAROK"/>
    <s v="N"/>
  </r>
  <r>
    <n v="311"/>
    <n v="451"/>
    <n v="461"/>
    <s v="Michael"/>
    <s v="David"/>
    <n v="2015"/>
    <n v="5"/>
    <n v="2.1"/>
    <n v="97"/>
    <n v="16"/>
    <x v="0"/>
    <s v="Michael"/>
    <s v="AKCOVA"/>
    <s v="Y"/>
  </r>
  <r>
    <n v="312"/>
    <n v="1079"/>
    <n v="924"/>
    <s v="David"/>
    <s v="Michael"/>
    <n v="2015"/>
    <n v="5"/>
    <n v="2.2000000000000002"/>
    <n v="81"/>
    <n v="-16"/>
    <x v="1"/>
    <s v="David"/>
    <s v="TEXAROK"/>
    <s v="Y"/>
  </r>
  <r>
    <n v="313"/>
    <n v="823"/>
    <n v="180"/>
    <s v="Emily"/>
    <s v="Brent"/>
    <n v="2015"/>
    <n v="5"/>
    <n v="3.1"/>
    <n v="112"/>
    <n v="-3"/>
    <x v="1"/>
    <s v="Emily"/>
    <s v="TEXAROK"/>
    <s v="N"/>
  </r>
  <r>
    <n v="314"/>
    <n v="703"/>
    <n v="146"/>
    <s v="Brent"/>
    <s v="Emily"/>
    <n v="2015"/>
    <n v="5"/>
    <n v="3.2"/>
    <n v="115"/>
    <n v="3"/>
    <x v="0"/>
    <s v="Brent"/>
    <s v="TEXAROK"/>
    <s v="N"/>
  </r>
  <r>
    <n v="315"/>
    <n v="1095"/>
    <n v="1534"/>
    <s v="Abby"/>
    <s v="Watty"/>
    <n v="2015"/>
    <n v="5"/>
    <n v="4.0999999999999996"/>
    <n v="42"/>
    <n v="-17"/>
    <x v="1"/>
    <s v="Abby"/>
    <s v="AKCOVA"/>
    <s v="N"/>
  </r>
  <r>
    <n v="316"/>
    <n v="433"/>
    <n v="1421"/>
    <s v="Watty"/>
    <s v="Abby"/>
    <n v="2015"/>
    <n v="5"/>
    <n v="4.2"/>
    <n v="59"/>
    <n v="17"/>
    <x v="0"/>
    <s v="Watty"/>
    <s v="AKCOVA"/>
    <s v="N"/>
  </r>
  <r>
    <n v="317"/>
    <n v="679"/>
    <n v="710"/>
    <s v="Mark"/>
    <s v="Brian"/>
    <n v="2015"/>
    <n v="5"/>
    <n v="5.0999999999999996"/>
    <n v="88"/>
    <n v="4"/>
    <x v="0"/>
    <s v="Mark"/>
    <s v="AKCOVA"/>
    <s v="Y"/>
  </r>
  <r>
    <n v="318"/>
    <n v="843"/>
    <n v="819"/>
    <s v="Brian"/>
    <s v="Mark"/>
    <n v="2015"/>
    <n v="5"/>
    <n v="5.2"/>
    <n v="84"/>
    <n v="-4"/>
    <x v="1"/>
    <s v="Brian"/>
    <s v="TEXAROK"/>
    <s v="Y"/>
  </r>
  <r>
    <n v="319"/>
    <n v="260"/>
    <n v="1162"/>
    <s v="BR"/>
    <s v="Charles"/>
    <n v="2015"/>
    <n v="5"/>
    <n v="6.1"/>
    <n v="73"/>
    <n v="27"/>
    <x v="0"/>
    <s v="BR"/>
    <s v="AKCOVA"/>
    <s v="N"/>
  </r>
  <r>
    <n v="320"/>
    <n v="1268"/>
    <n v="1522"/>
    <s v="Charles"/>
    <s v="BR"/>
    <n v="2015"/>
    <n v="5"/>
    <n v="6.2"/>
    <n v="46"/>
    <n v="-27"/>
    <x v="1"/>
    <s v="Charles"/>
    <s v="AKCOVA"/>
    <s v="N"/>
  </r>
  <r>
    <n v="321"/>
    <n v="664"/>
    <n v="1346"/>
    <s v="Russell"/>
    <s v="Brian"/>
    <n v="2015"/>
    <n v="6"/>
    <n v="1.1000000000000001"/>
    <n v="64"/>
    <n v="5"/>
    <x v="0"/>
    <s v="Russell"/>
    <s v="TEXAROK"/>
    <s v="N"/>
  </r>
  <r>
    <n v="322"/>
    <n v="867"/>
    <n v="1421"/>
    <s v="Brian"/>
    <s v="Russell"/>
    <n v="2015"/>
    <n v="6"/>
    <n v="1.2"/>
    <n v="59"/>
    <n v="-5"/>
    <x v="1"/>
    <s v="Brian"/>
    <s v="TEXAROK"/>
    <s v="N"/>
  </r>
  <r>
    <n v="323"/>
    <n v="1533"/>
    <n v="1288"/>
    <s v="Abby"/>
    <s v="Michael"/>
    <n v="2015"/>
    <n v="6"/>
    <n v="2.1"/>
    <n v="68"/>
    <n v="-76"/>
    <x v="1"/>
    <s v="Abby"/>
    <s v="AKCOVA"/>
    <s v="N"/>
  </r>
  <r>
    <n v="324"/>
    <n v="10"/>
    <n v="15"/>
    <s v="Michael"/>
    <s v="Abby"/>
    <n v="2015"/>
    <n v="6"/>
    <n v="2.2000000000000002"/>
    <n v="144"/>
    <n v="76"/>
    <x v="0"/>
    <s v="Michael"/>
    <s v="AKCOVA"/>
    <s v="N"/>
  </r>
  <r>
    <n v="325"/>
    <n v="1113"/>
    <n v="883"/>
    <s v="Mark"/>
    <s v="Matt"/>
    <n v="2015"/>
    <n v="6"/>
    <n v="3.1"/>
    <n v="82"/>
    <n v="-18"/>
    <x v="1"/>
    <s v="Mark"/>
    <s v="AKCOVA"/>
    <s v="Y"/>
  </r>
  <r>
    <n v="326"/>
    <n v="413"/>
    <n v="391"/>
    <s v="Matt"/>
    <s v="Mark"/>
    <n v="2015"/>
    <n v="6"/>
    <n v="3.2"/>
    <n v="100"/>
    <n v="18"/>
    <x v="0"/>
    <s v="Matt"/>
    <s v="TEXAROK"/>
    <s v="Y"/>
  </r>
  <r>
    <n v="327"/>
    <n v="1113"/>
    <n v="883"/>
    <s v="BR"/>
    <s v="Emily"/>
    <n v="2015"/>
    <n v="6"/>
    <n v="4.0999999999999996"/>
    <n v="82"/>
    <n v="-18"/>
    <x v="1"/>
    <s v="BR"/>
    <s v="AKCOVA"/>
    <s v="Y"/>
  </r>
  <r>
    <n v="328"/>
    <n v="413"/>
    <n v="391"/>
    <s v="Emily"/>
    <s v="BR"/>
    <n v="2015"/>
    <n v="6"/>
    <n v="4.2"/>
    <n v="100"/>
    <n v="18"/>
    <x v="0"/>
    <s v="Emily"/>
    <s v="TEXAROK"/>
    <s v="Y"/>
  </r>
  <r>
    <n v="329"/>
    <n v="1079"/>
    <n v="1162"/>
    <s v="Charles"/>
    <s v="Brent"/>
    <n v="2015"/>
    <n v="6"/>
    <n v="5.0999999999999996"/>
    <n v="73"/>
    <n v="-16"/>
    <x v="1"/>
    <s v="Charles"/>
    <s v="AKCOVA"/>
    <s v="Y"/>
  </r>
  <r>
    <n v="330"/>
    <n v="451"/>
    <n v="673"/>
    <s v="Brent"/>
    <s v="Charles"/>
    <n v="2015"/>
    <n v="6"/>
    <n v="5.2"/>
    <n v="89"/>
    <n v="16"/>
    <x v="0"/>
    <s v="Brent"/>
    <s v="TEXAROK"/>
    <s v="Y"/>
  </r>
  <r>
    <n v="331"/>
    <n v="1268"/>
    <n v="1522"/>
    <s v="Watty"/>
    <s v="David"/>
    <n v="2015"/>
    <n v="6"/>
    <n v="6.1"/>
    <n v="46"/>
    <n v="-27"/>
    <x v="1"/>
    <s v="Watty"/>
    <s v="AKCOVA"/>
    <s v="Y"/>
  </r>
  <r>
    <n v="332"/>
    <n v="260"/>
    <n v="1162"/>
    <s v="David"/>
    <s v="Watty"/>
    <n v="2015"/>
    <n v="6"/>
    <n v="6.2"/>
    <n v="73"/>
    <n v="27"/>
    <x v="0"/>
    <s v="David"/>
    <s v="TEXAROK"/>
    <s v="Y"/>
  </r>
  <r>
    <n v="333"/>
    <n v="1455"/>
    <n v="956"/>
    <s v="Russell"/>
    <s v="Charles"/>
    <n v="2015"/>
    <n v="7"/>
    <n v="1.1000000000000001"/>
    <n v="80"/>
    <n v="-46"/>
    <x v="1"/>
    <s v="Russell"/>
    <s v="TEXAROK"/>
    <s v="Y"/>
  </r>
  <r>
    <n v="334"/>
    <n v="85"/>
    <n v="67"/>
    <s v="Charles"/>
    <s v="Russell"/>
    <n v="2015"/>
    <n v="7"/>
    <n v="1.2"/>
    <n v="126"/>
    <n v="46"/>
    <x v="0"/>
    <s v="Charles"/>
    <s v="AKCOVA"/>
    <s v="Y"/>
  </r>
  <r>
    <n v="335"/>
    <n v="805"/>
    <n v="1224"/>
    <s v="Matt"/>
    <s v="Abby"/>
    <n v="2015"/>
    <n v="7"/>
    <n v="2.1"/>
    <n v="71"/>
    <n v="-2"/>
    <x v="1"/>
    <s v="Matt"/>
    <s v="TEXAROK"/>
    <s v="Y"/>
  </r>
  <r>
    <n v="336"/>
    <n v="723"/>
    <n v="1162"/>
    <s v="Abby"/>
    <s v="Matt"/>
    <n v="2015"/>
    <n v="7"/>
    <n v="2.2000000000000002"/>
    <n v="73"/>
    <n v="2"/>
    <x v="0"/>
    <s v="Abby"/>
    <s v="AKCOVA"/>
    <s v="Y"/>
  </r>
  <r>
    <n v="337"/>
    <n v="467"/>
    <n v="1076"/>
    <s v="Emily"/>
    <s v="Mark"/>
    <n v="2015"/>
    <n v="7"/>
    <n v="3.1"/>
    <n v="76"/>
    <n v="15"/>
    <x v="0"/>
    <s v="Emily"/>
    <s v="TEXAROK"/>
    <s v="Y"/>
  </r>
  <r>
    <n v="338"/>
    <n v="1063"/>
    <n v="1398"/>
    <s v="Mark"/>
    <s v="Emily"/>
    <n v="2015"/>
    <n v="7"/>
    <n v="3.2"/>
    <n v="61"/>
    <n v="-15"/>
    <x v="1"/>
    <s v="Mark"/>
    <s v="AKCOVA"/>
    <s v="Y"/>
  </r>
  <r>
    <n v="339"/>
    <n v="1063"/>
    <n v="439"/>
    <s v="Brent"/>
    <s v="BR"/>
    <n v="2015"/>
    <n v="7"/>
    <n v="4.0999999999999996"/>
    <n v="98"/>
    <n v="-15"/>
    <x v="1"/>
    <s v="Brent"/>
    <s v="TEXAROK"/>
    <s v="Y"/>
  </r>
  <r>
    <n v="340"/>
    <n v="467"/>
    <n v="163"/>
    <s v="BR"/>
    <s v="Brent"/>
    <n v="2015"/>
    <n v="7"/>
    <n v="4.2"/>
    <n v="113"/>
    <n v="15"/>
    <x v="0"/>
    <s v="BR"/>
    <s v="AKCOVA"/>
    <s v="Y"/>
  </r>
  <r>
    <n v="341"/>
    <n v="1514"/>
    <n v="1383"/>
    <s v="David"/>
    <s v="Brian"/>
    <n v="2015"/>
    <n v="7"/>
    <n v="5.0999999999999996"/>
    <n v="62"/>
    <n v="-64"/>
    <x v="1"/>
    <s v="David"/>
    <s v="TEXAROK"/>
    <s v="N"/>
  </r>
  <r>
    <n v="342"/>
    <n v="28"/>
    <n v="67"/>
    <s v="Brian"/>
    <s v="David"/>
    <n v="2015"/>
    <n v="7"/>
    <n v="5.2"/>
    <n v="126"/>
    <n v="64"/>
    <x v="0"/>
    <s v="Brian"/>
    <s v="TEXAROK"/>
    <s v="N"/>
  </r>
  <r>
    <n v="343"/>
    <n v="349"/>
    <n v="311"/>
    <s v="Michael"/>
    <s v="Watty"/>
    <n v="2015"/>
    <n v="7"/>
    <n v="6.1"/>
    <n v="104"/>
    <n v="21"/>
    <x v="0"/>
    <s v="Michael"/>
    <s v="AKCOVA"/>
    <s v="N"/>
  </r>
  <r>
    <n v="344"/>
    <n v="1173"/>
    <n v="852"/>
    <s v="Watty"/>
    <s v="Michael"/>
    <n v="2015"/>
    <n v="7"/>
    <n v="6.2"/>
    <n v="83"/>
    <n v="-21"/>
    <x v="1"/>
    <s v="Watty"/>
    <s v="AKCOVA"/>
    <s v="N"/>
  </r>
  <r>
    <n v="345"/>
    <n v="1382"/>
    <n v="796"/>
    <s v="Russell"/>
    <s v="BR"/>
    <n v="2015"/>
    <n v="8"/>
    <n v="1.1000000000000001"/>
    <n v="85"/>
    <n v="-37"/>
    <x v="1"/>
    <s v="Russell"/>
    <s v="TEXAROK"/>
    <s v="Y"/>
  </r>
  <r>
    <n v="346"/>
    <n v="153"/>
    <n v="89"/>
    <s v="BR"/>
    <s v="Russell"/>
    <n v="2015"/>
    <n v="8"/>
    <n v="1.2"/>
    <n v="122"/>
    <n v="37"/>
    <x v="0"/>
    <s v="BR"/>
    <s v="AKCOVA"/>
    <s v="Y"/>
  </r>
  <r>
    <n v="347"/>
    <n v="983"/>
    <n v="1288"/>
    <s v="Abby"/>
    <s v="Emily"/>
    <n v="2015"/>
    <n v="8"/>
    <n v="2.1"/>
    <n v="68"/>
    <n v="-11"/>
    <x v="1"/>
    <s v="Abby"/>
    <s v="AKCOVA"/>
    <s v="Y"/>
  </r>
  <r>
    <n v="348"/>
    <n v="544"/>
    <n v="984"/>
    <s v="Emily"/>
    <s v="Abby"/>
    <n v="2015"/>
    <n v="8"/>
    <n v="2.2000000000000002"/>
    <n v="79"/>
    <n v="11"/>
    <x v="0"/>
    <s v="Emily"/>
    <s v="TEXAROK"/>
    <s v="Y"/>
  </r>
  <r>
    <n v="349"/>
    <n v="903"/>
    <n v="391"/>
    <s v="Mark"/>
    <s v="Brent"/>
    <n v="2015"/>
    <n v="8"/>
    <n v="3.1"/>
    <n v="100"/>
    <n v="-7"/>
    <x v="1"/>
    <s v="Mark"/>
    <s v="AKCOVA"/>
    <s v="Y"/>
  </r>
  <r>
    <n v="350"/>
    <n v="622"/>
    <n v="257"/>
    <s v="Brent"/>
    <s v="Mark"/>
    <n v="2015"/>
    <n v="8"/>
    <n v="3.2"/>
    <n v="107"/>
    <n v="7"/>
    <x v="0"/>
    <s v="Brent"/>
    <s v="TEXAROK"/>
    <s v="Y"/>
  </r>
  <r>
    <n v="351"/>
    <n v="247"/>
    <n v="984"/>
    <s v="Charles"/>
    <s v="David"/>
    <n v="2015"/>
    <n v="8"/>
    <n v="4.0999999999999996"/>
    <n v="79"/>
    <n v="28"/>
    <x v="0"/>
    <s v="Charles"/>
    <s v="AKCOVA"/>
    <s v="Y"/>
  </r>
  <r>
    <n v="352"/>
    <n v="1286"/>
    <n v="1498"/>
    <s v="David"/>
    <s v="Charles"/>
    <n v="2015"/>
    <n v="8"/>
    <n v="4.2"/>
    <n v="51"/>
    <n v="-28"/>
    <x v="1"/>
    <s v="David"/>
    <s v="TEXAROK"/>
    <s v="Y"/>
  </r>
  <r>
    <n v="353"/>
    <n v="525"/>
    <n v="599"/>
    <s v="Brian"/>
    <s v="Michael"/>
    <n v="2015"/>
    <n v="8"/>
    <n v="5.0999999999999996"/>
    <n v="92"/>
    <n v="12"/>
    <x v="0"/>
    <s v="Brian"/>
    <s v="TEXAROK"/>
    <s v="Y"/>
  </r>
  <r>
    <n v="354"/>
    <n v="1002"/>
    <n v="956"/>
    <s v="Michael"/>
    <s v="Brian"/>
    <n v="2015"/>
    <n v="8"/>
    <n v="5.2"/>
    <n v="80"/>
    <n v="-12"/>
    <x v="1"/>
    <s v="Michael"/>
    <s v="AKCOVA"/>
    <s v="Y"/>
  </r>
  <r>
    <n v="355"/>
    <n v="1540"/>
    <n v="1505"/>
    <s v="Watty"/>
    <s v="Matt"/>
    <n v="2015"/>
    <n v="8"/>
    <n v="6.1"/>
    <n v="50"/>
    <n v="-85"/>
    <x v="1"/>
    <s v="Watty"/>
    <s v="AKCOVA"/>
    <s v="Y"/>
  </r>
  <r>
    <n v="356"/>
    <n v="5"/>
    <n v="31"/>
    <s v="Matt"/>
    <s v="Watty"/>
    <n v="2015"/>
    <n v="8"/>
    <n v="6.2"/>
    <n v="135"/>
    <n v="85"/>
    <x v="0"/>
    <s v="Matt"/>
    <s v="TEXAROK"/>
    <s v="Y"/>
  </r>
  <r>
    <n v="357"/>
    <n v="679"/>
    <n v="924"/>
    <s v="Russell"/>
    <s v="Mark"/>
    <n v="2015"/>
    <n v="9"/>
    <n v="1.1000000000000001"/>
    <n v="81"/>
    <n v="4"/>
    <x v="0"/>
    <s v="Russell"/>
    <s v="TEXAROK"/>
    <s v="Y"/>
  </r>
  <r>
    <n v="358"/>
    <n v="843"/>
    <n v="1044"/>
    <s v="Mark"/>
    <s v="Russell"/>
    <n v="2015"/>
    <n v="9"/>
    <n v="1.2"/>
    <n v="77"/>
    <n v="-4"/>
    <x v="1"/>
    <s v="Mark"/>
    <s v="AKCOVA"/>
    <s v="Y"/>
  </r>
  <r>
    <n v="359"/>
    <n v="398"/>
    <n v="627"/>
    <s v="Brent"/>
    <s v="Abby"/>
    <n v="2015"/>
    <n v="9"/>
    <n v="2.1"/>
    <n v="91"/>
    <n v="19"/>
    <x v="0"/>
    <s v="Brent"/>
    <s v="TEXAROK"/>
    <s v="Y"/>
  </r>
  <r>
    <n v="360"/>
    <n v="1133"/>
    <n v="1198"/>
    <s v="Abby"/>
    <s v="Brent"/>
    <n v="2015"/>
    <n v="9"/>
    <n v="2.2000000000000002"/>
    <n v="72"/>
    <n v="-19"/>
    <x v="1"/>
    <s v="Abby"/>
    <s v="AKCOVA"/>
    <s v="Y"/>
  </r>
  <r>
    <n v="361"/>
    <n v="503"/>
    <n v="239"/>
    <s v="David"/>
    <s v="BR"/>
    <n v="2015"/>
    <n v="9"/>
    <n v="3.1"/>
    <n v="108"/>
    <n v="13"/>
    <x v="0"/>
    <s v="David"/>
    <s v="TEXAROK"/>
    <s v="Y"/>
  </r>
  <r>
    <n v="362"/>
    <n v="1021"/>
    <n v="518"/>
    <s v="BR"/>
    <s v="David"/>
    <n v="2015"/>
    <n v="9"/>
    <n v="3.2"/>
    <n v="95"/>
    <n v="-13"/>
    <x v="1"/>
    <s v="BR"/>
    <s v="AKCOVA"/>
    <s v="Y"/>
  </r>
  <r>
    <n v="363"/>
    <n v="1451"/>
    <n v="956"/>
    <s v="Michael"/>
    <s v="Charles"/>
    <n v="2015"/>
    <n v="9"/>
    <n v="4.0999999999999996"/>
    <n v="80"/>
    <n v="-45"/>
    <x v="1"/>
    <s v="Michael"/>
    <s v="AKCOVA"/>
    <s v="N"/>
  </r>
  <r>
    <n v="364"/>
    <n v="91"/>
    <n v="74"/>
    <s v="Charles"/>
    <s v="Michael"/>
    <n v="2015"/>
    <n v="9"/>
    <n v="4.2"/>
    <n v="125"/>
    <n v="45"/>
    <x v="0"/>
    <s v="Charles"/>
    <s v="AKCOVA"/>
    <s v="N"/>
  </r>
  <r>
    <n v="365"/>
    <n v="173"/>
    <n v="138"/>
    <s v="Matt"/>
    <s v="Brian"/>
    <n v="2015"/>
    <n v="9"/>
    <n v="5.0999999999999996"/>
    <n v="116"/>
    <n v="35"/>
    <x v="0"/>
    <s v="Matt"/>
    <s v="TEXAROK"/>
    <s v="N"/>
  </r>
  <r>
    <n v="366"/>
    <n v="1368"/>
    <n v="924"/>
    <s v="Brian"/>
    <s v="Matt"/>
    <n v="2015"/>
    <n v="9"/>
    <n v="5.2"/>
    <n v="81"/>
    <n v="-35"/>
    <x v="1"/>
    <s v="Brian"/>
    <s v="TEXAROK"/>
    <s v="N"/>
  </r>
  <r>
    <n v="367"/>
    <n v="924"/>
    <n v="1265"/>
    <s v="Emily"/>
    <s v="Watty"/>
    <n v="2015"/>
    <n v="9"/>
    <n v="6.1"/>
    <n v="69"/>
    <n v="-8"/>
    <x v="1"/>
    <s v="Emily"/>
    <s v="TEXAROK"/>
    <s v="Y"/>
  </r>
  <r>
    <n v="368"/>
    <n v="596"/>
    <n v="1044"/>
    <s v="Watty"/>
    <s v="Emily"/>
    <n v="2015"/>
    <n v="9"/>
    <n v="6.2"/>
    <n v="77"/>
    <n v="8"/>
    <x v="0"/>
    <s v="Watty"/>
    <s v="AKCOVA"/>
    <s v="Y"/>
  </r>
  <r>
    <n v="369"/>
    <n v="68"/>
    <n v="1224"/>
    <s v="Russell"/>
    <s v="Abby"/>
    <n v="2015"/>
    <n v="10"/>
    <n v="1.1000000000000001"/>
    <n v="71"/>
    <n v="52"/>
    <x v="0"/>
    <s v="Russell"/>
    <s v="TEXAROK"/>
    <s v="Y"/>
  </r>
  <r>
    <n v="370"/>
    <n v="1474"/>
    <n v="1544"/>
    <s v="Abby"/>
    <s v="Russell"/>
    <n v="2015"/>
    <n v="10"/>
    <n v="1.2"/>
    <n v="19"/>
    <n v="-52"/>
    <x v="1"/>
    <s v="Abby"/>
    <s v="AKCOVA"/>
    <s v="Y"/>
  </r>
  <r>
    <n v="371"/>
    <n v="1208"/>
    <n v="1288"/>
    <s v="Mark"/>
    <s v="David"/>
    <n v="2015"/>
    <n v="10"/>
    <n v="2.1"/>
    <n v="68"/>
    <n v="-23"/>
    <x v="1"/>
    <s v="Mark"/>
    <s v="AKCOVA"/>
    <s v="Y"/>
  </r>
  <r>
    <n v="372"/>
    <n v="324"/>
    <n v="627"/>
    <s v="David"/>
    <s v="Mark"/>
    <n v="2015"/>
    <n v="10"/>
    <n v="2.2000000000000002"/>
    <n v="91"/>
    <n v="23"/>
    <x v="0"/>
    <s v="David"/>
    <s v="TEXAROK"/>
    <s v="Y"/>
  </r>
  <r>
    <n v="373"/>
    <n v="1043"/>
    <n v="1135"/>
    <s v="BR"/>
    <s v="Michael"/>
    <n v="2015"/>
    <n v="10"/>
    <n v="3.1"/>
    <n v="74"/>
    <n v="-14"/>
    <x v="1"/>
    <s v="BR"/>
    <s v="AKCOVA"/>
    <s v="N"/>
  </r>
  <r>
    <n v="374"/>
    <n v="483"/>
    <n v="710"/>
    <s v="Michael"/>
    <s v="BR"/>
    <n v="2015"/>
    <n v="10"/>
    <n v="3.2"/>
    <n v="88"/>
    <n v="14"/>
    <x v="0"/>
    <s v="Michael"/>
    <s v="AKCOVA"/>
    <s v="N"/>
  </r>
  <r>
    <n v="375"/>
    <n v="780"/>
    <n v="627"/>
    <s v="Charles"/>
    <s v="Matt"/>
    <n v="2015"/>
    <n v="10"/>
    <n v="4.0999999999999996"/>
    <n v="91"/>
    <n v="-1"/>
    <x v="1"/>
    <s v="Charles"/>
    <s v="AKCOVA"/>
    <s v="Y"/>
  </r>
  <r>
    <n v="376"/>
    <n v="741"/>
    <n v="599"/>
    <s v="Matt"/>
    <s v="Charles"/>
    <n v="2015"/>
    <n v="10"/>
    <n v="4.2"/>
    <n v="92"/>
    <n v="1"/>
    <x v="0"/>
    <s v="Matt"/>
    <s v="TEXAROK"/>
    <s v="Y"/>
  </r>
  <r>
    <n v="377"/>
    <n v="596"/>
    <n v="518"/>
    <s v="Brian"/>
    <s v="Emily"/>
    <n v="2015"/>
    <n v="10"/>
    <n v="5.0999999999999996"/>
    <n v="95"/>
    <n v="8"/>
    <x v="0"/>
    <s v="Brian"/>
    <s v="TEXAROK"/>
    <s v="N"/>
  </r>
  <r>
    <n v="378"/>
    <n v="924"/>
    <n v="741"/>
    <s v="Emily"/>
    <s v="Brian"/>
    <n v="2015"/>
    <n v="10"/>
    <n v="5.2"/>
    <n v="87"/>
    <n v="-8"/>
    <x v="1"/>
    <s v="Emily"/>
    <s v="TEXAROK"/>
    <s v="N"/>
  </r>
  <r>
    <n v="379"/>
    <n v="664"/>
    <n v="1135"/>
    <s v="Watty"/>
    <s v="Brent"/>
    <n v="2015"/>
    <n v="10"/>
    <n v="6.1"/>
    <n v="74"/>
    <n v="5"/>
    <x v="0"/>
    <s v="Watty"/>
    <s v="AKCOVA"/>
    <s v="Y"/>
  </r>
  <r>
    <n v="380"/>
    <n v="867"/>
    <n v="1265"/>
    <s v="Brent"/>
    <s v="Watty"/>
    <n v="2015"/>
    <n v="10"/>
    <n v="6.2"/>
    <n v="69"/>
    <n v="-5"/>
    <x v="1"/>
    <s v="Brent"/>
    <s v="TEXAROK"/>
    <s v="Y"/>
  </r>
  <r>
    <n v="381"/>
    <n v="723"/>
    <n v="819"/>
    <s v="Russell"/>
    <s v="Watty"/>
    <n v="2015"/>
    <n v="11"/>
    <n v="1.1000000000000001"/>
    <n v="84"/>
    <n v="2"/>
    <x v="0"/>
    <s v="Russell"/>
    <s v="TEXAROK"/>
    <s v="Y"/>
  </r>
  <r>
    <n v="382"/>
    <n v="805"/>
    <n v="883"/>
    <s v="Watty"/>
    <s v="Russell"/>
    <n v="2015"/>
    <n v="11"/>
    <n v="1.2"/>
    <n v="82"/>
    <n v="-2"/>
    <x v="1"/>
    <s v="Watty"/>
    <s v="AKCOVA"/>
    <s v="Y"/>
  </r>
  <r>
    <n v="383"/>
    <n v="1222"/>
    <n v="1421"/>
    <s v="David"/>
    <s v="Abby"/>
    <n v="2015"/>
    <n v="11"/>
    <n v="2.1"/>
    <n v="59"/>
    <n v="-24"/>
    <x v="1"/>
    <s v="David"/>
    <s v="TEXAROK"/>
    <s v="Y"/>
  </r>
  <r>
    <n v="384"/>
    <n v="310"/>
    <n v="852"/>
    <s v="Abby"/>
    <s v="David"/>
    <n v="2015"/>
    <n v="11"/>
    <n v="2.2000000000000002"/>
    <n v="83"/>
    <n v="24"/>
    <x v="0"/>
    <s v="Abby"/>
    <s v="AKCOVA"/>
    <s v="Y"/>
  </r>
  <r>
    <n v="385"/>
    <n v="679"/>
    <n v="819"/>
    <s v="Michael"/>
    <s v="Mark"/>
    <n v="2015"/>
    <n v="11"/>
    <n v="3.1"/>
    <n v="84"/>
    <n v="4"/>
    <x v="0"/>
    <s v="Michael"/>
    <s v="AKCOVA"/>
    <s v="N"/>
  </r>
  <r>
    <n v="386"/>
    <n v="843"/>
    <n v="956"/>
    <s v="Mark"/>
    <s v="Michael"/>
    <n v="2015"/>
    <n v="11"/>
    <n v="3.2"/>
    <n v="80"/>
    <n v="-4"/>
    <x v="1"/>
    <s v="Mark"/>
    <s v="AKCOVA"/>
    <s v="N"/>
  </r>
  <r>
    <n v="387"/>
    <n v="13"/>
    <n v="339"/>
    <s v="Matt"/>
    <s v="BR"/>
    <n v="2015"/>
    <n v="11"/>
    <n v="4.0999999999999996"/>
    <n v="103"/>
    <n v="75"/>
    <x v="0"/>
    <s v="Matt"/>
    <s v="TEXAROK"/>
    <s v="Y"/>
  </r>
  <r>
    <n v="388"/>
    <n v="1532"/>
    <n v="1543"/>
    <s v="BR"/>
    <s v="Matt"/>
    <n v="2015"/>
    <n v="11"/>
    <n v="4.2"/>
    <n v="28"/>
    <n v="-75"/>
    <x v="1"/>
    <s v="BR"/>
    <s v="AKCOVA"/>
    <s v="Y"/>
  </r>
  <r>
    <n v="389"/>
    <n v="544"/>
    <n v="1452"/>
    <s v="Emily"/>
    <s v="Charles"/>
    <n v="2015"/>
    <n v="11"/>
    <n v="5.0999999999999996"/>
    <n v="57"/>
    <n v="11"/>
    <x v="0"/>
    <s v="Emily"/>
    <s v="TEXAROK"/>
    <s v="Y"/>
  </r>
  <r>
    <n v="390"/>
    <n v="983"/>
    <n v="1522"/>
    <s v="Charles"/>
    <s v="Emily"/>
    <n v="2015"/>
    <n v="11"/>
    <n v="5.2"/>
    <n v="46"/>
    <n v="-11"/>
    <x v="1"/>
    <s v="Charles"/>
    <s v="AKCOVA"/>
    <s v="Y"/>
  </r>
  <r>
    <n v="391"/>
    <n v="525"/>
    <n v="741"/>
    <s v="Brent"/>
    <s v="Brian"/>
    <n v="2015"/>
    <n v="11"/>
    <n v="6.1"/>
    <n v="87"/>
    <n v="12"/>
    <x v="0"/>
    <s v="Brent"/>
    <s v="TEXAROK"/>
    <s v="N"/>
  </r>
  <r>
    <n v="392"/>
    <n v="1002"/>
    <n v="1117"/>
    <s v="Brian"/>
    <s v="Brent"/>
    <n v="2015"/>
    <n v="11"/>
    <n v="6.2"/>
    <n v="75"/>
    <n v="-12"/>
    <x v="1"/>
    <s v="Brian"/>
    <s v="TEXAROK"/>
    <s v="N"/>
  </r>
  <r>
    <n v="393"/>
    <n v="205"/>
    <n v="572"/>
    <s v="Russell"/>
    <s v="Brian"/>
    <n v="2015"/>
    <n v="12"/>
    <n v="1.1000000000000001"/>
    <n v="93"/>
    <n v="31"/>
    <x v="0"/>
    <s v="Russell"/>
    <s v="TEXAROK"/>
    <s v="N"/>
  </r>
  <r>
    <n v="394"/>
    <n v="1326"/>
    <n v="1383"/>
    <s v="Brian"/>
    <s v="Russell"/>
    <n v="2015"/>
    <n v="12"/>
    <n v="1.2"/>
    <n v="62"/>
    <n v="-31"/>
    <x v="1"/>
    <s v="Brian"/>
    <s v="TEXAROK"/>
    <s v="N"/>
  </r>
  <r>
    <n v="395"/>
    <n v="1021"/>
    <n v="956"/>
    <s v="Michael"/>
    <s v="Abby"/>
    <n v="2015"/>
    <n v="12"/>
    <n v="2.1"/>
    <n v="80"/>
    <n v="-13"/>
    <x v="1"/>
    <s v="Michael"/>
    <s v="AKCOVA"/>
    <s v="N"/>
  </r>
  <r>
    <n v="396"/>
    <n v="503"/>
    <n v="572"/>
    <s v="Abby"/>
    <s v="Michael"/>
    <n v="2015"/>
    <n v="12"/>
    <n v="2.2000000000000002"/>
    <n v="93"/>
    <n v="13"/>
    <x v="0"/>
    <s v="Abby"/>
    <s v="AKCOVA"/>
    <s v="N"/>
  </r>
  <r>
    <n v="397"/>
    <n v="843"/>
    <n v="1224"/>
    <s v="Matt"/>
    <s v="Mark"/>
    <n v="2015"/>
    <n v="12"/>
    <n v="3.1"/>
    <n v="71"/>
    <n v="-4"/>
    <x v="1"/>
    <s v="Matt"/>
    <s v="TEXAROK"/>
    <s v="Y"/>
  </r>
  <r>
    <n v="398"/>
    <n v="679"/>
    <n v="1117"/>
    <s v="Mark"/>
    <s v="Matt"/>
    <n v="2015"/>
    <n v="12"/>
    <n v="3.2"/>
    <n v="75"/>
    <n v="4"/>
    <x v="0"/>
    <s v="Mark"/>
    <s v="AKCOVA"/>
    <s v="Y"/>
  </r>
  <r>
    <n v="399"/>
    <n v="1352"/>
    <n v="1224"/>
    <s v="Emily"/>
    <s v="BR"/>
    <n v="2015"/>
    <n v="12"/>
    <n v="4.0999999999999996"/>
    <n v="71"/>
    <n v="-33"/>
    <x v="1"/>
    <s v="Emily"/>
    <s v="TEXAROK"/>
    <s v="Y"/>
  </r>
  <r>
    <n v="400"/>
    <n v="184"/>
    <n v="311"/>
    <s v="BR"/>
    <s v="Emily"/>
    <n v="2015"/>
    <n v="12"/>
    <n v="4.2"/>
    <n v="104"/>
    <n v="33"/>
    <x v="0"/>
    <s v="BR"/>
    <s v="AKCOVA"/>
    <s v="Y"/>
  </r>
  <r>
    <n v="401"/>
    <n v="596"/>
    <n v="311"/>
    <s v="Brent"/>
    <s v="Charles"/>
    <n v="2015"/>
    <n v="12"/>
    <n v="5.0999999999999996"/>
    <n v="104"/>
    <n v="8"/>
    <x v="0"/>
    <s v="Brent"/>
    <s v="TEXAROK"/>
    <s v="Y"/>
  </r>
  <r>
    <n v="402"/>
    <n v="924"/>
    <n v="493"/>
    <s v="Charles"/>
    <s v="Brent"/>
    <n v="2015"/>
    <n v="12"/>
    <n v="5.2"/>
    <n v="96"/>
    <n v="-8"/>
    <x v="1"/>
    <s v="Charles"/>
    <s v="AKCOVA"/>
    <s v="Y"/>
  </r>
  <r>
    <n v="403"/>
    <n v="703"/>
    <n v="924"/>
    <s v="David"/>
    <s v="Watty"/>
    <n v="2015"/>
    <n v="12"/>
    <n v="6.1"/>
    <n v="81"/>
    <n v="3"/>
    <x v="0"/>
    <s v="David"/>
    <s v="TEXAROK"/>
    <s v="Y"/>
  </r>
  <r>
    <n v="404"/>
    <n v="823"/>
    <n v="1012"/>
    <s v="Watty"/>
    <s v="David"/>
    <n v="2015"/>
    <n v="12"/>
    <n v="6.2"/>
    <n v="78"/>
    <n v="-3"/>
    <x v="1"/>
    <s v="Watty"/>
    <s v="AKCOVA"/>
    <s v="Y"/>
  </r>
  <r>
    <n v="405"/>
    <n v="1326"/>
    <n v="461"/>
    <s v="Russell"/>
    <s v="Charles"/>
    <n v="2015"/>
    <n v="13"/>
    <n v="1.1000000000000001"/>
    <n v="97"/>
    <n v="-31"/>
    <x v="1"/>
    <s v="Russell"/>
    <s v="TEXAROK"/>
    <s v="Y"/>
  </r>
  <r>
    <n v="406"/>
    <n v="205"/>
    <n v="58"/>
    <s v="Charles"/>
    <s v="Russell"/>
    <n v="2015"/>
    <n v="13"/>
    <n v="1.2"/>
    <n v="128"/>
    <n v="31"/>
    <x v="0"/>
    <s v="Charles"/>
    <s v="AKCOVA"/>
    <s v="Y"/>
  </r>
  <r>
    <n v="407"/>
    <n v="398"/>
    <n v="271"/>
    <s v="Abby"/>
    <s v="Matt"/>
    <n v="2015"/>
    <n v="13"/>
    <n v="2.1"/>
    <n v="106"/>
    <n v="19"/>
    <x v="0"/>
    <s v="Abby"/>
    <s v="AKCOVA"/>
    <s v="Y"/>
  </r>
  <r>
    <n v="408"/>
    <n v="1133"/>
    <n v="741"/>
    <s v="Matt"/>
    <s v="Abby"/>
    <n v="2015"/>
    <n v="13"/>
    <n v="2.2000000000000002"/>
    <n v="87"/>
    <n v="-19"/>
    <x v="1"/>
    <s v="Matt"/>
    <s v="TEXAROK"/>
    <s v="Y"/>
  </r>
  <r>
    <n v="409"/>
    <n v="1382"/>
    <n v="1288"/>
    <s v="Mark"/>
    <s v="Emily"/>
    <n v="2015"/>
    <n v="13"/>
    <n v="3.1"/>
    <n v="68"/>
    <n v="-37"/>
    <x v="1"/>
    <s v="Mark"/>
    <s v="AKCOVA"/>
    <s v="Y"/>
  </r>
  <r>
    <n v="410"/>
    <n v="153"/>
    <n v="288"/>
    <s v="Emily"/>
    <s v="Mark"/>
    <n v="2015"/>
    <n v="13"/>
    <n v="3.2"/>
    <n v="105"/>
    <n v="37"/>
    <x v="0"/>
    <s v="Emily"/>
    <s v="TEXAROK"/>
    <s v="Y"/>
  </r>
  <r>
    <n v="411"/>
    <n v="843"/>
    <n v="391"/>
    <s v="BR"/>
    <s v="Brent"/>
    <n v="2015"/>
    <n v="13"/>
    <n v="4.0999999999999996"/>
    <n v="100"/>
    <n v="-4"/>
    <x v="1"/>
    <s v="BR"/>
    <s v="AKCOVA"/>
    <s v="Y"/>
  </r>
  <r>
    <n v="412"/>
    <n v="679"/>
    <n v="311"/>
    <s v="Brent"/>
    <s v="BR"/>
    <n v="2015"/>
    <n v="13"/>
    <n v="4.2"/>
    <n v="104"/>
    <n v="4"/>
    <x v="0"/>
    <s v="Brent"/>
    <s v="TEXAROK"/>
    <s v="Y"/>
  </r>
  <r>
    <n v="413"/>
    <n v="580"/>
    <n v="1198"/>
    <s v="Brian"/>
    <s v="David"/>
    <n v="2015"/>
    <n v="13"/>
    <n v="5.0999999999999996"/>
    <n v="72"/>
    <n v="9"/>
    <x v="0"/>
    <s v="Brian"/>
    <s v="TEXAROK"/>
    <s v="N"/>
  </r>
  <r>
    <n v="414"/>
    <n v="950"/>
    <n v="1362"/>
    <s v="David"/>
    <s v="Brian"/>
    <n v="2015"/>
    <n v="13"/>
    <n v="5.2"/>
    <n v="63"/>
    <n v="-9"/>
    <x v="1"/>
    <s v="David"/>
    <s v="TEXAROK"/>
    <s v="N"/>
  </r>
  <r>
    <n v="415"/>
    <n v="1464"/>
    <n v="924"/>
    <s v="Watty"/>
    <s v="Michael"/>
    <n v="2015"/>
    <n v="13"/>
    <n v="6.1"/>
    <n v="81"/>
    <n v="-50"/>
    <x v="1"/>
    <s v="Watty"/>
    <s v="AKCOVA"/>
    <s v="N"/>
  </r>
  <r>
    <n v="416"/>
    <n v="76"/>
    <n v="44"/>
    <s v="Michael"/>
    <s v="Watty"/>
    <n v="2015"/>
    <n v="13"/>
    <n v="6.2"/>
    <n v="131"/>
    <n v="50"/>
    <x v="0"/>
    <s v="Michael"/>
    <s v="AKCOVA"/>
    <s v="N"/>
  </r>
  <r>
    <n v="417"/>
    <n v="664"/>
    <n v="1012"/>
    <s v="Michael"/>
    <s v="Matt"/>
    <n v="2016"/>
    <n v="1"/>
    <n v="1.1000000000000001"/>
    <n v="78"/>
    <n v="5"/>
    <x v="0"/>
    <s v="Michael"/>
    <s v="AKCOVA"/>
    <s v="Y"/>
  </r>
  <r>
    <n v="418"/>
    <n v="867"/>
    <n v="1162"/>
    <s v="Matt"/>
    <s v="Michael"/>
    <n v="2016"/>
    <n v="1"/>
    <n v="1.2"/>
    <n v="73"/>
    <n v="-5"/>
    <x v="1"/>
    <s v="Matt"/>
    <s v="TEXAROK"/>
    <s v="Y"/>
  </r>
  <r>
    <n v="419"/>
    <n v="1427"/>
    <n v="518"/>
    <s v="Abby"/>
    <s v="Russell"/>
    <n v="2016"/>
    <n v="1"/>
    <n v="2.1"/>
    <n v="95"/>
    <n v="-42"/>
    <x v="1"/>
    <s v="Abby"/>
    <s v="AKCOVA"/>
    <s v="Y"/>
  </r>
  <r>
    <n v="420"/>
    <n v="112"/>
    <n v="27"/>
    <s v="Russell"/>
    <s v="Abby"/>
    <n v="2016"/>
    <n v="1"/>
    <n v="2.2000000000000002"/>
    <n v="137"/>
    <n v="42"/>
    <x v="0"/>
    <s v="Russell"/>
    <s v="TEXAROK"/>
    <s v="Y"/>
  </r>
  <r>
    <n v="421"/>
    <n v="664"/>
    <n v="239"/>
    <s v="BR"/>
    <s v="Watty"/>
    <n v="2016"/>
    <n v="1"/>
    <n v="3.1"/>
    <n v="108"/>
    <n v="5"/>
    <x v="0"/>
    <s v="BR"/>
    <s v="AKCOVA"/>
    <s v="N"/>
  </r>
  <r>
    <n v="422"/>
    <n v="867"/>
    <n v="339"/>
    <s v="Watty"/>
    <s v="BR"/>
    <n v="2016"/>
    <n v="1"/>
    <n v="3.2"/>
    <n v="103"/>
    <n v="-5"/>
    <x v="1"/>
    <s v="Watty"/>
    <s v="AKCOVA"/>
    <s v="N"/>
  </r>
  <r>
    <n v="423"/>
    <n v="1113"/>
    <n v="1198"/>
    <s v="Emily"/>
    <s v="David"/>
    <n v="2016"/>
    <n v="1"/>
    <n v="4.0999999999999996"/>
    <n v="72"/>
    <n v="-18"/>
    <x v="1"/>
    <s v="Emily"/>
    <s v="TEXAROK"/>
    <s v="N"/>
  </r>
  <r>
    <n v="424"/>
    <n v="413"/>
    <n v="651"/>
    <s v="David"/>
    <s v="Emily"/>
    <n v="2016"/>
    <n v="1"/>
    <n v="4.2"/>
    <n v="90"/>
    <n v="18"/>
    <x v="0"/>
    <s v="David"/>
    <s v="TEXAROK"/>
    <s v="N"/>
  </r>
  <r>
    <n v="425"/>
    <n v="349"/>
    <n v="288"/>
    <s v="Brent"/>
    <s v="Mark"/>
    <n v="2016"/>
    <n v="1"/>
    <n v="5.0999999999999996"/>
    <n v="105"/>
    <n v="21"/>
    <x v="0"/>
    <s v="Brent"/>
    <s v="TEXAROK"/>
    <s v="Y"/>
  </r>
  <r>
    <n v="426"/>
    <n v="1173"/>
    <n v="819"/>
    <s v="Mark"/>
    <s v="Brent"/>
    <n v="2016"/>
    <n v="1"/>
    <n v="5.2"/>
    <n v="84"/>
    <n v="-21"/>
    <x v="1"/>
    <s v="Mark"/>
    <s v="AKCOVA"/>
    <s v="Y"/>
  </r>
  <r>
    <n v="427"/>
    <n v="4"/>
    <n v="19"/>
    <s v="Charles"/>
    <s v="Brian"/>
    <n v="2016"/>
    <n v="1"/>
    <n v="6.1"/>
    <n v="141"/>
    <n v="87"/>
    <x v="0"/>
    <s v="Charles"/>
    <s v="AKCOVA"/>
    <s v="Y"/>
  </r>
  <r>
    <n v="428"/>
    <n v="1541"/>
    <n v="1478"/>
    <s v="Brian"/>
    <s v="Charles"/>
    <n v="2016"/>
    <n v="1"/>
    <n v="6.2"/>
    <n v="54"/>
    <n v="-87"/>
    <x v="1"/>
    <s v="Brian"/>
    <s v="TEXAROK"/>
    <s v="Y"/>
  </r>
  <r>
    <n v="429"/>
    <n v="1393"/>
    <n v="1478"/>
    <s v="Emily"/>
    <s v="Michael"/>
    <n v="2016"/>
    <n v="2"/>
    <n v="1.1000000000000001"/>
    <n v="54"/>
    <n v="-38"/>
    <x v="1"/>
    <s v="Emily"/>
    <s v="TEXAROK"/>
    <s v="Y"/>
  </r>
  <r>
    <n v="430"/>
    <n v="141"/>
    <n v="599"/>
    <s v="Michael"/>
    <s v="Emily"/>
    <n v="2016"/>
    <n v="2"/>
    <n v="1.2"/>
    <n v="92"/>
    <n v="38"/>
    <x v="0"/>
    <s v="Michael"/>
    <s v="AKCOVA"/>
    <s v="Y"/>
  </r>
  <r>
    <n v="431"/>
    <n v="643"/>
    <n v="1162"/>
    <s v="David"/>
    <s v="Russell"/>
    <n v="2016"/>
    <n v="2"/>
    <n v="2.1"/>
    <n v="73"/>
    <n v="6"/>
    <x v="0"/>
    <s v="David"/>
    <s v="TEXAROK"/>
    <s v="N"/>
  </r>
  <r>
    <n v="432"/>
    <n v="882"/>
    <n v="1306"/>
    <s v="Russell"/>
    <s v="David"/>
    <n v="2016"/>
    <n v="2"/>
    <n v="2.2000000000000002"/>
    <n v="67"/>
    <n v="-6"/>
    <x v="1"/>
    <s v="Russell"/>
    <s v="TEXAROK"/>
    <s v="N"/>
  </r>
  <r>
    <n v="433"/>
    <n v="924"/>
    <n v="673"/>
    <s v="Mark"/>
    <s v="Charles"/>
    <n v="2016"/>
    <n v="2"/>
    <n v="3.1"/>
    <n v="89"/>
    <n v="-8"/>
    <x v="1"/>
    <s v="Mark"/>
    <s v="AKCOVA"/>
    <s v="N"/>
  </r>
  <r>
    <n v="434"/>
    <n v="596"/>
    <n v="461"/>
    <s v="Charles"/>
    <s v="Mark"/>
    <n v="2016"/>
    <n v="2"/>
    <n v="3.2"/>
    <n v="97"/>
    <n v="8"/>
    <x v="0"/>
    <s v="Charles"/>
    <s v="AKCOVA"/>
    <s v="N"/>
  </r>
  <r>
    <n v="435"/>
    <n v="780"/>
    <n v="710"/>
    <s v="Matt"/>
    <s v="Brent"/>
    <n v="2016"/>
    <n v="2"/>
    <n v="4.0999999999999996"/>
    <n v="88"/>
    <n v="-1"/>
    <x v="1"/>
    <s v="Matt"/>
    <s v="TEXAROK"/>
    <s v="N"/>
  </r>
  <r>
    <n v="436"/>
    <n v="741"/>
    <n v="673"/>
    <s v="Brent"/>
    <s v="Matt"/>
    <n v="2016"/>
    <n v="2"/>
    <n v="4.2"/>
    <n v="89"/>
    <n v="1"/>
    <x v="0"/>
    <s v="Brent"/>
    <s v="TEXAROK"/>
    <s v="N"/>
  </r>
  <r>
    <n v="437"/>
    <n v="1148"/>
    <n v="673"/>
    <s v="BR"/>
    <s v="Abby"/>
    <n v="2016"/>
    <n v="2"/>
    <n v="5.0999999999999996"/>
    <n v="89"/>
    <n v="-20"/>
    <x v="1"/>
    <s v="BR"/>
    <s v="AKCOVA"/>
    <s v="N"/>
  </r>
  <r>
    <n v="438"/>
    <n v="373"/>
    <n v="222"/>
    <s v="Abby"/>
    <s v="BR"/>
    <n v="2016"/>
    <n v="2"/>
    <n v="5.2"/>
    <n v="109"/>
    <n v="20"/>
    <x v="0"/>
    <s v="Abby"/>
    <s v="AKCOVA"/>
    <s v="N"/>
  </r>
  <r>
    <n v="439"/>
    <n v="1268"/>
    <n v="572"/>
    <s v="Watty"/>
    <s v="Brian"/>
    <n v="2016"/>
    <n v="2"/>
    <n v="6.1"/>
    <n v="93"/>
    <n v="-27"/>
    <x v="1"/>
    <s v="Watty"/>
    <s v="AKCOVA"/>
    <s v="Y"/>
  </r>
  <r>
    <n v="440"/>
    <n v="260"/>
    <n v="107"/>
    <s v="Brian"/>
    <s v="Watty"/>
    <n v="2016"/>
    <n v="2"/>
    <n v="6.2"/>
    <n v="120"/>
    <n v="27"/>
    <x v="0"/>
    <s v="Brian"/>
    <s v="TEXAROK"/>
    <s v="Y"/>
  </r>
  <r>
    <n v="441"/>
    <n v="1528"/>
    <n v="1465"/>
    <s v="Michael"/>
    <s v="Brent"/>
    <n v="2016"/>
    <n v="3"/>
    <n v="1.1000000000000001"/>
    <n v="56"/>
    <n v="-72"/>
    <x v="1"/>
    <s v="Michael"/>
    <s v="AKCOVA"/>
    <s v="Y"/>
  </r>
  <r>
    <n v="442"/>
    <n v="16"/>
    <n v="58"/>
    <s v="Brent"/>
    <s v="Michael"/>
    <n v="2016"/>
    <n v="3"/>
    <n v="1.2"/>
    <n v="128"/>
    <n v="72"/>
    <x v="0"/>
    <s v="Brent"/>
    <s v="TEXAROK"/>
    <s v="Y"/>
  </r>
  <r>
    <n v="443"/>
    <n v="247"/>
    <n v="138"/>
    <s v="David"/>
    <s v="Matt"/>
    <n v="2016"/>
    <n v="3"/>
    <n v="2.1"/>
    <n v="116"/>
    <n v="28"/>
    <x v="0"/>
    <s v="David"/>
    <s v="TEXAROK"/>
    <s v="N"/>
  </r>
  <r>
    <n v="444"/>
    <n v="1286"/>
    <n v="710"/>
    <s v="Matt"/>
    <s v="David"/>
    <n v="2016"/>
    <n v="3"/>
    <n v="2.2000000000000002"/>
    <n v="88"/>
    <n v="-28"/>
    <x v="1"/>
    <s v="Matt"/>
    <s v="TEXAROK"/>
    <s v="N"/>
  </r>
  <r>
    <n v="445"/>
    <n v="1222"/>
    <n v="1243"/>
    <s v="Brian"/>
    <s v="BR"/>
    <n v="2016"/>
    <n v="3"/>
    <n v="3.1"/>
    <n v="70"/>
    <n v="-24"/>
    <x v="1"/>
    <s v="Brian"/>
    <s v="TEXAROK"/>
    <s v="Y"/>
  </r>
  <r>
    <n v="446"/>
    <n v="310"/>
    <n v="544"/>
    <s v="BR"/>
    <s v="Brian"/>
    <n v="2016"/>
    <n v="3"/>
    <n v="3.2"/>
    <n v="94"/>
    <n v="24"/>
    <x v="0"/>
    <s v="BR"/>
    <s v="AKCOVA"/>
    <s v="Y"/>
  </r>
  <r>
    <n v="447"/>
    <n v="1393"/>
    <n v="599"/>
    <s v="Russell"/>
    <s v="Emily"/>
    <n v="2016"/>
    <n v="3"/>
    <n v="4.0999999999999996"/>
    <n v="92"/>
    <n v="-38"/>
    <x v="1"/>
    <s v="Russell"/>
    <s v="TEXAROK"/>
    <s v="N"/>
  </r>
  <r>
    <n v="448"/>
    <n v="141"/>
    <n v="48"/>
    <s v="Emily"/>
    <s v="Russell"/>
    <n v="2016"/>
    <n v="3"/>
    <n v="4.2"/>
    <n v="130"/>
    <n v="38"/>
    <x v="0"/>
    <s v="Emily"/>
    <s v="TEXAROK"/>
    <s v="N"/>
  </r>
  <r>
    <n v="449"/>
    <n v="178"/>
    <n v="311"/>
    <s v="Abby"/>
    <s v="Charles"/>
    <n v="2016"/>
    <n v="3"/>
    <n v="5.0999999999999996"/>
    <n v="104"/>
    <n v="34"/>
    <x v="0"/>
    <s v="Abby"/>
    <s v="AKCOVA"/>
    <s v="N"/>
  </r>
  <r>
    <n v="450"/>
    <n v="1362"/>
    <n v="1243"/>
    <s v="Charles"/>
    <s v="Abby"/>
    <n v="2016"/>
    <n v="3"/>
    <n v="5.2"/>
    <n v="70"/>
    <n v="-34"/>
    <x v="1"/>
    <s v="Charles"/>
    <s v="AKCOVA"/>
    <s v="N"/>
  </r>
  <r>
    <n v="451"/>
    <n v="1255"/>
    <n v="1044"/>
    <s v="Watty"/>
    <s v="Mark"/>
    <n v="2016"/>
    <n v="3"/>
    <n v="6.1"/>
    <n v="77"/>
    <n v="-26"/>
    <x v="1"/>
    <s v="Watty"/>
    <s v="AKCOVA"/>
    <s v="N"/>
  </r>
  <r>
    <n v="452"/>
    <n v="278"/>
    <n v="339"/>
    <s v="Mark"/>
    <s v="Watty"/>
    <n v="2016"/>
    <n v="3"/>
    <n v="6.2"/>
    <n v="103"/>
    <n v="26"/>
    <x v="0"/>
    <s v="Mark"/>
    <s v="AKCOVA"/>
    <s v="N"/>
  </r>
  <r>
    <n v="453"/>
    <n v="622"/>
    <n v="768"/>
    <s v="Russell"/>
    <s v="Michael"/>
    <n v="2016"/>
    <n v="4"/>
    <n v="1.1000000000000001"/>
    <n v="86"/>
    <n v="7"/>
    <x v="0"/>
    <s v="Russell"/>
    <s v="TEXAROK"/>
    <s v="Y"/>
  </r>
  <r>
    <n v="454"/>
    <n v="903"/>
    <n v="984"/>
    <s v="Michael"/>
    <s v="Russell"/>
    <n v="2016"/>
    <n v="4"/>
    <n v="1.2"/>
    <n v="79"/>
    <n v="-7"/>
    <x v="1"/>
    <s v="Michael"/>
    <s v="AKCOVA"/>
    <s v="Y"/>
  </r>
  <r>
    <n v="455"/>
    <n v="1461"/>
    <n v="1265"/>
    <s v="Emily"/>
    <s v="Matt"/>
    <n v="2016"/>
    <n v="4"/>
    <n v="2.1"/>
    <n v="69"/>
    <n v="-48"/>
    <x v="1"/>
    <s v="Emily"/>
    <s v="TEXAROK"/>
    <s v="N"/>
  </r>
  <r>
    <n v="456"/>
    <n v="84"/>
    <n v="130"/>
    <s v="Matt"/>
    <s v="Emily"/>
    <n v="2016"/>
    <n v="4"/>
    <n v="2.2000000000000002"/>
    <n v="117"/>
    <n v="48"/>
    <x v="0"/>
    <s v="Matt"/>
    <s v="TEXAROK"/>
    <s v="N"/>
  </r>
  <r>
    <n v="457"/>
    <n v="1002"/>
    <n v="414"/>
    <s v="Charles"/>
    <s v="Watty"/>
    <n v="2016"/>
    <n v="4"/>
    <n v="3.1"/>
    <n v="99"/>
    <n v="-12"/>
    <x v="1"/>
    <s v="Charles"/>
    <s v="AKCOVA"/>
    <s v="N"/>
  </r>
  <r>
    <n v="458"/>
    <n v="525"/>
    <n v="192"/>
    <s v="Watty"/>
    <s v="Charles"/>
    <n v="2016"/>
    <n v="4"/>
    <n v="3.2"/>
    <n v="111"/>
    <n v="12"/>
    <x v="0"/>
    <s v="Watty"/>
    <s v="AKCOVA"/>
    <s v="N"/>
  </r>
  <r>
    <n v="459"/>
    <n v="141"/>
    <n v="257"/>
    <s v="Brent"/>
    <s v="David"/>
    <n v="2016"/>
    <n v="4"/>
    <n v="4.0999999999999996"/>
    <n v="107"/>
    <n v="38"/>
    <x v="0"/>
    <s v="Brent"/>
    <s v="TEXAROK"/>
    <s v="N"/>
  </r>
  <r>
    <n v="460"/>
    <n v="1393"/>
    <n v="1265"/>
    <s v="David"/>
    <s v="Brent"/>
    <n v="2016"/>
    <n v="4"/>
    <n v="4.2"/>
    <n v="69"/>
    <n v="-38"/>
    <x v="1"/>
    <s v="David"/>
    <s v="TEXAROK"/>
    <s v="N"/>
  </r>
  <r>
    <n v="461"/>
    <n v="867"/>
    <n v="1398"/>
    <s v="Brian"/>
    <s v="Abby"/>
    <n v="2016"/>
    <n v="4"/>
    <n v="5.0999999999999996"/>
    <n v="61"/>
    <n v="-5"/>
    <x v="1"/>
    <s v="Brian"/>
    <s v="TEXAROK"/>
    <s v="Y"/>
  </r>
  <r>
    <n v="462"/>
    <n v="664"/>
    <n v="1319"/>
    <s v="Abby"/>
    <s v="Brian"/>
    <n v="2016"/>
    <n v="4"/>
    <n v="5.2"/>
    <n v="66"/>
    <n v="5"/>
    <x v="0"/>
    <s v="Abby"/>
    <s v="AKCOVA"/>
    <s v="Y"/>
  </r>
  <r>
    <n v="463"/>
    <n v="664"/>
    <n v="493"/>
    <s v="BR"/>
    <s v="Mark"/>
    <n v="2016"/>
    <n v="4"/>
    <n v="6.1"/>
    <n v="96"/>
    <n v="5"/>
    <x v="0"/>
    <s v="BR"/>
    <s v="AKCOVA"/>
    <s v="N"/>
  </r>
  <r>
    <n v="464"/>
    <n v="867"/>
    <n v="627"/>
    <s v="Mark"/>
    <s v="BR"/>
    <n v="2016"/>
    <n v="4"/>
    <n v="6.2"/>
    <n v="91"/>
    <n v="-5"/>
    <x v="1"/>
    <s v="Mark"/>
    <s v="AKCOVA"/>
    <s v="N"/>
  </r>
  <r>
    <n v="465"/>
    <n v="503"/>
    <n v="493"/>
    <s v="Michael"/>
    <s v="David"/>
    <n v="2016"/>
    <n v="5"/>
    <n v="1.1000000000000001"/>
    <n v="96"/>
    <n v="13"/>
    <x v="0"/>
    <s v="Michael"/>
    <s v="AKCOVA"/>
    <s v="Y"/>
  </r>
  <r>
    <n v="466"/>
    <n v="1021"/>
    <n v="852"/>
    <s v="David"/>
    <s v="Michael"/>
    <n v="2016"/>
    <n v="5"/>
    <n v="1.2"/>
    <n v="83"/>
    <n v="-13"/>
    <x v="1"/>
    <s v="David"/>
    <s v="TEXAROK"/>
    <s v="Y"/>
  </r>
  <r>
    <n v="467"/>
    <n v="1148"/>
    <n v="1198"/>
    <s v="Emily"/>
    <s v="Brent"/>
    <n v="2016"/>
    <n v="5"/>
    <n v="2.1"/>
    <n v="72"/>
    <n v="-20"/>
    <x v="1"/>
    <s v="Emily"/>
    <s v="TEXAROK"/>
    <s v="N"/>
  </r>
  <r>
    <n v="468"/>
    <n v="373"/>
    <n v="599"/>
    <s v="Brent"/>
    <s v="Emily"/>
    <n v="2016"/>
    <n v="5"/>
    <n v="2.2000000000000002"/>
    <n v="92"/>
    <n v="20"/>
    <x v="0"/>
    <s v="Brent"/>
    <s v="TEXAROK"/>
    <s v="N"/>
  </r>
  <r>
    <n v="469"/>
    <n v="278"/>
    <n v="883"/>
    <s v="Mark"/>
    <s v="Brian"/>
    <n v="2016"/>
    <n v="5"/>
    <n v="3.1"/>
    <n v="82"/>
    <n v="26"/>
    <x v="0"/>
    <s v="Mark"/>
    <s v="AKCOVA"/>
    <s v="Y"/>
  </r>
  <r>
    <n v="470"/>
    <n v="1255"/>
    <n v="1465"/>
    <s v="Brian"/>
    <s v="Mark"/>
    <n v="2016"/>
    <n v="5"/>
    <n v="3.2"/>
    <n v="56"/>
    <n v="-26"/>
    <x v="1"/>
    <s v="Brian"/>
    <s v="TEXAROK"/>
    <s v="Y"/>
  </r>
  <r>
    <n v="471"/>
    <n v="141"/>
    <n v="98"/>
    <s v="Matt"/>
    <s v="Russell"/>
    <n v="2016"/>
    <n v="5"/>
    <n v="4.0999999999999996"/>
    <n v="121"/>
    <n v="38"/>
    <x v="0"/>
    <s v="Matt"/>
    <s v="TEXAROK"/>
    <s v="N"/>
  </r>
  <r>
    <n v="472"/>
    <n v="1393"/>
    <n v="852"/>
    <s v="Russell"/>
    <s v="Matt"/>
    <n v="2016"/>
    <n v="5"/>
    <n v="4.2"/>
    <n v="83"/>
    <n v="-38"/>
    <x v="1"/>
    <s v="Russell"/>
    <s v="TEXAROK"/>
    <s v="N"/>
  </r>
  <r>
    <n v="473"/>
    <n v="1382"/>
    <n v="1135"/>
    <s v="Abby"/>
    <s v="Watty"/>
    <n v="2016"/>
    <n v="5"/>
    <n v="5.0999999999999996"/>
    <n v="74"/>
    <n v="-37"/>
    <x v="1"/>
    <s v="Abby"/>
    <s v="AKCOVA"/>
    <s v="N"/>
  </r>
  <r>
    <n v="474"/>
    <n v="153"/>
    <n v="192"/>
    <s v="Watty"/>
    <s v="Abby"/>
    <n v="2016"/>
    <n v="5"/>
    <n v="5.2"/>
    <n v="111"/>
    <n v="37"/>
    <x v="0"/>
    <s v="Watty"/>
    <s v="AKCOVA"/>
    <s v="N"/>
  </r>
  <r>
    <n v="475"/>
    <n v="525"/>
    <n v="192"/>
    <s v="BR"/>
    <s v="Charles"/>
    <n v="2016"/>
    <n v="5"/>
    <n v="6.1"/>
    <n v="111"/>
    <n v="12"/>
    <x v="0"/>
    <s v="BR"/>
    <s v="AKCOVA"/>
    <s v="N"/>
  </r>
  <r>
    <n v="476"/>
    <n v="1002"/>
    <n v="414"/>
    <s v="Charles"/>
    <s v="BR"/>
    <n v="2016"/>
    <n v="5"/>
    <n v="6.2"/>
    <n v="99"/>
    <n v="-12"/>
    <x v="1"/>
    <s v="Charles"/>
    <s v="AKCOVA"/>
    <s v="N"/>
  </r>
  <r>
    <n v="477"/>
    <n v="72"/>
    <n v="544"/>
    <s v="Abby"/>
    <s v="Michael"/>
    <n v="2016"/>
    <n v="6"/>
    <n v="1.1000000000000001"/>
    <n v="94"/>
    <n v="51"/>
    <x v="0"/>
    <s v="Abby"/>
    <s v="AKCOVA"/>
    <s v="N"/>
  </r>
  <r>
    <n v="478"/>
    <n v="1470"/>
    <n v="1531"/>
    <s v="Michael"/>
    <s v="Abby"/>
    <n v="2016"/>
    <n v="6"/>
    <n v="1.2"/>
    <n v="43"/>
    <n v="-51"/>
    <x v="1"/>
    <s v="Michael"/>
    <s v="AKCOVA"/>
    <s v="N"/>
  </r>
  <r>
    <n v="479"/>
    <n v="903"/>
    <n v="439"/>
    <s v="BR"/>
    <s v="Emily"/>
    <n v="2016"/>
    <n v="6"/>
    <n v="2.1"/>
    <n v="98"/>
    <n v="-7"/>
    <x v="1"/>
    <s v="BR"/>
    <s v="AKCOVA"/>
    <s v="Y"/>
  </r>
  <r>
    <n v="480"/>
    <n v="622"/>
    <n v="288"/>
    <s v="Emily"/>
    <s v="BR"/>
    <n v="2016"/>
    <n v="6"/>
    <n v="2.2000000000000002"/>
    <n v="105"/>
    <n v="7"/>
    <x v="0"/>
    <s v="Emily"/>
    <s v="TEXAROK"/>
    <s v="Y"/>
  </r>
  <r>
    <n v="481"/>
    <n v="1464"/>
    <n v="1478"/>
    <s v="Brian"/>
    <s v="Russell"/>
    <n v="2016"/>
    <n v="6"/>
    <n v="3.1"/>
    <n v="54"/>
    <n v="-50"/>
    <x v="1"/>
    <s v="Brian"/>
    <s v="TEXAROK"/>
    <s v="N"/>
  </r>
  <r>
    <n v="482"/>
    <n v="76"/>
    <n v="311"/>
    <s v="Russell"/>
    <s v="Brian"/>
    <n v="2016"/>
    <n v="6"/>
    <n v="3.2"/>
    <n v="104"/>
    <n v="50"/>
    <x v="0"/>
    <s v="Russell"/>
    <s v="TEXAROK"/>
    <s v="N"/>
  </r>
  <r>
    <n v="483"/>
    <n v="1173"/>
    <n v="1224"/>
    <s v="Mark"/>
    <s v="Matt"/>
    <n v="2016"/>
    <n v="6"/>
    <n v="4.0999999999999996"/>
    <n v="71"/>
    <n v="-21"/>
    <x v="1"/>
    <s v="Mark"/>
    <s v="AKCOVA"/>
    <s v="Y"/>
  </r>
  <r>
    <n v="484"/>
    <n v="349"/>
    <n v="599"/>
    <s v="Matt"/>
    <s v="Mark"/>
    <n v="2016"/>
    <n v="6"/>
    <n v="4.2"/>
    <n v="92"/>
    <n v="21"/>
    <x v="0"/>
    <s v="Matt"/>
    <s v="TEXAROK"/>
    <s v="Y"/>
  </r>
  <r>
    <n v="485"/>
    <n v="1326"/>
    <n v="796"/>
    <s v="Charles"/>
    <s v="Brent"/>
    <n v="2016"/>
    <n v="6"/>
    <n v="5.0999999999999996"/>
    <n v="85"/>
    <n v="-31"/>
    <x v="1"/>
    <s v="Charles"/>
    <s v="AKCOVA"/>
    <s v="Y"/>
  </r>
  <r>
    <n v="486"/>
    <n v="205"/>
    <n v="138"/>
    <s v="Brent"/>
    <s v="Charles"/>
    <n v="2016"/>
    <n v="6"/>
    <n v="5.2"/>
    <n v="116"/>
    <n v="31"/>
    <x v="0"/>
    <s v="Brent"/>
    <s v="TEXAROK"/>
    <s v="Y"/>
  </r>
  <r>
    <n v="487"/>
    <n v="1236"/>
    <n v="1498"/>
    <s v="Watty"/>
    <s v="David"/>
    <n v="2016"/>
    <n v="6"/>
    <n v="6.1"/>
    <n v="51"/>
    <n v="-25"/>
    <x v="1"/>
    <s v="Watty"/>
    <s v="AKCOVA"/>
    <s v="Y"/>
  </r>
  <r>
    <n v="488"/>
    <n v="291"/>
    <n v="1076"/>
    <s v="David"/>
    <s v="Watty"/>
    <n v="2016"/>
    <n v="6"/>
    <n v="6.2"/>
    <n v="76"/>
    <n v="25"/>
    <x v="0"/>
    <s v="David"/>
    <s v="TEXAROK"/>
    <s v="Y"/>
  </r>
  <r>
    <n v="489"/>
    <n v="1236"/>
    <n v="796"/>
    <s v="Michael"/>
    <s v="Watty"/>
    <n v="2016"/>
    <n v="7"/>
    <n v="1.1000000000000001"/>
    <n v="85"/>
    <n v="-25"/>
    <x v="1"/>
    <s v="Michael"/>
    <s v="AKCOVA"/>
    <s v="N"/>
  </r>
  <r>
    <n v="490"/>
    <n v="291"/>
    <n v="207"/>
    <s v="Watty"/>
    <s v="Michael"/>
    <n v="2016"/>
    <n v="7"/>
    <n v="1.2"/>
    <n v="110"/>
    <n v="25"/>
    <x v="0"/>
    <s v="Watty"/>
    <s v="AKCOVA"/>
    <s v="N"/>
  </r>
  <r>
    <n v="491"/>
    <n v="184"/>
    <n v="796"/>
    <s v="Emily"/>
    <s v="Mark"/>
    <n v="2016"/>
    <n v="7"/>
    <n v="2.1"/>
    <n v="85"/>
    <n v="33"/>
    <x v="0"/>
    <s v="Emily"/>
    <s v="TEXAROK"/>
    <s v="Y"/>
  </r>
  <r>
    <n v="492"/>
    <n v="1352"/>
    <n v="1492"/>
    <s v="Mark"/>
    <s v="Emily"/>
    <n v="2016"/>
    <n v="7"/>
    <n v="2.2000000000000002"/>
    <n v="52"/>
    <n v="-33"/>
    <x v="1"/>
    <s v="Mark"/>
    <s v="AKCOVA"/>
    <s v="Y"/>
  </r>
  <r>
    <n v="493"/>
    <n v="1506"/>
    <n v="1243"/>
    <s v="Russell"/>
    <s v="Charles"/>
    <n v="2016"/>
    <n v="7"/>
    <n v="3.1"/>
    <n v="70"/>
    <n v="-60"/>
    <x v="1"/>
    <s v="Russell"/>
    <s v="TEXAROK"/>
    <s v="Y"/>
  </r>
  <r>
    <n v="494"/>
    <n v="37"/>
    <n v="48"/>
    <s v="Charles"/>
    <s v="Russell"/>
    <n v="2016"/>
    <n v="7"/>
    <n v="3.2"/>
    <n v="130"/>
    <n v="60"/>
    <x v="0"/>
    <s v="Charles"/>
    <s v="AKCOVA"/>
    <s v="Y"/>
  </r>
  <r>
    <n v="495"/>
    <n v="622"/>
    <n v="741"/>
    <s v="Matt"/>
    <s v="Abby"/>
    <n v="2016"/>
    <n v="7"/>
    <n v="4.0999999999999996"/>
    <n v="87"/>
    <n v="7"/>
    <x v="0"/>
    <s v="Matt"/>
    <s v="TEXAROK"/>
    <s v="Y"/>
  </r>
  <r>
    <n v="496"/>
    <n v="903"/>
    <n v="956"/>
    <s v="Abby"/>
    <s v="Matt"/>
    <n v="2016"/>
    <n v="7"/>
    <n v="4.2"/>
    <n v="80"/>
    <n v="-7"/>
    <x v="1"/>
    <s v="Abby"/>
    <s v="AKCOVA"/>
    <s v="Y"/>
  </r>
  <r>
    <n v="497"/>
    <n v="153"/>
    <n v="239"/>
    <s v="Brent"/>
    <s v="BR"/>
    <n v="2016"/>
    <n v="7"/>
    <n v="5.0999999999999996"/>
    <n v="108"/>
    <n v="37"/>
    <x v="0"/>
    <s v="Brent"/>
    <s v="TEXAROK"/>
    <s v="Y"/>
  </r>
  <r>
    <n v="498"/>
    <n v="1382"/>
    <n v="1224"/>
    <s v="BR"/>
    <s v="Brent"/>
    <n v="2016"/>
    <n v="7"/>
    <n v="5.2"/>
    <n v="71"/>
    <n v="-37"/>
    <x v="1"/>
    <s v="BR"/>
    <s v="AKCOVA"/>
    <s v="Y"/>
  </r>
  <r>
    <n v="499"/>
    <n v="780"/>
    <n v="493"/>
    <s v="David"/>
    <s v="Brian"/>
    <n v="2016"/>
    <n v="7"/>
    <n v="6.1"/>
    <n v="96"/>
    <n v="-1"/>
    <x v="1"/>
    <s v="David"/>
    <s v="TEXAROK"/>
    <s v="N"/>
  </r>
  <r>
    <n v="500"/>
    <n v="741"/>
    <n v="461"/>
    <s v="Brian"/>
    <s v="David"/>
    <n v="2016"/>
    <n v="7"/>
    <n v="6.2"/>
    <n v="97"/>
    <n v="1"/>
    <x v="0"/>
    <s v="Brian"/>
    <s v="TEXAROK"/>
    <s v="N"/>
  </r>
  <r>
    <n v="501"/>
    <n v="373"/>
    <n v="883"/>
    <s v="Brian"/>
    <s v="Michael"/>
    <n v="2016"/>
    <n v="8"/>
    <n v="1.1000000000000001"/>
    <n v="82"/>
    <n v="20"/>
    <x v="0"/>
    <s v="Brian"/>
    <s v="TEXAROK"/>
    <s v="Y"/>
  </r>
  <r>
    <n v="502"/>
    <n v="1148"/>
    <n v="1383"/>
    <s v="Michael"/>
    <s v="Brian"/>
    <n v="2016"/>
    <n v="8"/>
    <n v="1.2"/>
    <n v="62"/>
    <n v="-20"/>
    <x v="1"/>
    <s v="Michael"/>
    <s v="AKCOVA"/>
    <s v="Y"/>
  </r>
  <r>
    <n v="503"/>
    <n v="1079"/>
    <n v="651"/>
    <s v="Mark"/>
    <s v="Brent"/>
    <n v="2016"/>
    <n v="8"/>
    <n v="2.1"/>
    <n v="90"/>
    <n v="-16"/>
    <x v="1"/>
    <s v="Mark"/>
    <s v="AKCOVA"/>
    <s v="Y"/>
  </r>
  <r>
    <n v="504"/>
    <n v="451"/>
    <n v="271"/>
    <s v="Brent"/>
    <s v="Mark"/>
    <n v="2016"/>
    <n v="8"/>
    <n v="2.2000000000000002"/>
    <n v="106"/>
    <n v="16"/>
    <x v="0"/>
    <s v="Brent"/>
    <s v="TEXAROK"/>
    <s v="Y"/>
  </r>
  <r>
    <n v="505"/>
    <n v="903"/>
    <n v="1076"/>
    <s v="Charles"/>
    <s v="David"/>
    <n v="2016"/>
    <n v="8"/>
    <n v="3.1"/>
    <n v="76"/>
    <n v="-7"/>
    <x v="1"/>
    <s v="Charles"/>
    <s v="AKCOVA"/>
    <s v="Y"/>
  </r>
  <r>
    <n v="506"/>
    <n v="622"/>
    <n v="852"/>
    <s v="David"/>
    <s v="Charles"/>
    <n v="2016"/>
    <n v="8"/>
    <n v="3.2"/>
    <n v="83"/>
    <n v="7"/>
    <x v="0"/>
    <s v="David"/>
    <s v="TEXAROK"/>
    <s v="Y"/>
  </r>
  <r>
    <n v="507"/>
    <n v="664"/>
    <n v="599"/>
    <s v="Abby"/>
    <s v="Emily"/>
    <n v="2016"/>
    <n v="8"/>
    <n v="4.0999999999999996"/>
    <n v="92"/>
    <n v="5"/>
    <x v="0"/>
    <s v="Abby"/>
    <s v="AKCOVA"/>
    <s v="Y"/>
  </r>
  <r>
    <n v="508"/>
    <n v="867"/>
    <n v="741"/>
    <s v="Emily"/>
    <s v="Abby"/>
    <n v="2016"/>
    <n v="8"/>
    <n v="4.2"/>
    <n v="87"/>
    <n v="-5"/>
    <x v="1"/>
    <s v="Emily"/>
    <s v="TEXAROK"/>
    <s v="Y"/>
  </r>
  <r>
    <n v="509"/>
    <n v="1373"/>
    <n v="1452"/>
    <s v="BR"/>
    <s v="Russell"/>
    <n v="2016"/>
    <n v="8"/>
    <n v="5.0999999999999996"/>
    <n v="57"/>
    <n v="-36"/>
    <x v="1"/>
    <s v="BR"/>
    <s v="AKCOVA"/>
    <s v="Y"/>
  </r>
  <r>
    <n v="510"/>
    <n v="164"/>
    <n v="572"/>
    <s v="Russell"/>
    <s v="BR"/>
    <n v="2016"/>
    <n v="8"/>
    <n v="5.2"/>
    <n v="93"/>
    <n v="36"/>
    <x v="0"/>
    <s v="Russell"/>
    <s v="TEXAROK"/>
    <s v="Y"/>
  </r>
  <r>
    <n v="511"/>
    <n v="741"/>
    <n v="1076"/>
    <s v="Watty"/>
    <s v="Matt"/>
    <n v="2016"/>
    <n v="8"/>
    <n v="6.1"/>
    <n v="76"/>
    <n v="1"/>
    <x v="0"/>
    <s v="Watty"/>
    <s v="AKCOVA"/>
    <s v="Y"/>
  </r>
  <r>
    <n v="512"/>
    <n v="780"/>
    <n v="1117"/>
    <s v="Matt"/>
    <s v="Watty"/>
    <n v="2016"/>
    <n v="8"/>
    <n v="6.2"/>
    <n v="75"/>
    <n v="-1"/>
    <x v="1"/>
    <s v="Matt"/>
    <s v="TEXAROK"/>
    <s v="Y"/>
  </r>
  <r>
    <n v="513"/>
    <n v="1506"/>
    <n v="1498"/>
    <s v="Michael"/>
    <s v="Charles"/>
    <n v="2016"/>
    <n v="9"/>
    <n v="1.1000000000000001"/>
    <n v="51"/>
    <n v="-60"/>
    <x v="1"/>
    <s v="Michael"/>
    <s v="AKCOVA"/>
    <s v="N"/>
  </r>
  <r>
    <n v="514"/>
    <n v="37"/>
    <n v="192"/>
    <s v="Charles"/>
    <s v="Michael"/>
    <n v="2016"/>
    <n v="9"/>
    <n v="1.2"/>
    <n v="111"/>
    <n v="60"/>
    <x v="0"/>
    <s v="Charles"/>
    <s v="AKCOVA"/>
    <s v="N"/>
  </r>
  <r>
    <n v="515"/>
    <n v="413"/>
    <n v="819"/>
    <s v="Russell"/>
    <s v="Mark"/>
    <n v="2016"/>
    <n v="9"/>
    <n v="2.1"/>
    <n v="84"/>
    <n v="18"/>
    <x v="0"/>
    <s v="Russell"/>
    <s v="TEXAROK"/>
    <s v="Y"/>
  </r>
  <r>
    <n v="516"/>
    <n v="1113"/>
    <n v="1319"/>
    <s v="Mark"/>
    <s v="Russell"/>
    <n v="2016"/>
    <n v="9"/>
    <n v="2.2000000000000002"/>
    <n v="66"/>
    <n v="-18"/>
    <x v="1"/>
    <s v="Mark"/>
    <s v="AKCOVA"/>
    <s v="Y"/>
  </r>
  <r>
    <n v="517"/>
    <n v="260"/>
    <n v="391"/>
    <s v="Matt"/>
    <s v="Brian"/>
    <n v="2016"/>
    <n v="9"/>
    <n v="3.1"/>
    <n v="100"/>
    <n v="27"/>
    <x v="0"/>
    <s v="Matt"/>
    <s v="TEXAROK"/>
    <s v="N"/>
  </r>
  <r>
    <n v="518"/>
    <n v="1268"/>
    <n v="1162"/>
    <s v="Brian"/>
    <s v="Matt"/>
    <n v="2016"/>
    <n v="9"/>
    <n v="3.2"/>
    <n v="73"/>
    <n v="-27"/>
    <x v="1"/>
    <s v="Brian"/>
    <s v="TEXAROK"/>
    <s v="N"/>
  </r>
  <r>
    <n v="519"/>
    <n v="236"/>
    <n v="288"/>
    <s v="Brent"/>
    <s v="Abby"/>
    <n v="2016"/>
    <n v="9"/>
    <n v="4.0999999999999996"/>
    <n v="105"/>
    <n v="29"/>
    <x v="0"/>
    <s v="Brent"/>
    <s v="TEXAROK"/>
    <s v="Y"/>
  </r>
  <r>
    <n v="520"/>
    <n v="1299"/>
    <n v="1076"/>
    <s v="Abby"/>
    <s v="Brent"/>
    <n v="2016"/>
    <n v="9"/>
    <n v="4.2"/>
    <n v="76"/>
    <n v="-29"/>
    <x v="1"/>
    <s v="Abby"/>
    <s v="AKCOVA"/>
    <s v="Y"/>
  </r>
  <r>
    <n v="521"/>
    <n v="398"/>
    <n v="852"/>
    <s v="David"/>
    <s v="BR"/>
    <n v="2016"/>
    <n v="9"/>
    <n v="5.0999999999999996"/>
    <n v="83"/>
    <n v="19"/>
    <x v="0"/>
    <s v="David"/>
    <s v="TEXAROK"/>
    <s v="Y"/>
  </r>
  <r>
    <n v="522"/>
    <n v="1133"/>
    <n v="1346"/>
    <s v="BR"/>
    <s v="David"/>
    <n v="2016"/>
    <n v="9"/>
    <n v="5.2"/>
    <n v="64"/>
    <n v="-19"/>
    <x v="1"/>
    <s v="BR"/>
    <s v="AKCOVA"/>
    <s v="Y"/>
  </r>
  <r>
    <n v="523"/>
    <n v="544"/>
    <n v="311"/>
    <s v="Emily"/>
    <s v="Watty"/>
    <n v="2016"/>
    <n v="9"/>
    <n v="6.1"/>
    <n v="104"/>
    <n v="11"/>
    <x v="0"/>
    <s v="Emily"/>
    <s v="TEXAROK"/>
    <s v="Y"/>
  </r>
  <r>
    <n v="524"/>
    <n v="983"/>
    <n v="572"/>
    <s v="Watty"/>
    <s v="Emily"/>
    <n v="2016"/>
    <n v="9"/>
    <n v="6.2"/>
    <n v="93"/>
    <n v="-11"/>
    <x v="1"/>
    <s v="Watty"/>
    <s v="AKCOVA"/>
    <s v="Y"/>
  </r>
  <r>
    <n v="525"/>
    <n v="903"/>
    <n v="1243"/>
    <s v="BR"/>
    <s v="Michael"/>
    <n v="2016"/>
    <n v="10"/>
    <n v="1.1000000000000001"/>
    <n v="70"/>
    <n v="-7"/>
    <x v="1"/>
    <s v="BR"/>
    <s v="AKCOVA"/>
    <s v="N"/>
  </r>
  <r>
    <n v="526"/>
    <n v="622"/>
    <n v="1044"/>
    <s v="Michael"/>
    <s v="BR"/>
    <n v="2016"/>
    <n v="10"/>
    <n v="1.2"/>
    <n v="77"/>
    <n v="7"/>
    <x v="0"/>
    <s v="Michael"/>
    <s v="AKCOVA"/>
    <s v="N"/>
  </r>
  <r>
    <n v="527"/>
    <n v="338"/>
    <n v="651"/>
    <s v="Mark"/>
    <s v="David"/>
    <n v="2016"/>
    <n v="10"/>
    <n v="2.1"/>
    <n v="90"/>
    <n v="22"/>
    <x v="0"/>
    <s v="Mark"/>
    <s v="AKCOVA"/>
    <s v="Y"/>
  </r>
  <r>
    <n v="528"/>
    <n v="1197"/>
    <n v="1288"/>
    <s v="David"/>
    <s v="Mark"/>
    <n v="2016"/>
    <n v="10"/>
    <n v="2.2000000000000002"/>
    <n v="68"/>
    <n v="-22"/>
    <x v="1"/>
    <s v="David"/>
    <s v="TEXAROK"/>
    <s v="Y"/>
  </r>
  <r>
    <n v="529"/>
    <n v="68"/>
    <n v="44"/>
    <s v="Brian"/>
    <s v="Emily"/>
    <n v="2016"/>
    <n v="10"/>
    <n v="3.1"/>
    <n v="131"/>
    <n v="52"/>
    <x v="0"/>
    <s v="Brian"/>
    <s v="TEXAROK"/>
    <s v="N"/>
  </r>
  <r>
    <n v="530"/>
    <n v="1474"/>
    <n v="984"/>
    <s v="Emily"/>
    <s v="Brian"/>
    <n v="2016"/>
    <n v="10"/>
    <n v="3.2"/>
    <n v="79"/>
    <n v="-52"/>
    <x v="1"/>
    <s v="Emily"/>
    <s v="TEXAROK"/>
    <s v="N"/>
  </r>
  <r>
    <n v="531"/>
    <n v="1173"/>
    <n v="599"/>
    <s v="Abby"/>
    <s v="Russell"/>
    <n v="2016"/>
    <n v="10"/>
    <n v="4.0999999999999996"/>
    <n v="92"/>
    <n v="-21"/>
    <x v="1"/>
    <s v="Abby"/>
    <s v="AKCOVA"/>
    <s v="Y"/>
  </r>
  <r>
    <n v="532"/>
    <n v="349"/>
    <n v="163"/>
    <s v="Russell"/>
    <s v="Abby"/>
    <n v="2016"/>
    <n v="10"/>
    <n v="4.2"/>
    <n v="113"/>
    <n v="21"/>
    <x v="0"/>
    <s v="Russell"/>
    <s v="TEXAROK"/>
    <s v="Y"/>
  </r>
  <r>
    <n v="533"/>
    <n v="483"/>
    <n v="493"/>
    <s v="Charles"/>
    <s v="Matt"/>
    <n v="2016"/>
    <n v="10"/>
    <n v="5.0999999999999996"/>
    <n v="96"/>
    <n v="14"/>
    <x v="0"/>
    <s v="Charles"/>
    <s v="AKCOVA"/>
    <s v="Y"/>
  </r>
  <r>
    <n v="534"/>
    <n v="1043"/>
    <n v="883"/>
    <s v="Matt"/>
    <s v="Charles"/>
    <n v="2016"/>
    <n v="10"/>
    <n v="5.2"/>
    <n v="82"/>
    <n v="-14"/>
    <x v="1"/>
    <s v="Matt"/>
    <s v="TEXAROK"/>
    <s v="Y"/>
  </r>
  <r>
    <n v="535"/>
    <n v="1310"/>
    <n v="1135"/>
    <s v="Watty"/>
    <s v="Brent"/>
    <n v="2016"/>
    <n v="10"/>
    <n v="6.1"/>
    <n v="74"/>
    <n v="-30"/>
    <x v="1"/>
    <s v="Watty"/>
    <s v="AKCOVA"/>
    <s v="Y"/>
  </r>
  <r>
    <n v="536"/>
    <n v="220"/>
    <n v="311"/>
    <s v="Brent"/>
    <s v="Watty"/>
    <n v="2016"/>
    <n v="10"/>
    <n v="6.2"/>
    <n v="104"/>
    <n v="30"/>
    <x v="0"/>
    <s v="Brent"/>
    <s v="TEXAROK"/>
    <s v="Y"/>
  </r>
  <r>
    <n v="537"/>
    <n v="1063"/>
    <n v="1135"/>
    <s v="Michael"/>
    <s v="Mark"/>
    <n v="2016"/>
    <n v="11"/>
    <n v="1.1000000000000001"/>
    <n v="74"/>
    <n v="-15"/>
    <x v="1"/>
    <s v="Michael"/>
    <s v="AKCOVA"/>
    <s v="N"/>
  </r>
  <r>
    <n v="538"/>
    <n v="467"/>
    <n v="673"/>
    <s v="Mark"/>
    <s v="Michael"/>
    <n v="2016"/>
    <n v="11"/>
    <n v="1.2"/>
    <n v="89"/>
    <n v="15"/>
    <x v="0"/>
    <s v="Mark"/>
    <s v="AKCOVA"/>
    <s v="N"/>
  </r>
  <r>
    <n v="539"/>
    <n v="525"/>
    <n v="673"/>
    <s v="Matt"/>
    <s v="BR"/>
    <n v="2016"/>
    <n v="11"/>
    <n v="2.1"/>
    <n v="89"/>
    <n v="12"/>
    <x v="0"/>
    <s v="Matt"/>
    <s v="TEXAROK"/>
    <s v="Y"/>
  </r>
  <r>
    <n v="540"/>
    <n v="1002"/>
    <n v="1044"/>
    <s v="BR"/>
    <s v="Matt"/>
    <n v="2016"/>
    <n v="11"/>
    <n v="2.2000000000000002"/>
    <n v="77"/>
    <n v="-12"/>
    <x v="1"/>
    <s v="BR"/>
    <s v="AKCOVA"/>
    <s v="Y"/>
  </r>
  <r>
    <n v="541"/>
    <n v="124"/>
    <n v="74"/>
    <s v="Brent"/>
    <s v="Brian"/>
    <n v="2016"/>
    <n v="11"/>
    <n v="3.1"/>
    <n v="125"/>
    <n v="40"/>
    <x v="0"/>
    <s v="Brent"/>
    <s v="TEXAROK"/>
    <s v="N"/>
  </r>
  <r>
    <n v="542"/>
    <n v="1412"/>
    <n v="796"/>
    <s v="Brian"/>
    <s v="Brent"/>
    <n v="2016"/>
    <n v="11"/>
    <n v="3.2"/>
    <n v="85"/>
    <n v="-40"/>
    <x v="1"/>
    <s v="Brian"/>
    <s v="TEXAROK"/>
    <s v="N"/>
  </r>
  <r>
    <n v="543"/>
    <n v="1021"/>
    <n v="1224"/>
    <s v="David"/>
    <s v="Abby"/>
    <n v="2016"/>
    <n v="11"/>
    <n v="4.0999999999999996"/>
    <n v="71"/>
    <n v="-13"/>
    <x v="1"/>
    <s v="David"/>
    <s v="TEXAROK"/>
    <s v="Y"/>
  </r>
  <r>
    <n v="544"/>
    <n v="503"/>
    <n v="819"/>
    <s v="Abby"/>
    <s v="David"/>
    <n v="2016"/>
    <n v="11"/>
    <n v="4.2"/>
    <n v="84"/>
    <n v="13"/>
    <x v="0"/>
    <s v="Abby"/>
    <s v="AKCOVA"/>
    <s v="Y"/>
  </r>
  <r>
    <n v="545"/>
    <n v="805"/>
    <n v="1135"/>
    <s v="Emily"/>
    <s v="Charles"/>
    <n v="2016"/>
    <n v="11"/>
    <n v="5.0999999999999996"/>
    <n v="74"/>
    <n v="-2"/>
    <x v="1"/>
    <s v="Emily"/>
    <s v="TEXAROK"/>
    <s v="Y"/>
  </r>
  <r>
    <n v="546"/>
    <n v="723"/>
    <n v="1076"/>
    <s v="Charles"/>
    <s v="Emily"/>
    <n v="2016"/>
    <n v="11"/>
    <n v="5.2"/>
    <n v="76"/>
    <n v="2"/>
    <x v="0"/>
    <s v="Charles"/>
    <s v="AKCOVA"/>
    <s v="Y"/>
  </r>
  <r>
    <n v="547"/>
    <n v="679"/>
    <n v="1044"/>
    <s v="Russell"/>
    <s v="Watty"/>
    <n v="2016"/>
    <n v="11"/>
    <n v="6.1"/>
    <n v="77"/>
    <n v="4"/>
    <x v="0"/>
    <s v="Russell"/>
    <s v="TEXAROK"/>
    <s v="Y"/>
  </r>
  <r>
    <n v="548"/>
    <n v="843"/>
    <n v="1162"/>
    <s v="Watty"/>
    <s v="Russell"/>
    <n v="2016"/>
    <n v="11"/>
    <n v="6.2"/>
    <n v="73"/>
    <n v="-4"/>
    <x v="1"/>
    <s v="Watty"/>
    <s v="AKCOVA"/>
    <s v="Y"/>
  </r>
  <r>
    <n v="549"/>
    <n v="236"/>
    <n v="414"/>
    <s v="Michael"/>
    <s v="Abby"/>
    <n v="2016"/>
    <n v="12"/>
    <n v="1.1000000000000001"/>
    <n v="99"/>
    <n v="29"/>
    <x v="0"/>
    <s v="Michael"/>
    <s v="AKCOVA"/>
    <s v="N"/>
  </r>
  <r>
    <n v="550"/>
    <n v="1299"/>
    <n v="1243"/>
    <s v="Abby"/>
    <s v="Michael"/>
    <n v="2016"/>
    <n v="12"/>
    <n v="1.2"/>
    <n v="70"/>
    <n v="-29"/>
    <x v="1"/>
    <s v="Abby"/>
    <s v="AKCOVA"/>
    <s v="N"/>
  </r>
  <r>
    <n v="551"/>
    <n v="324"/>
    <n v="155"/>
    <s v="Emily"/>
    <s v="BR"/>
    <n v="2016"/>
    <n v="12"/>
    <n v="2.1"/>
    <n v="114"/>
    <n v="23"/>
    <x v="0"/>
    <s v="Emily"/>
    <s v="TEXAROK"/>
    <s v="Y"/>
  </r>
  <r>
    <n v="552"/>
    <n v="1208"/>
    <n v="627"/>
    <s v="BR"/>
    <s v="Emily"/>
    <n v="2016"/>
    <n v="12"/>
    <n v="2.2000000000000002"/>
    <n v="91"/>
    <n v="-23"/>
    <x v="1"/>
    <s v="BR"/>
    <s v="AKCOVA"/>
    <s v="Y"/>
  </r>
  <r>
    <n v="553"/>
    <n v="236"/>
    <n v="357"/>
    <s v="Russell"/>
    <s v="Brian"/>
    <n v="2016"/>
    <n v="12"/>
    <n v="3.1"/>
    <n v="102"/>
    <n v="29"/>
    <x v="0"/>
    <s v="Russell"/>
    <s v="TEXAROK"/>
    <s v="N"/>
  </r>
  <r>
    <n v="554"/>
    <n v="1299"/>
    <n v="1162"/>
    <s v="Brian"/>
    <s v="Russell"/>
    <n v="2016"/>
    <n v="12"/>
    <n v="3.2"/>
    <n v="73"/>
    <n v="-29"/>
    <x v="1"/>
    <s v="Brian"/>
    <s v="TEXAROK"/>
    <s v="N"/>
  </r>
  <r>
    <n v="555"/>
    <n v="43"/>
    <n v="288"/>
    <s v="Matt"/>
    <s v="Mark"/>
    <n v="2016"/>
    <n v="12"/>
    <n v="4.0999999999999996"/>
    <n v="105"/>
    <n v="58"/>
    <x v="0"/>
    <s v="Matt"/>
    <s v="TEXAROK"/>
    <s v="Y"/>
  </r>
  <r>
    <n v="556"/>
    <n v="1495"/>
    <n v="1520"/>
    <s v="Mark"/>
    <s v="Matt"/>
    <n v="2016"/>
    <n v="12"/>
    <n v="4.2"/>
    <n v="47"/>
    <n v="-58"/>
    <x v="1"/>
    <s v="Mark"/>
    <s v="AKCOVA"/>
    <s v="Y"/>
  </r>
  <r>
    <n v="557"/>
    <n v="1043"/>
    <n v="599"/>
    <s v="Brent"/>
    <s v="Charles"/>
    <n v="2016"/>
    <n v="12"/>
    <n v="5.0999999999999996"/>
    <n v="92"/>
    <n v="-14"/>
    <x v="1"/>
    <s v="Brent"/>
    <s v="TEXAROK"/>
    <s v="Y"/>
  </r>
  <r>
    <n v="558"/>
    <n v="483"/>
    <n v="271"/>
    <s v="Charles"/>
    <s v="Brent"/>
    <n v="2016"/>
    <n v="12"/>
    <n v="5.2"/>
    <n v="106"/>
    <n v="14"/>
    <x v="0"/>
    <s v="Charles"/>
    <s v="AKCOVA"/>
    <s v="Y"/>
  </r>
  <r>
    <n v="559"/>
    <n v="373"/>
    <n v="493"/>
    <s v="David"/>
    <s v="Watty"/>
    <n v="2016"/>
    <n v="12"/>
    <n v="6.1"/>
    <n v="96"/>
    <n v="20"/>
    <x v="0"/>
    <s v="David"/>
    <s v="TEXAROK"/>
    <s v="Y"/>
  </r>
  <r>
    <n v="560"/>
    <n v="1148"/>
    <n v="1076"/>
    <s v="Watty"/>
    <s v="David"/>
    <n v="2016"/>
    <n v="12"/>
    <n v="6.2"/>
    <n v="76"/>
    <n v="-20"/>
    <x v="1"/>
    <s v="Watty"/>
    <s v="AKCOVA"/>
    <s v="Y"/>
  </r>
  <r>
    <n v="561"/>
    <n v="1079"/>
    <n v="1162"/>
    <s v="Watty"/>
    <s v="Michael"/>
    <n v="2016"/>
    <n v="13"/>
    <n v="1.1000000000000001"/>
    <n v="73"/>
    <n v="-16"/>
    <x v="1"/>
    <s v="Watty"/>
    <s v="AKCOVA"/>
    <s v="N"/>
  </r>
  <r>
    <n v="562"/>
    <n v="451"/>
    <n v="673"/>
    <s v="Michael"/>
    <s v="Watty"/>
    <n v="2016"/>
    <n v="13"/>
    <n v="1.2"/>
    <n v="89"/>
    <n v="16"/>
    <x v="0"/>
    <s v="Michael"/>
    <s v="AKCOVA"/>
    <s v="N"/>
  </r>
  <r>
    <n v="563"/>
    <n v="1095"/>
    <n v="1044"/>
    <s v="Mark"/>
    <s v="Emily"/>
    <n v="2016"/>
    <n v="13"/>
    <n v="2.1"/>
    <n v="77"/>
    <n v="-17"/>
    <x v="1"/>
    <s v="Mark"/>
    <s v="AKCOVA"/>
    <s v="Y"/>
  </r>
  <r>
    <n v="564"/>
    <n v="433"/>
    <n v="544"/>
    <s v="Emily"/>
    <s v="Mark"/>
    <n v="2016"/>
    <n v="13"/>
    <n v="2.2000000000000002"/>
    <n v="94"/>
    <n v="17"/>
    <x v="0"/>
    <s v="Emily"/>
    <s v="TEXAROK"/>
    <s v="Y"/>
  </r>
  <r>
    <n v="565"/>
    <n v="349"/>
    <n v="768"/>
    <s v="Charles"/>
    <s v="Russell"/>
    <n v="2016"/>
    <n v="13"/>
    <n v="3.1"/>
    <n v="86"/>
    <n v="21"/>
    <x v="0"/>
    <s v="Charles"/>
    <s v="AKCOVA"/>
    <s v="Y"/>
  </r>
  <r>
    <n v="566"/>
    <n v="1173"/>
    <n v="1333"/>
    <s v="Russell"/>
    <s v="Charles"/>
    <n v="2016"/>
    <n v="13"/>
    <n v="3.2"/>
    <n v="65"/>
    <n v="-21"/>
    <x v="1"/>
    <s v="Russell"/>
    <s v="TEXAROK"/>
    <s v="Y"/>
  </r>
  <r>
    <n v="567"/>
    <n v="1113"/>
    <n v="673"/>
    <s v="Abby"/>
    <s v="Matt"/>
    <n v="2016"/>
    <n v="13"/>
    <n v="4.0999999999999996"/>
    <n v="89"/>
    <n v="-18"/>
    <x v="1"/>
    <s v="Abby"/>
    <s v="AKCOVA"/>
    <s v="Y"/>
  </r>
  <r>
    <n v="568"/>
    <n v="413"/>
    <n v="257"/>
    <s v="Matt"/>
    <s v="Abby"/>
    <n v="2016"/>
    <n v="13"/>
    <n v="4.2"/>
    <n v="107"/>
    <n v="18"/>
    <x v="0"/>
    <s v="Matt"/>
    <s v="TEXAROK"/>
    <s v="Y"/>
  </r>
  <r>
    <n v="569"/>
    <n v="983"/>
    <n v="493"/>
    <s v="BR"/>
    <s v="Brent"/>
    <n v="2016"/>
    <n v="13"/>
    <n v="5.0999999999999996"/>
    <n v="96"/>
    <n v="-11"/>
    <x v="1"/>
    <s v="BR"/>
    <s v="AKCOVA"/>
    <s v="Y"/>
  </r>
  <r>
    <n v="570"/>
    <n v="544"/>
    <n v="257"/>
    <s v="Brent"/>
    <s v="BR"/>
    <n v="2016"/>
    <n v="13"/>
    <n v="5.2"/>
    <n v="107"/>
    <n v="11"/>
    <x v="0"/>
    <s v="Brent"/>
    <s v="TEXAROK"/>
    <s v="Y"/>
  </r>
  <r>
    <n v="571"/>
    <n v="966"/>
    <n v="1288"/>
    <s v="Brian"/>
    <s v="David"/>
    <n v="2016"/>
    <n v="13"/>
    <n v="6.1"/>
    <n v="68"/>
    <n v="-10"/>
    <x v="1"/>
    <s v="Brian"/>
    <s v="TEXAROK"/>
    <s v="N"/>
  </r>
  <r>
    <n v="572"/>
    <n v="563"/>
    <n v="1012"/>
    <s v="David"/>
    <s v="Brian"/>
    <n v="2016"/>
    <n v="13"/>
    <n v="6.2"/>
    <n v="78"/>
    <n v="10"/>
    <x v="0"/>
    <s v="David"/>
    <s v="TEXAROK"/>
    <s v="N"/>
  </r>
  <r>
    <n v="573"/>
    <n v="805"/>
    <n v="1135"/>
    <s v="Michael"/>
    <s v="Matt"/>
    <n v="2017"/>
    <n v="1"/>
    <n v="1.1000000000000001"/>
    <n v="74"/>
    <n v="-2"/>
    <x v="1"/>
    <s v="Michael"/>
    <s v="AKCOVA"/>
    <s v="Y"/>
  </r>
  <r>
    <n v="574"/>
    <n v="723"/>
    <n v="1076"/>
    <s v="Matt"/>
    <s v="Michael"/>
    <n v="2017"/>
    <n v="1"/>
    <n v="1.2"/>
    <n v="76"/>
    <n v="2"/>
    <x v="0"/>
    <s v="Matt"/>
    <s v="TEXAROK"/>
    <s v="Y"/>
  </r>
  <r>
    <n v="575"/>
    <n v="1063"/>
    <n v="673"/>
    <s v="Brent"/>
    <s v="Russell"/>
    <n v="2017"/>
    <n v="1"/>
    <n v="2.1"/>
    <n v="89"/>
    <n v="-15"/>
    <x v="1"/>
    <s v="Brent"/>
    <s v="TEXAROK"/>
    <s v="N"/>
  </r>
  <r>
    <n v="576"/>
    <n v="467"/>
    <n v="311"/>
    <s v="Russell"/>
    <s v="Brent"/>
    <n v="2017"/>
    <n v="1"/>
    <n v="2.2000000000000002"/>
    <n v="104"/>
    <n v="15"/>
    <x v="0"/>
    <s v="Russell"/>
    <s v="TEXAROK"/>
    <s v="N"/>
  </r>
  <r>
    <n v="577"/>
    <n v="1434"/>
    <n v="1346"/>
    <s v="BR"/>
    <s v="Watty"/>
    <n v="2017"/>
    <n v="1"/>
    <n v="3.1"/>
    <n v="64"/>
    <n v="-43"/>
    <x v="1"/>
    <s v="BR"/>
    <s v="AKCOVA"/>
    <s v="N"/>
  </r>
  <r>
    <n v="578"/>
    <n v="103"/>
    <n v="257"/>
    <s v="Watty"/>
    <s v="BR"/>
    <n v="2017"/>
    <n v="1"/>
    <n v="3.2"/>
    <n v="107"/>
    <n v="43"/>
    <x v="0"/>
    <s v="Watty"/>
    <s v="AKCOVA"/>
    <s v="N"/>
  </r>
  <r>
    <n v="579"/>
    <n v="1236"/>
    <n v="1362"/>
    <s v="Emily"/>
    <s v="David"/>
    <n v="2017"/>
    <n v="1"/>
    <n v="4.0999999999999996"/>
    <n v="63"/>
    <n v="-25"/>
    <x v="1"/>
    <s v="Emily"/>
    <s v="TEXAROK"/>
    <s v="N"/>
  </r>
  <r>
    <n v="580"/>
    <n v="291"/>
    <n v="710"/>
    <s v="David"/>
    <s v="Emily"/>
    <n v="2017"/>
    <n v="1"/>
    <n v="4.2"/>
    <n v="88"/>
    <n v="25"/>
    <x v="0"/>
    <s v="David"/>
    <s v="TEXAROK"/>
    <s v="N"/>
  </r>
  <r>
    <n v="581"/>
    <n v="63"/>
    <n v="572"/>
    <s v="Abby"/>
    <s v="Mark"/>
    <n v="2017"/>
    <n v="1"/>
    <n v="5.0999999999999996"/>
    <n v="93"/>
    <n v="53"/>
    <x v="0"/>
    <s v="Abby"/>
    <s v="AKCOVA"/>
    <s v="N"/>
  </r>
  <r>
    <n v="582"/>
    <n v="1478"/>
    <n v="1537"/>
    <s v="Mark"/>
    <s v="Abby"/>
    <n v="2017"/>
    <n v="1"/>
    <n v="5.2"/>
    <n v="40"/>
    <n v="-53"/>
    <x v="1"/>
    <s v="Mark"/>
    <s v="AKCOVA"/>
    <s v="N"/>
  </r>
  <r>
    <n v="583"/>
    <n v="338"/>
    <n v="984"/>
    <s v="Charles"/>
    <s v="Brian"/>
    <n v="2017"/>
    <n v="1"/>
    <n v="6.1"/>
    <n v="79"/>
    <n v="22"/>
    <x v="0"/>
    <s v="Charles"/>
    <s v="AKCOVA"/>
    <s v="Y"/>
  </r>
  <r>
    <n v="584"/>
    <n v="1197"/>
    <n v="1452"/>
    <s v="Brian"/>
    <s v="Charles"/>
    <n v="2017"/>
    <n v="1"/>
    <n v="6.2"/>
    <n v="57"/>
    <n v="-22"/>
    <x v="1"/>
    <s v="Brian"/>
    <s v="TEXAROK"/>
    <s v="Y"/>
  </r>
  <r>
    <n v="585"/>
    <n v="103"/>
    <n v="180"/>
    <s v="Emily"/>
    <s v="Michael"/>
    <n v="2017"/>
    <n v="2"/>
    <n v="1.1000000000000001"/>
    <n v="112"/>
    <n v="43"/>
    <x v="0"/>
    <s v="Emily"/>
    <s v="TEXAROK"/>
    <s v="Y"/>
  </r>
  <r>
    <n v="586"/>
    <n v="1434"/>
    <n v="1265"/>
    <s v="Michael"/>
    <s v="Emily"/>
    <n v="2017"/>
    <n v="2"/>
    <n v="1.2"/>
    <n v="69"/>
    <n v="-43"/>
    <x v="1"/>
    <s v="Michael"/>
    <s v="AKCOVA"/>
    <s v="Y"/>
  </r>
  <r>
    <n v="587"/>
    <n v="983"/>
    <n v="1162"/>
    <s v="David"/>
    <s v="Russell"/>
    <n v="2017"/>
    <n v="2"/>
    <n v="2.1"/>
    <n v="73"/>
    <n v="-11"/>
    <x v="1"/>
    <s v="David"/>
    <s v="TEXAROK"/>
    <s v="N"/>
  </r>
  <r>
    <n v="588"/>
    <n v="544"/>
    <n v="819"/>
    <s v="Russell"/>
    <s v="David"/>
    <n v="2017"/>
    <n v="2"/>
    <n v="2.2000000000000002"/>
    <n v="84"/>
    <n v="11"/>
    <x v="0"/>
    <s v="Russell"/>
    <s v="TEXAROK"/>
    <s v="N"/>
  </r>
  <r>
    <n v="589"/>
    <n v="1148"/>
    <n v="1044"/>
    <s v="Mark"/>
    <s v="Charles"/>
    <n v="2017"/>
    <n v="2"/>
    <n v="3.1"/>
    <n v="77"/>
    <n v="-20"/>
    <x v="1"/>
    <s v="Mark"/>
    <s v="AKCOVA"/>
    <s v="N"/>
  </r>
  <r>
    <n v="590"/>
    <n v="373"/>
    <n v="461"/>
    <s v="Charles"/>
    <s v="Mark"/>
    <n v="2017"/>
    <n v="2"/>
    <n v="3.2"/>
    <n v="97"/>
    <n v="20"/>
    <x v="0"/>
    <s v="Charles"/>
    <s v="AKCOVA"/>
    <s v="N"/>
  </r>
  <r>
    <n v="591"/>
    <n v="924"/>
    <n v="375"/>
    <s v="Matt"/>
    <s v="Brent"/>
    <n v="2017"/>
    <n v="2"/>
    <n v="4.0999999999999996"/>
    <n v="101"/>
    <n v="-8"/>
    <x v="1"/>
    <s v="Matt"/>
    <s v="TEXAROK"/>
    <s v="N"/>
  </r>
  <r>
    <n v="592"/>
    <n v="596"/>
    <n v="222"/>
    <s v="Brent"/>
    <s v="Matt"/>
    <n v="2017"/>
    <n v="2"/>
    <n v="4.2"/>
    <n v="109"/>
    <n v="8"/>
    <x v="0"/>
    <s v="Brent"/>
    <s v="TEXAROK"/>
    <s v="N"/>
  </r>
  <r>
    <n v="593"/>
    <n v="124"/>
    <n v="518"/>
    <s v="BR"/>
    <s v="Abby"/>
    <n v="2017"/>
    <n v="2"/>
    <n v="5.0999999999999996"/>
    <n v="95"/>
    <n v="40"/>
    <x v="0"/>
    <s v="BR"/>
    <s v="AKCOVA"/>
    <s v="N"/>
  </r>
  <r>
    <n v="594"/>
    <n v="1412"/>
    <n v="1477"/>
    <s v="Abby"/>
    <s v="BR"/>
    <n v="2017"/>
    <n v="2"/>
    <n v="5.2"/>
    <n v="55"/>
    <n v="-40"/>
    <x v="1"/>
    <s v="Abby"/>
    <s v="AKCOVA"/>
    <s v="N"/>
  </r>
  <r>
    <n v="595"/>
    <n v="1197"/>
    <n v="1346"/>
    <s v="Watty"/>
    <s v="Brian"/>
    <n v="2017"/>
    <n v="2"/>
    <n v="6.1"/>
    <n v="64"/>
    <n v="-22"/>
    <x v="1"/>
    <s v="Watty"/>
    <s v="AKCOVA"/>
    <s v="Y"/>
  </r>
  <r>
    <n v="596"/>
    <n v="338"/>
    <n v="768"/>
    <s v="Brian"/>
    <s v="Watty"/>
    <n v="2017"/>
    <n v="2"/>
    <n v="6.2"/>
    <n v="86"/>
    <n v="22"/>
    <x v="0"/>
    <s v="Brian"/>
    <s v="TEXAROK"/>
    <s v="Y"/>
  </r>
  <r>
    <n v="597"/>
    <n v="398"/>
    <n v="883"/>
    <s v="Michael"/>
    <s v="Brent"/>
    <n v="2017"/>
    <n v="3"/>
    <n v="1.1000000000000001"/>
    <n v="82"/>
    <n v="19"/>
    <x v="0"/>
    <s v="Michael"/>
    <s v="AKCOVA"/>
    <s v="Y"/>
  </r>
  <r>
    <n v="598"/>
    <n v="1133"/>
    <n v="1362"/>
    <s v="Brent"/>
    <s v="Michael"/>
    <n v="2017"/>
    <n v="3"/>
    <n v="1.2"/>
    <n v="63"/>
    <n v="-19"/>
    <x v="1"/>
    <s v="Brent"/>
    <s v="TEXAROK"/>
    <s v="Y"/>
  </r>
  <r>
    <n v="599"/>
    <n v="723"/>
    <n v="924"/>
    <s v="David"/>
    <s v="Matt"/>
    <n v="2017"/>
    <n v="3"/>
    <n v="2.1"/>
    <n v="81"/>
    <n v="2"/>
    <x v="0"/>
    <s v="David"/>
    <s v="TEXAROK"/>
    <s v="N"/>
  </r>
  <r>
    <n v="600"/>
    <n v="805"/>
    <n v="984"/>
    <s v="Matt"/>
    <s v="David"/>
    <n v="2017"/>
    <n v="3"/>
    <n v="2.2000000000000002"/>
    <n v="79"/>
    <n v="-2"/>
    <x v="1"/>
    <s v="Matt"/>
    <s v="TEXAROK"/>
    <s v="N"/>
  </r>
  <r>
    <n v="601"/>
    <n v="1173"/>
    <n v="1076"/>
    <s v="Brian"/>
    <s v="BR"/>
    <n v="2017"/>
    <n v="3"/>
    <n v="3.1"/>
    <n v="76"/>
    <n v="-21"/>
    <x v="1"/>
    <s v="Brian"/>
    <s v="TEXAROK"/>
    <s v="Y"/>
  </r>
  <r>
    <n v="602"/>
    <n v="349"/>
    <n v="461"/>
    <s v="BR"/>
    <s v="Brian"/>
    <n v="2017"/>
    <n v="3"/>
    <n v="3.2"/>
    <n v="97"/>
    <n v="21"/>
    <x v="0"/>
    <s v="BR"/>
    <s v="AKCOVA"/>
    <s v="Y"/>
  </r>
  <r>
    <n v="603"/>
    <n v="679"/>
    <n v="956"/>
    <s v="Russell"/>
    <s v="Emily"/>
    <n v="2017"/>
    <n v="3"/>
    <n v="4.0999999999999996"/>
    <n v="80"/>
    <n v="4"/>
    <x v="0"/>
    <s v="Russell"/>
    <s v="TEXAROK"/>
    <s v="N"/>
  </r>
  <r>
    <n v="604"/>
    <n v="843"/>
    <n v="1076"/>
    <s v="Emily"/>
    <s v="Russell"/>
    <n v="2017"/>
    <n v="3"/>
    <n v="4.2"/>
    <n v="76"/>
    <n v="-4"/>
    <x v="1"/>
    <s v="Emily"/>
    <s v="TEXAROK"/>
    <s v="N"/>
  </r>
  <r>
    <n v="605"/>
    <n v="1352"/>
    <n v="924"/>
    <s v="Abby"/>
    <s v="Charles"/>
    <n v="2017"/>
    <n v="3"/>
    <n v="5.0999999999999996"/>
    <n v="81"/>
    <n v="-33"/>
    <x v="1"/>
    <s v="Abby"/>
    <s v="AKCOVA"/>
    <s v="N"/>
  </r>
  <r>
    <n v="606"/>
    <n v="184"/>
    <n v="155"/>
    <s v="Charles"/>
    <s v="Abby"/>
    <n v="2017"/>
    <n v="3"/>
    <n v="5.2"/>
    <n v="114"/>
    <n v="33"/>
    <x v="0"/>
    <s v="Charles"/>
    <s v="AKCOVA"/>
    <s v="N"/>
  </r>
  <r>
    <n v="607"/>
    <n v="260"/>
    <n v="192"/>
    <s v="Watty"/>
    <s v="Mark"/>
    <n v="2017"/>
    <n v="3"/>
    <n v="6.1"/>
    <n v="111"/>
    <n v="27"/>
    <x v="0"/>
    <s v="Watty"/>
    <s v="AKCOVA"/>
    <s v="N"/>
  </r>
  <r>
    <n v="608"/>
    <n v="1268"/>
    <n v="819"/>
    <s v="Mark"/>
    <s v="Watty"/>
    <n v="2017"/>
    <n v="3"/>
    <n v="6.2"/>
    <n v="84"/>
    <n v="-27"/>
    <x v="1"/>
    <s v="Mark"/>
    <s v="AKCOVA"/>
    <s v="N"/>
  </r>
  <r>
    <n v="609"/>
    <n v="413"/>
    <n v="391"/>
    <s v="Michael"/>
    <s v="Russell"/>
    <n v="2017"/>
    <n v="4"/>
    <n v="1.1000000000000001"/>
    <n v="100"/>
    <n v="18"/>
    <x v="0"/>
    <s v="Michael"/>
    <s v="AKCOVA"/>
    <s v="Y"/>
  </r>
  <r>
    <n v="610"/>
    <n v="1113"/>
    <n v="883"/>
    <s v="Russell"/>
    <s v="Michael"/>
    <n v="2017"/>
    <n v="4"/>
    <n v="1.2"/>
    <n v="82"/>
    <n v="-18"/>
    <x v="1"/>
    <s v="Russell"/>
    <s v="TEXAROK"/>
    <s v="Y"/>
  </r>
  <r>
    <n v="611"/>
    <n v="643"/>
    <n v="339"/>
    <s v="Emily"/>
    <s v="Matt"/>
    <n v="2017"/>
    <n v="4"/>
    <n v="2.1"/>
    <n v="103"/>
    <n v="6"/>
    <x v="0"/>
    <s v="Emily"/>
    <s v="TEXAROK"/>
    <s v="N"/>
  </r>
  <r>
    <n v="612"/>
    <n v="882"/>
    <n v="461"/>
    <s v="Matt"/>
    <s v="Emily"/>
    <n v="2017"/>
    <n v="4"/>
    <n v="2.2000000000000002"/>
    <n v="97"/>
    <n v="-6"/>
    <x v="1"/>
    <s v="Matt"/>
    <s v="TEXAROK"/>
    <s v="N"/>
  </r>
  <r>
    <n v="613"/>
    <n v="1236"/>
    <n v="1333"/>
    <s v="Charles"/>
    <s v="Watty"/>
    <n v="2017"/>
    <n v="4"/>
    <n v="3.1"/>
    <n v="65"/>
    <n v="-25"/>
    <x v="1"/>
    <s v="Charles"/>
    <s v="AKCOVA"/>
    <s v="N"/>
  </r>
  <r>
    <n v="614"/>
    <n v="291"/>
    <n v="651"/>
    <s v="Watty"/>
    <s v="Charles"/>
    <n v="2017"/>
    <n v="4"/>
    <n v="3.2"/>
    <n v="90"/>
    <n v="25"/>
    <x v="0"/>
    <s v="Watty"/>
    <s v="AKCOVA"/>
    <s v="N"/>
  </r>
  <r>
    <n v="615"/>
    <n v="903"/>
    <n v="1162"/>
    <s v="Brent"/>
    <s v="David"/>
    <n v="2017"/>
    <n v="4"/>
    <n v="4.0999999999999996"/>
    <n v="73"/>
    <n v="-7"/>
    <x v="1"/>
    <s v="Brent"/>
    <s v="TEXAROK"/>
    <s v="N"/>
  </r>
  <r>
    <n v="616"/>
    <n v="622"/>
    <n v="956"/>
    <s v="David"/>
    <s v="Brent"/>
    <n v="2017"/>
    <n v="4"/>
    <n v="4.2"/>
    <n v="80"/>
    <n v="7"/>
    <x v="0"/>
    <s v="David"/>
    <s v="TEXAROK"/>
    <s v="N"/>
  </r>
  <r>
    <n v="617"/>
    <n v="823"/>
    <n v="651"/>
    <s v="Brian"/>
    <s v="Abby"/>
    <n v="2017"/>
    <n v="4"/>
    <n v="5.0999999999999996"/>
    <n v="90"/>
    <n v="-3"/>
    <x v="1"/>
    <s v="Brian"/>
    <s v="TEXAROK"/>
    <s v="Y"/>
  </r>
  <r>
    <n v="618"/>
    <n v="703"/>
    <n v="572"/>
    <s v="Abby"/>
    <s v="Brian"/>
    <n v="2017"/>
    <n v="4"/>
    <n v="5.2"/>
    <n v="93"/>
    <n v="3"/>
    <x v="0"/>
    <s v="Abby"/>
    <s v="AKCOVA"/>
    <s v="Y"/>
  </r>
  <r>
    <n v="619"/>
    <n v="184"/>
    <n v="819"/>
    <s v="BR"/>
    <s v="Mark"/>
    <n v="2017"/>
    <n v="4"/>
    <n v="6.1"/>
    <n v="84"/>
    <n v="33"/>
    <x v="0"/>
    <s v="BR"/>
    <s v="AKCOVA"/>
    <s v="N"/>
  </r>
  <r>
    <n v="620"/>
    <n v="1352"/>
    <n v="1498"/>
    <s v="Mark"/>
    <s v="BR"/>
    <n v="2017"/>
    <n v="4"/>
    <n v="6.2"/>
    <n v="51"/>
    <n v="-33"/>
    <x v="1"/>
    <s v="Mark"/>
    <s v="AKCOVA"/>
    <s v="N"/>
  </r>
  <r>
    <n v="621"/>
    <n v="413"/>
    <n v="1076"/>
    <s v="Michael"/>
    <s v="David"/>
    <n v="2017"/>
    <n v="5"/>
    <n v="1.1000000000000001"/>
    <n v="76"/>
    <n v="18"/>
    <x v="0"/>
    <s v="Michael"/>
    <s v="AKCOVA"/>
    <s v="Y"/>
  </r>
  <r>
    <n v="622"/>
    <n v="1113"/>
    <n v="1441"/>
    <s v="David"/>
    <s v="Michael"/>
    <n v="2017"/>
    <n v="5"/>
    <n v="1.2"/>
    <n v="58"/>
    <n v="-18"/>
    <x v="1"/>
    <s v="David"/>
    <s v="TEXAROK"/>
    <s v="Y"/>
  </r>
  <r>
    <n v="623"/>
    <n v="843"/>
    <n v="984"/>
    <s v="Emily"/>
    <s v="Brent"/>
    <n v="2017"/>
    <n v="5"/>
    <n v="2.1"/>
    <n v="79"/>
    <n v="-4"/>
    <x v="1"/>
    <s v="Emily"/>
    <s v="TEXAROK"/>
    <s v="N"/>
  </r>
  <r>
    <n v="624"/>
    <n v="679"/>
    <n v="852"/>
    <s v="Brent"/>
    <s v="Emily"/>
    <n v="2017"/>
    <n v="5"/>
    <n v="2.2000000000000002"/>
    <n v="83"/>
    <n v="4"/>
    <x v="0"/>
    <s v="Brent"/>
    <s v="TEXAROK"/>
    <s v="N"/>
  </r>
  <r>
    <n v="625"/>
    <n v="525"/>
    <n v="627"/>
    <s v="Mark"/>
    <s v="Brian"/>
    <n v="2017"/>
    <n v="5"/>
    <n v="3.1"/>
    <n v="91"/>
    <n v="12"/>
    <x v="0"/>
    <s v="Mark"/>
    <s v="AKCOVA"/>
    <s v="Y"/>
  </r>
  <r>
    <n v="626"/>
    <n v="1002"/>
    <n v="984"/>
    <s v="Brian"/>
    <s v="Mark"/>
    <n v="2017"/>
    <n v="5"/>
    <n v="3.2"/>
    <n v="79"/>
    <n v="-12"/>
    <x v="1"/>
    <s v="Brian"/>
    <s v="TEXAROK"/>
    <s v="Y"/>
  </r>
  <r>
    <n v="627"/>
    <n v="413"/>
    <n v="768"/>
    <s v="Matt"/>
    <s v="Russell"/>
    <n v="2017"/>
    <n v="5"/>
    <n v="4.0999999999999996"/>
    <n v="86"/>
    <n v="18"/>
    <x v="0"/>
    <s v="Matt"/>
    <s v="TEXAROK"/>
    <s v="N"/>
  </r>
  <r>
    <n v="628"/>
    <n v="1113"/>
    <n v="1288"/>
    <s v="Russell"/>
    <s v="Matt"/>
    <n v="2017"/>
    <n v="5"/>
    <n v="4.2"/>
    <n v="68"/>
    <n v="-18"/>
    <x v="1"/>
    <s v="Russell"/>
    <s v="TEXAROK"/>
    <s v="N"/>
  </r>
  <r>
    <n v="629"/>
    <n v="413"/>
    <n v="239"/>
    <s v="Abby"/>
    <s v="Watty"/>
    <n v="2017"/>
    <n v="5"/>
    <n v="5.0999999999999996"/>
    <n v="108"/>
    <n v="18"/>
    <x v="0"/>
    <s v="Abby"/>
    <s v="AKCOVA"/>
    <s v="N"/>
  </r>
  <r>
    <n v="630"/>
    <n v="1113"/>
    <n v="651"/>
    <s v="Watty"/>
    <s v="Abby"/>
    <n v="2017"/>
    <n v="5"/>
    <n v="5.2"/>
    <n v="90"/>
    <n v="-18"/>
    <x v="1"/>
    <s v="Watty"/>
    <s v="AKCOVA"/>
    <s v="N"/>
  </r>
  <r>
    <n v="631"/>
    <n v="1133"/>
    <n v="956"/>
    <s v="BR"/>
    <s v="Charles"/>
    <n v="2017"/>
    <n v="5"/>
    <n v="6.1"/>
    <n v="80"/>
    <n v="-19"/>
    <x v="1"/>
    <s v="BR"/>
    <s v="AKCOVA"/>
    <s v="N"/>
  </r>
  <r>
    <n v="632"/>
    <n v="398"/>
    <n v="414"/>
    <s v="Charles"/>
    <s v="BR"/>
    <n v="2017"/>
    <n v="5"/>
    <n v="6.2"/>
    <n v="99"/>
    <n v="19"/>
    <x v="0"/>
    <s v="Charles"/>
    <s v="AKCOVA"/>
    <s v="N"/>
  </r>
  <r>
    <n v="633"/>
    <n v="247"/>
    <n v="146"/>
    <s v="Abby"/>
    <s v="Michael"/>
    <n v="2017"/>
    <n v="6"/>
    <n v="1.1000000000000001"/>
    <n v="115"/>
    <n v="28"/>
    <x v="0"/>
    <s v="Abby"/>
    <s v="AKCOVA"/>
    <s v="N"/>
  </r>
  <r>
    <n v="634"/>
    <n v="1286"/>
    <n v="741"/>
    <s v="Michael"/>
    <s v="Abby"/>
    <n v="2017"/>
    <n v="6"/>
    <n v="1.2"/>
    <n v="87"/>
    <n v="-28"/>
    <x v="1"/>
    <s v="Michael"/>
    <s v="AKCOVA"/>
    <s v="N"/>
  </r>
  <r>
    <n v="635"/>
    <n v="525"/>
    <n v="673"/>
    <s v="BR"/>
    <s v="Emily"/>
    <n v="2017"/>
    <n v="6"/>
    <n v="2.1"/>
    <n v="89"/>
    <n v="12"/>
    <x v="0"/>
    <s v="BR"/>
    <s v="AKCOVA"/>
    <s v="Y"/>
  </r>
  <r>
    <n v="636"/>
    <n v="1002"/>
    <n v="1044"/>
    <s v="Emily"/>
    <s v="BR"/>
    <n v="2017"/>
    <n v="6"/>
    <n v="2.2000000000000002"/>
    <n v="77"/>
    <n v="-12"/>
    <x v="1"/>
    <s v="Emily"/>
    <s v="TEXAROK"/>
    <s v="Y"/>
  </r>
  <r>
    <n v="637"/>
    <n v="867"/>
    <n v="741"/>
    <s v="Brian"/>
    <s v="Russell"/>
    <n v="2017"/>
    <n v="6"/>
    <n v="3.1"/>
    <n v="87"/>
    <n v="-5"/>
    <x v="1"/>
    <s v="Brian"/>
    <s v="TEXAROK"/>
    <s v="N"/>
  </r>
  <r>
    <n v="638"/>
    <n v="664"/>
    <n v="599"/>
    <s v="Russell"/>
    <s v="Brian"/>
    <n v="2017"/>
    <n v="6"/>
    <n v="3.2"/>
    <n v="92"/>
    <n v="5"/>
    <x v="0"/>
    <s v="Russell"/>
    <s v="TEXAROK"/>
    <s v="N"/>
  </r>
  <r>
    <n v="639"/>
    <n v="1352"/>
    <n v="1265"/>
    <s v="Mark"/>
    <s v="Matt"/>
    <n v="2017"/>
    <n v="6"/>
    <n v="4.0999999999999996"/>
    <n v="69"/>
    <n v="-33"/>
    <x v="1"/>
    <s v="Mark"/>
    <s v="AKCOVA"/>
    <s v="Y"/>
  </r>
  <r>
    <n v="640"/>
    <n v="184"/>
    <n v="357"/>
    <s v="Matt"/>
    <s v="Mark"/>
    <n v="2017"/>
    <n v="6"/>
    <n v="4.2"/>
    <n v="102"/>
    <n v="33"/>
    <x v="0"/>
    <s v="Matt"/>
    <s v="TEXAROK"/>
    <s v="Y"/>
  </r>
  <r>
    <n v="641"/>
    <n v="310"/>
    <n v="89"/>
    <s v="Charles"/>
    <s v="Brent"/>
    <n v="2017"/>
    <n v="6"/>
    <n v="5.0999999999999996"/>
    <n v="122"/>
    <n v="24"/>
    <x v="0"/>
    <s v="Charles"/>
    <s v="AKCOVA"/>
    <s v="Y"/>
  </r>
  <r>
    <n v="642"/>
    <n v="1222"/>
    <n v="439"/>
    <s v="Brent"/>
    <s v="Charles"/>
    <n v="2017"/>
    <n v="6"/>
    <n v="5.2"/>
    <n v="98"/>
    <n v="-24"/>
    <x v="1"/>
    <s v="Brent"/>
    <s v="TEXAROK"/>
    <s v="Y"/>
  </r>
  <r>
    <n v="643"/>
    <n v="153"/>
    <n v="673"/>
    <s v="Watty"/>
    <s v="David"/>
    <n v="2017"/>
    <n v="6"/>
    <n v="6.1"/>
    <n v="89"/>
    <n v="37"/>
    <x v="0"/>
    <s v="Watty"/>
    <s v="AKCOVA"/>
    <s v="Y"/>
  </r>
  <r>
    <n v="644"/>
    <n v="1382"/>
    <n v="1492"/>
    <s v="David"/>
    <s v="Watty"/>
    <n v="2017"/>
    <n v="6"/>
    <n v="6.2"/>
    <n v="52"/>
    <n v="-37"/>
    <x v="1"/>
    <s v="David"/>
    <s v="TEXAROK"/>
    <s v="Y"/>
  </r>
  <r>
    <n v="645"/>
    <n v="1474"/>
    <n v="1478"/>
    <s v="Michael"/>
    <s v="Watty"/>
    <n v="2017"/>
    <n v="7"/>
    <n v="1.1000000000000001"/>
    <n v="54"/>
    <n v="-52"/>
    <x v="1"/>
    <s v="Michael"/>
    <s v="AKCOVA"/>
    <s v="N"/>
  </r>
  <r>
    <n v="646"/>
    <n v="68"/>
    <n v="271"/>
    <s v="Watty"/>
    <s v="Michael"/>
    <n v="2017"/>
    <n v="7"/>
    <n v="1.2"/>
    <n v="106"/>
    <n v="52"/>
    <x v="0"/>
    <s v="Watty"/>
    <s v="AKCOVA"/>
    <s v="N"/>
  </r>
  <r>
    <n v="647"/>
    <n v="178"/>
    <n v="883"/>
    <s v="Emily"/>
    <s v="Mark"/>
    <n v="2017"/>
    <n v="7"/>
    <n v="2.1"/>
    <n v="82"/>
    <n v="34"/>
    <x v="0"/>
    <s v="Emily"/>
    <s v="TEXAROK"/>
    <s v="Y"/>
  </r>
  <r>
    <n v="648"/>
    <n v="1362"/>
    <n v="1516"/>
    <s v="Mark"/>
    <s v="Emily"/>
    <n v="2017"/>
    <n v="7"/>
    <n v="2.2000000000000002"/>
    <n v="48"/>
    <n v="-34"/>
    <x v="1"/>
    <s v="Mark"/>
    <s v="AKCOVA"/>
    <s v="Y"/>
  </r>
  <r>
    <n v="649"/>
    <n v="55"/>
    <n v="98"/>
    <s v="Russell"/>
    <s v="Charles"/>
    <n v="2017"/>
    <n v="7"/>
    <n v="3.1"/>
    <n v="121"/>
    <n v="55"/>
    <x v="0"/>
    <s v="Russell"/>
    <s v="TEXAROK"/>
    <s v="Y"/>
  </r>
  <r>
    <n v="650"/>
    <n v="1485"/>
    <n v="1319"/>
    <s v="Charles"/>
    <s v="Russell"/>
    <n v="2017"/>
    <n v="7"/>
    <n v="3.2"/>
    <n v="66"/>
    <n v="-55"/>
    <x v="1"/>
    <s v="Charles"/>
    <s v="AKCOVA"/>
    <s v="Y"/>
  </r>
  <r>
    <n v="651"/>
    <n v="723"/>
    <n v="1198"/>
    <s v="Matt"/>
    <s v="Abby"/>
    <n v="2017"/>
    <n v="7"/>
    <n v="4.0999999999999996"/>
    <n v="72"/>
    <n v="2"/>
    <x v="0"/>
    <s v="Matt"/>
    <s v="TEXAROK"/>
    <s v="Y"/>
  </r>
  <r>
    <n v="652"/>
    <n v="805"/>
    <n v="1243"/>
    <s v="Abby"/>
    <s v="Matt"/>
    <n v="2017"/>
    <n v="7"/>
    <n v="4.2"/>
    <n v="70"/>
    <n v="-2"/>
    <x v="1"/>
    <s v="Abby"/>
    <s v="AKCOVA"/>
    <s v="Y"/>
  </r>
  <r>
    <n v="653"/>
    <n v="805"/>
    <n v="883"/>
    <s v="Brent"/>
    <s v="BR"/>
    <n v="2017"/>
    <n v="7"/>
    <n v="5.0999999999999996"/>
    <n v="82"/>
    <n v="-2"/>
    <x v="1"/>
    <s v="Brent"/>
    <s v="TEXAROK"/>
    <s v="Y"/>
  </r>
  <r>
    <n v="654"/>
    <n v="723"/>
    <n v="819"/>
    <s v="BR"/>
    <s v="Brent"/>
    <n v="2017"/>
    <n v="7"/>
    <n v="5.2"/>
    <n v="84"/>
    <n v="2"/>
    <x v="0"/>
    <s v="BR"/>
    <s v="AKCOVA"/>
    <s v="Y"/>
  </r>
  <r>
    <n v="655"/>
    <n v="1464"/>
    <n v="1362"/>
    <s v="David"/>
    <s v="Brian"/>
    <n v="2017"/>
    <n v="7"/>
    <n v="6.1"/>
    <n v="63"/>
    <n v="-50"/>
    <x v="1"/>
    <s v="David"/>
    <s v="TEXAROK"/>
    <s v="N"/>
  </r>
  <r>
    <n v="656"/>
    <n v="76"/>
    <n v="163"/>
    <s v="Brian"/>
    <s v="David"/>
    <n v="2017"/>
    <n v="7"/>
    <n v="6.2"/>
    <n v="113"/>
    <n v="50"/>
    <x v="0"/>
    <s v="Brian"/>
    <s v="TEXAROK"/>
    <s v="N"/>
  </r>
  <r>
    <n v="657"/>
    <n v="1341"/>
    <n v="1486"/>
    <s v="Brian"/>
    <s v="Michael"/>
    <n v="2017"/>
    <n v="8"/>
    <n v="1.1000000000000001"/>
    <n v="53"/>
    <n v="-32"/>
    <x v="1"/>
    <s v="Brian"/>
    <s v="TEXAROK"/>
    <s v="Y"/>
  </r>
  <r>
    <n v="658"/>
    <n v="194"/>
    <n v="796"/>
    <s v="Michael"/>
    <s v="Brian"/>
    <n v="2017"/>
    <n v="8"/>
    <n v="1.2"/>
    <n v="85"/>
    <n v="32"/>
    <x v="0"/>
    <s v="Michael"/>
    <s v="AKCOVA"/>
    <s v="Y"/>
  </r>
  <r>
    <n v="659"/>
    <n v="1310"/>
    <n v="852"/>
    <s v="Mark"/>
    <s v="Brent"/>
    <n v="2017"/>
    <n v="8"/>
    <n v="2.1"/>
    <n v="83"/>
    <n v="-30"/>
    <x v="1"/>
    <s v="Mark"/>
    <s v="AKCOVA"/>
    <s v="Y"/>
  </r>
  <r>
    <n v="660"/>
    <n v="220"/>
    <n v="163"/>
    <s v="Brent"/>
    <s v="Mark"/>
    <n v="2017"/>
    <n v="8"/>
    <n v="2.2000000000000002"/>
    <n v="113"/>
    <n v="30"/>
    <x v="0"/>
    <s v="Brent"/>
    <s v="TEXAROK"/>
    <s v="Y"/>
  </r>
  <r>
    <n v="661"/>
    <n v="780"/>
    <n v="710"/>
    <s v="Charles"/>
    <s v="David"/>
    <n v="2017"/>
    <n v="8"/>
    <n v="3.1"/>
    <n v="88"/>
    <n v="-1"/>
    <x v="1"/>
    <s v="Charles"/>
    <s v="AKCOVA"/>
    <s v="Y"/>
  </r>
  <r>
    <n v="662"/>
    <n v="741"/>
    <n v="673"/>
    <s v="David"/>
    <s v="Charles"/>
    <n v="2017"/>
    <n v="8"/>
    <n v="3.2"/>
    <n v="89"/>
    <n v="1"/>
    <x v="0"/>
    <s v="David"/>
    <s v="TEXAROK"/>
    <s v="Y"/>
  </r>
  <r>
    <n v="663"/>
    <n v="451"/>
    <n v="673"/>
    <s v="Abby"/>
    <s v="Emily"/>
    <n v="2017"/>
    <n v="8"/>
    <n v="4.0999999999999996"/>
    <n v="89"/>
    <n v="16"/>
    <x v="0"/>
    <s v="Abby"/>
    <s v="AKCOVA"/>
    <s v="Y"/>
  </r>
  <r>
    <n v="664"/>
    <n v="1079"/>
    <n v="1162"/>
    <s v="Emily"/>
    <s v="Abby"/>
    <n v="2017"/>
    <n v="8"/>
    <n v="4.2"/>
    <n v="73"/>
    <n v="-16"/>
    <x v="1"/>
    <s v="Emily"/>
    <s v="TEXAROK"/>
    <s v="Y"/>
  </r>
  <r>
    <n v="665"/>
    <n v="1148"/>
    <n v="883"/>
    <s v="BR"/>
    <s v="Russell"/>
    <n v="2017"/>
    <n v="8"/>
    <n v="5.0999999999999996"/>
    <n v="82"/>
    <n v="-20"/>
    <x v="1"/>
    <s v="BR"/>
    <s v="AKCOVA"/>
    <s v="Y"/>
  </r>
  <r>
    <n v="666"/>
    <n v="373"/>
    <n v="357"/>
    <s v="Russell"/>
    <s v="BR"/>
    <n v="2017"/>
    <n v="8"/>
    <n v="5.2"/>
    <n v="102"/>
    <n v="20"/>
    <x v="0"/>
    <s v="Russell"/>
    <s v="TEXAROK"/>
    <s v="Y"/>
  </r>
  <r>
    <n v="667"/>
    <n v="1393"/>
    <n v="1333"/>
    <s v="Watty"/>
    <s v="Matt"/>
    <n v="2017"/>
    <n v="8"/>
    <n v="6.1"/>
    <n v="65"/>
    <n v="-38"/>
    <x v="1"/>
    <s v="Watty"/>
    <s v="AKCOVA"/>
    <s v="Y"/>
  </r>
  <r>
    <n v="668"/>
    <n v="141"/>
    <n v="339"/>
    <s v="Matt"/>
    <s v="Watty"/>
    <n v="2017"/>
    <n v="8"/>
    <n v="6.2"/>
    <n v="103"/>
    <n v="38"/>
    <x v="0"/>
    <s v="Matt"/>
    <s v="TEXAROK"/>
    <s v="Y"/>
  </r>
  <r>
    <n v="669"/>
    <n v="1148"/>
    <n v="1421"/>
    <s v="Michael"/>
    <s v="Charles"/>
    <n v="2017"/>
    <n v="9"/>
    <n v="1.1000000000000001"/>
    <n v="59"/>
    <n v="-20"/>
    <x v="1"/>
    <s v="Michael"/>
    <s v="AKCOVA"/>
    <s v="N"/>
  </r>
  <r>
    <n v="670"/>
    <n v="373"/>
    <n v="984"/>
    <s v="Charles"/>
    <s v="Michael"/>
    <n v="2017"/>
    <n v="9"/>
    <n v="1.2"/>
    <n v="79"/>
    <n v="20"/>
    <x v="0"/>
    <s v="Charles"/>
    <s v="AKCOVA"/>
    <s v="N"/>
  </r>
  <r>
    <n v="671"/>
    <n v="903"/>
    <n v="1162"/>
    <s v="Russell"/>
    <s v="Mark"/>
    <n v="2017"/>
    <n v="9"/>
    <n v="2.1"/>
    <n v="73"/>
    <n v="-7"/>
    <x v="1"/>
    <s v="Russell"/>
    <s v="TEXAROK"/>
    <s v="Y"/>
  </r>
  <r>
    <n v="672"/>
    <n v="622"/>
    <n v="956"/>
    <s v="Mark"/>
    <s v="Russell"/>
    <n v="2017"/>
    <n v="9"/>
    <n v="2.2000000000000002"/>
    <n v="80"/>
    <n v="7"/>
    <x v="0"/>
    <s v="Mark"/>
    <s v="AKCOVA"/>
    <s v="Y"/>
  </r>
  <r>
    <n v="673"/>
    <n v="1002"/>
    <n v="1117"/>
    <s v="Matt"/>
    <s v="Brian"/>
    <n v="2017"/>
    <n v="9"/>
    <n v="3.1"/>
    <n v="75"/>
    <n v="-12"/>
    <x v="1"/>
    <s v="Matt"/>
    <s v="TEXAROK"/>
    <s v="N"/>
  </r>
  <r>
    <n v="674"/>
    <n v="525"/>
    <n v="741"/>
    <s v="Brian"/>
    <s v="Matt"/>
    <n v="2017"/>
    <n v="9"/>
    <n v="3.2"/>
    <n v="87"/>
    <n v="12"/>
    <x v="0"/>
    <s v="Brian"/>
    <s v="TEXAROK"/>
    <s v="N"/>
  </r>
  <r>
    <n v="675"/>
    <n v="664"/>
    <n v="741"/>
    <s v="Brent"/>
    <s v="Abby"/>
    <n v="2017"/>
    <n v="9"/>
    <n v="4.0999999999999996"/>
    <n v="87"/>
    <n v="5"/>
    <x v="0"/>
    <s v="Brent"/>
    <s v="TEXAROK"/>
    <s v="Y"/>
  </r>
  <r>
    <n v="676"/>
    <n v="867"/>
    <n v="883"/>
    <s v="Abby"/>
    <s v="Brent"/>
    <n v="2017"/>
    <n v="9"/>
    <n v="4.2"/>
    <n v="82"/>
    <n v="-5"/>
    <x v="1"/>
    <s v="Abby"/>
    <s v="AKCOVA"/>
    <s v="Y"/>
  </r>
  <r>
    <n v="677"/>
    <n v="1455"/>
    <n v="1406"/>
    <s v="David"/>
    <s v="BR"/>
    <n v="2017"/>
    <n v="9"/>
    <n v="5.0999999999999996"/>
    <n v="60"/>
    <n v="-46"/>
    <x v="1"/>
    <s v="David"/>
    <s v="TEXAROK"/>
    <s v="Y"/>
  </r>
  <r>
    <n v="678"/>
    <n v="85"/>
    <n v="271"/>
    <s v="BR"/>
    <s v="David"/>
    <n v="2017"/>
    <n v="9"/>
    <n v="5.2"/>
    <n v="106"/>
    <n v="46"/>
    <x v="0"/>
    <s v="BR"/>
    <s v="AKCOVA"/>
    <s v="Y"/>
  </r>
  <r>
    <n v="679"/>
    <n v="373"/>
    <n v="883"/>
    <s v="Emily"/>
    <s v="Watty"/>
    <n v="2017"/>
    <n v="9"/>
    <n v="6.1"/>
    <n v="82"/>
    <n v="20"/>
    <x v="0"/>
    <s v="Emily"/>
    <s v="TEXAROK"/>
    <s v="Y"/>
  </r>
  <r>
    <n v="680"/>
    <n v="1148"/>
    <n v="1383"/>
    <s v="Watty"/>
    <s v="Emily"/>
    <n v="2017"/>
    <n v="9"/>
    <n v="6.2"/>
    <n v="62"/>
    <n v="-20"/>
    <x v="1"/>
    <s v="Watty"/>
    <s v="AKCOVA"/>
    <s v="Y"/>
  </r>
  <r>
    <n v="681"/>
    <n v="1173"/>
    <n v="1383"/>
    <s v="BR"/>
    <s v="Michael"/>
    <n v="2017"/>
    <n v="10"/>
    <n v="1.1000000000000001"/>
    <n v="62"/>
    <n v="-21"/>
    <x v="1"/>
    <s v="BR"/>
    <s v="AKCOVA"/>
    <s v="N"/>
  </r>
  <r>
    <n v="682"/>
    <n v="349"/>
    <n v="852"/>
    <s v="Michael"/>
    <s v="BR"/>
    <n v="2017"/>
    <n v="10"/>
    <n v="1.2"/>
    <n v="83"/>
    <n v="21"/>
    <x v="0"/>
    <s v="Michael"/>
    <s v="AKCOVA"/>
    <s v="N"/>
  </r>
  <r>
    <n v="683"/>
    <n v="766"/>
    <n v="651"/>
    <s v="Mark"/>
    <s v="David"/>
    <n v="2017"/>
    <n v="10"/>
    <n v="2.1"/>
    <n v="90"/>
    <n v="0"/>
    <x v="2"/>
    <s v="Mark"/>
    <s v="AKCOVA"/>
    <s v="Y"/>
  </r>
  <r>
    <n v="684"/>
    <n v="766"/>
    <n v="651"/>
    <s v="David"/>
    <s v="Mark"/>
    <n v="2017"/>
    <n v="10"/>
    <n v="2.2000000000000002"/>
    <n v="90"/>
    <n v="0"/>
    <x v="2"/>
    <s v="David"/>
    <s v="TEXAROK"/>
    <s v="Y"/>
  </r>
  <r>
    <n v="685"/>
    <n v="622"/>
    <n v="1243"/>
    <s v="Brian"/>
    <s v="Emily"/>
    <n v="2017"/>
    <n v="10"/>
    <n v="3.1"/>
    <n v="70"/>
    <n v="7"/>
    <x v="0"/>
    <s v="Brian"/>
    <s v="TEXAROK"/>
    <s v="N"/>
  </r>
  <r>
    <n v="686"/>
    <n v="903"/>
    <n v="1362"/>
    <s v="Emily"/>
    <s v="Brian"/>
    <n v="2017"/>
    <n v="10"/>
    <n v="3.2"/>
    <n v="63"/>
    <n v="-7"/>
    <x v="1"/>
    <s v="Emily"/>
    <s v="TEXAROK"/>
    <s v="N"/>
  </r>
  <r>
    <n v="687"/>
    <n v="55"/>
    <n v="155"/>
    <s v="Abby"/>
    <s v="Russell"/>
    <n v="2017"/>
    <n v="10"/>
    <n v="4.0999999999999996"/>
    <n v="114"/>
    <n v="55"/>
    <x v="0"/>
    <s v="Abby"/>
    <s v="AKCOVA"/>
    <s v="Y"/>
  </r>
  <r>
    <n v="688"/>
    <n v="1485"/>
    <n v="1421"/>
    <s v="Russell"/>
    <s v="Abby"/>
    <n v="2017"/>
    <n v="10"/>
    <n v="4.2"/>
    <n v="59"/>
    <n v="-55"/>
    <x v="1"/>
    <s v="Russell"/>
    <s v="TEXAROK"/>
    <s v="Y"/>
  </r>
  <r>
    <n v="689"/>
    <n v="398"/>
    <n v="651"/>
    <s v="Charles"/>
    <s v="Matt"/>
    <n v="2017"/>
    <n v="10"/>
    <n v="5.0999999999999996"/>
    <n v="90"/>
    <n v="19"/>
    <x v="0"/>
    <s v="Charles"/>
    <s v="AKCOVA"/>
    <s v="Y"/>
  </r>
  <r>
    <n v="690"/>
    <n v="1133"/>
    <n v="1224"/>
    <s v="Matt"/>
    <s v="Charles"/>
    <n v="2017"/>
    <n v="10"/>
    <n v="5.2"/>
    <n v="71"/>
    <n v="-19"/>
    <x v="1"/>
    <s v="Matt"/>
    <s v="TEXAROK"/>
    <s v="Y"/>
  </r>
  <r>
    <n v="691"/>
    <n v="780"/>
    <n v="1162"/>
    <s v="Watty"/>
    <s v="Brent"/>
    <n v="2017"/>
    <n v="10"/>
    <n v="6.1"/>
    <n v="73"/>
    <n v="-1"/>
    <x v="1"/>
    <s v="Watty"/>
    <s v="AKCOVA"/>
    <s v="Y"/>
  </r>
  <r>
    <n v="692"/>
    <n v="741"/>
    <n v="1135"/>
    <s v="Brent"/>
    <s v="Watty"/>
    <n v="2017"/>
    <n v="10"/>
    <n v="6.2"/>
    <n v="74"/>
    <n v="1"/>
    <x v="0"/>
    <s v="Brent"/>
    <s v="TEXAROK"/>
    <s v="Y"/>
  </r>
  <r>
    <n v="693"/>
    <n v="112"/>
    <n v="544"/>
    <s v="Michael"/>
    <s v="Mark"/>
    <n v="2017"/>
    <n v="11"/>
    <n v="1.1000000000000001"/>
    <n v="94"/>
    <n v="42"/>
    <x v="0"/>
    <s v="Michael"/>
    <s v="AKCOVA"/>
    <s v="N"/>
  </r>
  <r>
    <n v="694"/>
    <n v="1427"/>
    <n v="1492"/>
    <s v="Mark"/>
    <s v="Michael"/>
    <n v="2017"/>
    <n v="11"/>
    <n v="1.2"/>
    <n v="52"/>
    <n v="-42"/>
    <x v="1"/>
    <s v="Mark"/>
    <s v="AKCOVA"/>
    <s v="N"/>
  </r>
  <r>
    <n v="695"/>
    <n v="310"/>
    <n v="1012"/>
    <s v="Matt"/>
    <s v="BR"/>
    <n v="2017"/>
    <n v="11"/>
    <n v="2.1"/>
    <n v="78"/>
    <n v="24"/>
    <x v="0"/>
    <s v="Matt"/>
    <s v="TEXAROK"/>
    <s v="Y"/>
  </r>
  <r>
    <n v="696"/>
    <n v="1222"/>
    <n v="1478"/>
    <s v="BR"/>
    <s v="Matt"/>
    <n v="2017"/>
    <n v="11"/>
    <n v="2.2000000000000002"/>
    <n v="54"/>
    <n v="-24"/>
    <x v="1"/>
    <s v="BR"/>
    <s v="AKCOVA"/>
    <s v="Y"/>
  </r>
  <r>
    <n v="697"/>
    <n v="823"/>
    <n v="544"/>
    <s v="Brent"/>
    <s v="Brian"/>
    <n v="2017"/>
    <n v="11"/>
    <n v="3.1"/>
    <n v="94"/>
    <n v="-3"/>
    <x v="1"/>
    <s v="Brent"/>
    <s v="TEXAROK"/>
    <s v="N"/>
  </r>
  <r>
    <n v="698"/>
    <n v="703"/>
    <n v="461"/>
    <s v="Brian"/>
    <s v="Brent"/>
    <n v="2017"/>
    <n v="11"/>
    <n v="3.2"/>
    <n v="97"/>
    <n v="3"/>
    <x v="0"/>
    <s v="Brian"/>
    <s v="TEXAROK"/>
    <s v="N"/>
  </r>
  <r>
    <n v="699"/>
    <n v="1455"/>
    <n v="883"/>
    <s v="David"/>
    <s v="Abby"/>
    <n v="2017"/>
    <n v="11"/>
    <n v="4.0999999999999996"/>
    <n v="82"/>
    <n v="-46"/>
    <x v="1"/>
    <s v="David"/>
    <s v="TEXAROK"/>
    <s v="Y"/>
  </r>
  <r>
    <n v="700"/>
    <n v="85"/>
    <n v="58"/>
    <s v="Abby"/>
    <s v="David"/>
    <n v="2017"/>
    <n v="11"/>
    <n v="4.2"/>
    <n v="128"/>
    <n v="46"/>
    <x v="0"/>
    <s v="Abby"/>
    <s v="AKCOVA"/>
    <s v="Y"/>
  </r>
  <r>
    <n v="701"/>
    <n v="1485"/>
    <n v="1224"/>
    <s v="Emily"/>
    <s v="Charles"/>
    <n v="2017"/>
    <n v="11"/>
    <n v="5.0999999999999996"/>
    <n v="71"/>
    <n v="-55"/>
    <x v="1"/>
    <s v="Emily"/>
    <s v="TEXAROK"/>
    <s v="Y"/>
  </r>
  <r>
    <n v="702"/>
    <n v="55"/>
    <n v="67"/>
    <s v="Charles"/>
    <s v="Emily"/>
    <n v="2017"/>
    <n v="11"/>
    <n v="5.2"/>
    <n v="126"/>
    <n v="55"/>
    <x v="0"/>
    <s v="Charles"/>
    <s v="AKCOVA"/>
    <s v="Y"/>
  </r>
  <r>
    <n v="703"/>
    <n v="1002"/>
    <n v="1333"/>
    <s v="Russell"/>
    <s v="Watty"/>
    <n v="2017"/>
    <n v="11"/>
    <n v="6.1"/>
    <n v="65"/>
    <n v="-12"/>
    <x v="1"/>
    <s v="Russell"/>
    <s v="TEXAROK"/>
    <s v="Y"/>
  </r>
  <r>
    <n v="704"/>
    <n v="525"/>
    <n v="1044"/>
    <s v="Watty"/>
    <s v="Russell"/>
    <n v="2017"/>
    <n v="11"/>
    <n v="6.2"/>
    <n v="77"/>
    <n v="12"/>
    <x v="0"/>
    <s v="Watty"/>
    <s v="AKCOVA"/>
    <s v="Y"/>
  </r>
  <r>
    <n v="705"/>
    <n v="413"/>
    <n v="493"/>
    <s v="Michael"/>
    <s v="Abby"/>
    <n v="2017"/>
    <n v="12"/>
    <n v="1.1000000000000001"/>
    <n v="96"/>
    <n v="18"/>
    <x v="0"/>
    <s v="Michael"/>
    <s v="AKCOVA"/>
    <s v="N"/>
  </r>
  <r>
    <n v="706"/>
    <n v="1113"/>
    <n v="1012"/>
    <s v="Abby"/>
    <s v="Michael"/>
    <n v="2017"/>
    <n v="12"/>
    <n v="1.2"/>
    <n v="78"/>
    <n v="-18"/>
    <x v="1"/>
    <s v="Abby"/>
    <s v="AKCOVA"/>
    <s v="N"/>
  </r>
  <r>
    <n v="707"/>
    <n v="596"/>
    <n v="192"/>
    <s v="Emily"/>
    <s v="BR"/>
    <n v="2017"/>
    <n v="12"/>
    <n v="2.1"/>
    <n v="111"/>
    <n v="8"/>
    <x v="0"/>
    <s v="Emily"/>
    <s v="TEXAROK"/>
    <s v="Y"/>
  </r>
  <r>
    <n v="708"/>
    <n v="924"/>
    <n v="339"/>
    <s v="BR"/>
    <s v="Emily"/>
    <n v="2017"/>
    <n v="12"/>
    <n v="2.2000000000000002"/>
    <n v="103"/>
    <n v="-8"/>
    <x v="1"/>
    <s v="BR"/>
    <s v="AKCOVA"/>
    <s v="Y"/>
  </r>
  <r>
    <n v="709"/>
    <n v="349"/>
    <n v="222"/>
    <s v="Russell"/>
    <s v="Brian"/>
    <n v="2017"/>
    <n v="12"/>
    <n v="3.1"/>
    <n v="109"/>
    <n v="21"/>
    <x v="0"/>
    <s v="Russell"/>
    <s v="TEXAROK"/>
    <s v="N"/>
  </r>
  <r>
    <n v="710"/>
    <n v="1173"/>
    <n v="710"/>
    <s v="Brian"/>
    <s v="Russell"/>
    <n v="2017"/>
    <n v="12"/>
    <n v="3.2"/>
    <n v="88"/>
    <n v="-21"/>
    <x v="1"/>
    <s v="Brian"/>
    <s v="TEXAROK"/>
    <s v="N"/>
  </r>
  <r>
    <n v="711"/>
    <n v="596"/>
    <n v="768"/>
    <s v="Matt"/>
    <s v="Mark"/>
    <n v="2017"/>
    <n v="12"/>
    <n v="4.0999999999999996"/>
    <n v="86"/>
    <n v="8"/>
    <x v="0"/>
    <s v="Matt"/>
    <s v="TEXAROK"/>
    <s v="Y"/>
  </r>
  <r>
    <n v="712"/>
    <n v="924"/>
    <n v="1012"/>
    <s v="Mark"/>
    <s v="Matt"/>
    <n v="2017"/>
    <n v="12"/>
    <n v="4.2"/>
    <n v="78"/>
    <n v="-8"/>
    <x v="1"/>
    <s v="Mark"/>
    <s v="AKCOVA"/>
    <s v="Y"/>
  </r>
  <r>
    <n v="713"/>
    <n v="1173"/>
    <n v="924"/>
    <s v="Brent"/>
    <s v="Charles"/>
    <n v="2017"/>
    <n v="12"/>
    <n v="5.0999999999999996"/>
    <n v="81"/>
    <n v="-21"/>
    <x v="1"/>
    <s v="Brent"/>
    <s v="TEXAROK"/>
    <s v="Y"/>
  </r>
  <r>
    <n v="714"/>
    <n v="349"/>
    <n v="357"/>
    <s v="Charles"/>
    <s v="Brent"/>
    <n v="2017"/>
    <n v="12"/>
    <n v="5.2"/>
    <n v="102"/>
    <n v="21"/>
    <x v="0"/>
    <s v="Charles"/>
    <s v="AKCOVA"/>
    <s v="Y"/>
  </r>
  <r>
    <n v="715"/>
    <n v="260"/>
    <n v="1012"/>
    <s v="David"/>
    <s v="Watty"/>
    <n v="2017"/>
    <n v="12"/>
    <n v="6.1"/>
    <n v="78"/>
    <n v="27"/>
    <x v="0"/>
    <s v="David"/>
    <s v="TEXAROK"/>
    <s v="Y"/>
  </r>
  <r>
    <n v="716"/>
    <n v="1268"/>
    <n v="1498"/>
    <s v="Watty"/>
    <s v="David"/>
    <n v="2017"/>
    <n v="12"/>
    <n v="6.2"/>
    <n v="51"/>
    <n v="-27"/>
    <x v="1"/>
    <s v="Watty"/>
    <s v="AKCOVA"/>
    <s v="Y"/>
  </r>
  <r>
    <n v="717"/>
    <n v="741"/>
    <n v="796"/>
    <s v="Watty"/>
    <s v="Michael"/>
    <n v="2017"/>
    <n v="13"/>
    <n v="1.1000000000000001"/>
    <n v="85"/>
    <n v="1"/>
    <x v="0"/>
    <s v="Watty"/>
    <s v="AKCOVA"/>
    <s v="N"/>
  </r>
  <r>
    <n v="718"/>
    <n v="780"/>
    <n v="819"/>
    <s v="Michael"/>
    <s v="Watty"/>
    <n v="2017"/>
    <n v="13"/>
    <n v="1.2"/>
    <n v="84"/>
    <n v="-1"/>
    <x v="1"/>
    <s v="Michael"/>
    <s v="AKCOVA"/>
    <s v="N"/>
  </r>
  <r>
    <n v="719"/>
    <n v="1173"/>
    <n v="984"/>
    <s v="Mark"/>
    <s v="Emily"/>
    <n v="2017"/>
    <n v="13"/>
    <n v="2.1"/>
    <n v="79"/>
    <n v="-21"/>
    <x v="1"/>
    <s v="Mark"/>
    <s v="AKCOVA"/>
    <s v="Y"/>
  </r>
  <r>
    <n v="720"/>
    <n v="349"/>
    <n v="391"/>
    <s v="Emily"/>
    <s v="Mark"/>
    <n v="2017"/>
    <n v="13"/>
    <n v="2.2000000000000002"/>
    <n v="100"/>
    <n v="21"/>
    <x v="0"/>
    <s v="Emily"/>
    <s v="TEXAROK"/>
    <s v="Y"/>
  </r>
  <r>
    <n v="721"/>
    <n v="580"/>
    <n v="1265"/>
    <s v="Charles"/>
    <s v="Russell"/>
    <n v="2017"/>
    <n v="13"/>
    <n v="3.1"/>
    <n v="69"/>
    <n v="9"/>
    <x v="0"/>
    <s v="Charles"/>
    <s v="AKCOVA"/>
    <s v="Y"/>
  </r>
  <r>
    <n v="722"/>
    <n v="950"/>
    <n v="1406"/>
    <s v="Russell"/>
    <s v="Charles"/>
    <n v="2017"/>
    <n v="13"/>
    <n v="3.2"/>
    <n v="60"/>
    <n v="-9"/>
    <x v="1"/>
    <s v="Russell"/>
    <s v="TEXAROK"/>
    <s v="Y"/>
  </r>
  <r>
    <n v="723"/>
    <n v="703"/>
    <n v="222"/>
    <s v="Abby"/>
    <s v="Matt"/>
    <n v="2017"/>
    <n v="13"/>
    <n v="4.0999999999999996"/>
    <n v="109"/>
    <n v="3"/>
    <x v="0"/>
    <s v="Abby"/>
    <s v="AKCOVA"/>
    <s v="Y"/>
  </r>
  <r>
    <n v="724"/>
    <n v="823"/>
    <n v="271"/>
    <s v="Matt"/>
    <s v="Abby"/>
    <n v="2017"/>
    <n v="13"/>
    <n v="4.2"/>
    <n v="106"/>
    <n v="-3"/>
    <x v="1"/>
    <s v="Matt"/>
    <s v="TEXAROK"/>
    <s v="Y"/>
  </r>
  <r>
    <n v="725"/>
    <n v="1021"/>
    <n v="572"/>
    <s v="BR"/>
    <s v="Brent"/>
    <n v="2017"/>
    <n v="13"/>
    <n v="5.0999999999999996"/>
    <n v="93"/>
    <n v="-13"/>
    <x v="1"/>
    <s v="BR"/>
    <s v="AKCOVA"/>
    <s v="Y"/>
  </r>
  <r>
    <n v="726"/>
    <n v="503"/>
    <n v="271"/>
    <s v="Brent"/>
    <s v="BR"/>
    <n v="2017"/>
    <n v="13"/>
    <n v="5.2"/>
    <n v="106"/>
    <n v="13"/>
    <x v="0"/>
    <s v="Brent"/>
    <s v="TEXAROK"/>
    <s v="Y"/>
  </r>
  <r>
    <n v="727"/>
    <n v="483"/>
    <n v="518"/>
    <s v="Brian"/>
    <s v="David"/>
    <n v="2017"/>
    <n v="13"/>
    <n v="6.1"/>
    <n v="95"/>
    <n v="14"/>
    <x v="0"/>
    <s v="Brian"/>
    <s v="TEXAROK"/>
    <s v="N"/>
  </r>
  <r>
    <n v="728"/>
    <n v="1043"/>
    <n v="924"/>
    <s v="David"/>
    <s v="Brian"/>
    <n v="2017"/>
    <n v="13"/>
    <n v="6.2"/>
    <n v="81"/>
    <n v="-14"/>
    <x v="1"/>
    <s v="David"/>
    <s v="TEXAROK"/>
    <s v="N"/>
  </r>
  <r>
    <n v="729"/>
    <n v="741"/>
    <n v="107"/>
    <s v="Michael"/>
    <s v="Matt"/>
    <n v="2018"/>
    <n v="1"/>
    <n v="1.1000000000000001"/>
    <n v="120"/>
    <n v="1"/>
    <x v="0"/>
    <s v="Michael"/>
    <s v="AKCOVA"/>
    <s v="Y"/>
  </r>
  <r>
    <n v="730"/>
    <n v="780"/>
    <n v="120"/>
    <s v="Matt"/>
    <s v="Michael"/>
    <n v="2018"/>
    <n v="1"/>
    <n v="1.2"/>
    <n v="119"/>
    <n v="-1"/>
    <x v="1"/>
    <s v="Matt"/>
    <s v="TEXAROK"/>
    <s v="Y"/>
  </r>
  <r>
    <n v="731"/>
    <n v="95"/>
    <n v="339"/>
    <s v="Brent"/>
    <s v="Russell"/>
    <n v="2018"/>
    <n v="1"/>
    <n v="2.1"/>
    <n v="103"/>
    <n v="44"/>
    <x v="0"/>
    <s v="Brent"/>
    <s v="TEXAROK"/>
    <s v="N"/>
  </r>
  <r>
    <n v="732"/>
    <n v="1443"/>
    <n v="1421"/>
    <s v="Russell"/>
    <s v="Brent"/>
    <n v="2018"/>
    <n v="1"/>
    <n v="2.2000000000000002"/>
    <n v="59"/>
    <n v="-44"/>
    <x v="1"/>
    <s v="Russell"/>
    <s v="TEXAROK"/>
    <s v="N"/>
  </r>
  <r>
    <n v="733"/>
    <n v="664"/>
    <n v="518"/>
    <s v="BR"/>
    <s v="Watty"/>
    <n v="2018"/>
    <n v="1"/>
    <n v="3.1"/>
    <n v="95"/>
    <n v="5"/>
    <x v="0"/>
    <s v="BR"/>
    <s v="AKCOVA"/>
    <s v="N"/>
  </r>
  <r>
    <n v="734"/>
    <n v="867"/>
    <n v="651"/>
    <s v="Watty"/>
    <s v="BR"/>
    <n v="2018"/>
    <n v="1"/>
    <n v="3.2"/>
    <n v="90"/>
    <n v="-5"/>
    <x v="1"/>
    <s v="Watty"/>
    <s v="AKCOVA"/>
    <s v="N"/>
  </r>
  <r>
    <n v="735"/>
    <n v="119"/>
    <n v="439"/>
    <s v="Emily"/>
    <s v="David"/>
    <n v="2018"/>
    <n v="1"/>
    <n v="4.0999999999999996"/>
    <n v="98"/>
    <n v="41"/>
    <x v="0"/>
    <s v="Emily"/>
    <s v="TEXAROK"/>
    <s v="N"/>
  </r>
  <r>
    <n v="736"/>
    <n v="1422"/>
    <n v="1452"/>
    <s v="David"/>
    <s v="Emily"/>
    <n v="2018"/>
    <n v="1"/>
    <n v="4.2"/>
    <n v="57"/>
    <n v="-41"/>
    <x v="1"/>
    <s v="David"/>
    <s v="TEXAROK"/>
    <s v="N"/>
  </r>
  <r>
    <n v="737"/>
    <n v="1268"/>
    <n v="852"/>
    <s v="Abby"/>
    <s v="Mark"/>
    <n v="2018"/>
    <n v="1"/>
    <n v="5.0999999999999996"/>
    <n v="83"/>
    <n v="-27"/>
    <x v="1"/>
    <s v="Abby"/>
    <s v="AKCOVA"/>
    <s v="N"/>
  </r>
  <r>
    <n v="738"/>
    <n v="260"/>
    <n v="207"/>
    <s v="Mark"/>
    <s v="Abby"/>
    <n v="2018"/>
    <n v="1"/>
    <n v="5.2"/>
    <n v="110"/>
    <n v="27"/>
    <x v="0"/>
    <s v="Mark"/>
    <s v="AKCOVA"/>
    <s v="N"/>
  </r>
  <r>
    <n v="739"/>
    <n v="1362"/>
    <n v="1135"/>
    <s v="Charles"/>
    <s v="Brian"/>
    <n v="2018"/>
    <n v="1"/>
    <n v="6.1"/>
    <n v="74"/>
    <n v="-34"/>
    <x v="1"/>
    <s v="Charles"/>
    <s v="AKCOVA"/>
    <s v="Y"/>
  </r>
  <r>
    <n v="740"/>
    <n v="178"/>
    <n v="239"/>
    <s v="Brian"/>
    <s v="Charles"/>
    <n v="2018"/>
    <n v="1"/>
    <n v="6.2"/>
    <n v="108"/>
    <n v="34"/>
    <x v="0"/>
    <s v="Brian"/>
    <s v="TEXAROK"/>
    <s v="Y"/>
  </r>
  <r>
    <n v="741"/>
    <n v="184"/>
    <n v="78"/>
    <s v="Emily"/>
    <s v="Michael"/>
    <n v="2018"/>
    <n v="2"/>
    <n v="1.1000000000000001"/>
    <n v="124"/>
    <n v="33"/>
    <x v="0"/>
    <s v="Emily"/>
    <s v="TEXAROK"/>
    <s v="Y"/>
  </r>
  <r>
    <n v="742"/>
    <n v="1352"/>
    <n v="627"/>
    <s v="Michael"/>
    <s v="Emily"/>
    <n v="2018"/>
    <n v="2"/>
    <n v="1.2"/>
    <n v="91"/>
    <n v="-33"/>
    <x v="1"/>
    <s v="Michael"/>
    <s v="AKCOVA"/>
    <s v="Y"/>
  </r>
  <r>
    <n v="743"/>
    <n v="1043"/>
    <n v="1012"/>
    <s v="David"/>
    <s v="Russell"/>
    <n v="2018"/>
    <n v="2"/>
    <n v="2.1"/>
    <n v="78"/>
    <n v="-14"/>
    <x v="1"/>
    <s v="David"/>
    <s v="TEXAROK"/>
    <s v="N"/>
  </r>
  <r>
    <n v="744"/>
    <n v="483"/>
    <n v="599"/>
    <s v="Russell"/>
    <s v="David"/>
    <n v="2018"/>
    <n v="2"/>
    <n v="2.2000000000000002"/>
    <n v="92"/>
    <n v="14"/>
    <x v="0"/>
    <s v="Russell"/>
    <s v="TEXAROK"/>
    <s v="N"/>
  </r>
  <r>
    <n v="745"/>
    <n v="1495"/>
    <n v="1265"/>
    <s v="Mark"/>
    <s v="Charles"/>
    <n v="2018"/>
    <n v="2"/>
    <n v="3.1"/>
    <n v="69"/>
    <n v="-58"/>
    <x v="1"/>
    <s v="Mark"/>
    <s v="AKCOVA"/>
    <s v="N"/>
  </r>
  <r>
    <n v="746"/>
    <n v="43"/>
    <n v="63"/>
    <s v="Charles"/>
    <s v="Mark"/>
    <n v="2018"/>
    <n v="2"/>
    <n v="3.2"/>
    <n v="127"/>
    <n v="58"/>
    <x v="0"/>
    <s v="Charles"/>
    <s v="AKCOVA"/>
    <s v="N"/>
  </r>
  <r>
    <n v="747"/>
    <n v="643"/>
    <n v="627"/>
    <s v="Matt"/>
    <s v="Brent"/>
    <n v="2018"/>
    <n v="2"/>
    <n v="4.0999999999999996"/>
    <n v="91"/>
    <n v="6"/>
    <x v="0"/>
    <s v="Matt"/>
    <s v="TEXAROK"/>
    <s v="N"/>
  </r>
  <r>
    <n v="748"/>
    <n v="882"/>
    <n v="796"/>
    <s v="Brent"/>
    <s v="Matt"/>
    <n v="2018"/>
    <n v="2"/>
    <n v="4.2"/>
    <n v="85"/>
    <n v="-6"/>
    <x v="1"/>
    <s v="Brent"/>
    <s v="TEXAROK"/>
    <s v="N"/>
  </r>
  <r>
    <n v="749"/>
    <n v="291"/>
    <n v="461"/>
    <s v="BR"/>
    <s v="Abby"/>
    <n v="2018"/>
    <n v="2"/>
    <n v="5.0999999999999996"/>
    <n v="97"/>
    <n v="25"/>
    <x v="0"/>
    <s v="BR"/>
    <s v="AKCOVA"/>
    <s v="N"/>
  </r>
  <r>
    <n v="750"/>
    <n v="1236"/>
    <n v="1198"/>
    <s v="Abby"/>
    <s v="BR"/>
    <n v="2018"/>
    <n v="2"/>
    <n v="5.2"/>
    <n v="72"/>
    <n v="-25"/>
    <x v="1"/>
    <s v="Abby"/>
    <s v="AKCOVA"/>
    <s v="N"/>
  </r>
  <r>
    <n v="751"/>
    <n v="643"/>
    <n v="518"/>
    <s v="Watty"/>
    <s v="Brian"/>
    <n v="2018"/>
    <n v="2"/>
    <n v="6.1"/>
    <n v="95"/>
    <n v="6"/>
    <x v="0"/>
    <s v="Watty"/>
    <s v="AKCOVA"/>
    <s v="Y"/>
  </r>
  <r>
    <n v="752"/>
    <n v="882"/>
    <n v="673"/>
    <s v="Brian"/>
    <s v="Watty"/>
    <n v="2018"/>
    <n v="2"/>
    <n v="6.2"/>
    <n v="89"/>
    <n v="-6"/>
    <x v="1"/>
    <s v="Brian"/>
    <s v="TEXAROK"/>
    <s v="Y"/>
  </r>
  <r>
    <n v="753"/>
    <n v="68"/>
    <n v="63"/>
    <s v="Michael"/>
    <s v="Brent"/>
    <n v="2018"/>
    <n v="3"/>
    <n v="1.1000000000000001"/>
    <n v="127"/>
    <n v="52"/>
    <x v="0"/>
    <s v="Michael"/>
    <s v="AKCOVA"/>
    <s v="Y"/>
  </r>
  <r>
    <n v="754"/>
    <n v="1474"/>
    <n v="1117"/>
    <s v="Brent"/>
    <s v="Michael"/>
    <n v="2018"/>
    <n v="3"/>
    <n v="1.2"/>
    <n v="75"/>
    <n v="-52"/>
    <x v="1"/>
    <s v="Brent"/>
    <s v="TEXAROK"/>
    <s v="Y"/>
  </r>
  <r>
    <n v="755"/>
    <n v="703"/>
    <n v="357"/>
    <s v="David"/>
    <s v="Matt"/>
    <n v="2018"/>
    <n v="3"/>
    <n v="2.1"/>
    <n v="102"/>
    <n v="3"/>
    <x v="0"/>
    <s v="David"/>
    <s v="TEXAROK"/>
    <s v="N"/>
  </r>
  <r>
    <n v="756"/>
    <n v="823"/>
    <n v="414"/>
    <s v="Matt"/>
    <s v="David"/>
    <n v="2018"/>
    <n v="3"/>
    <n v="2.2000000000000002"/>
    <n v="99"/>
    <n v="-3"/>
    <x v="1"/>
    <s v="Matt"/>
    <s v="TEXAROK"/>
    <s v="N"/>
  </r>
  <r>
    <n v="757"/>
    <n v="766"/>
    <n v="544"/>
    <s v="Brian"/>
    <s v="BR"/>
    <n v="2018"/>
    <n v="3"/>
    <n v="3.1"/>
    <n v="94"/>
    <n v="0"/>
    <x v="2"/>
    <s v="Brian"/>
    <s v="TEXAROK"/>
    <s v="Y"/>
  </r>
  <r>
    <n v="758"/>
    <n v="766"/>
    <n v="544"/>
    <s v="BR"/>
    <s v="Brian"/>
    <n v="2018"/>
    <n v="3"/>
    <n v="3.2"/>
    <n v="94"/>
    <n v="0"/>
    <x v="2"/>
    <s v="BR"/>
    <s v="AKCOVA"/>
    <s v="Y"/>
  </r>
  <r>
    <n v="759"/>
    <n v="1310"/>
    <n v="1243"/>
    <s v="Russell"/>
    <s v="Emily"/>
    <n v="2018"/>
    <n v="3"/>
    <n v="4.0999999999999996"/>
    <n v="70"/>
    <n v="-30"/>
    <x v="1"/>
    <s v="Russell"/>
    <s v="TEXAROK"/>
    <s v="N"/>
  </r>
  <r>
    <n v="760"/>
    <n v="220"/>
    <n v="391"/>
    <s v="Emily"/>
    <s v="Russell"/>
    <n v="2018"/>
    <n v="3"/>
    <n v="4.2"/>
    <n v="100"/>
    <n v="30"/>
    <x v="0"/>
    <s v="Emily"/>
    <s v="TEXAROK"/>
    <s v="N"/>
  </r>
  <r>
    <n v="761"/>
    <n v="525"/>
    <n v="572"/>
    <s v="Abby"/>
    <s v="Charles"/>
    <n v="2018"/>
    <n v="3"/>
    <n v="5.0999999999999996"/>
    <n v="93"/>
    <n v="12"/>
    <x v="0"/>
    <s v="Abby"/>
    <s v="AKCOVA"/>
    <s v="N"/>
  </r>
  <r>
    <n v="762"/>
    <n v="1002"/>
    <n v="924"/>
    <s v="Charles"/>
    <s v="Abby"/>
    <n v="2018"/>
    <n v="3"/>
    <n v="5.2"/>
    <n v="81"/>
    <n v="-12"/>
    <x v="1"/>
    <s v="Charles"/>
    <s v="AKCOVA"/>
    <s v="N"/>
  </r>
  <r>
    <n v="763"/>
    <n v="1236"/>
    <n v="1486"/>
    <s v="Watty"/>
    <s v="Mark"/>
    <n v="2018"/>
    <n v="3"/>
    <n v="6.1"/>
    <n v="53"/>
    <n v="-25"/>
    <x v="1"/>
    <s v="Watty"/>
    <s v="AKCOVA"/>
    <s v="N"/>
  </r>
  <r>
    <n v="764"/>
    <n v="291"/>
    <n v="1012"/>
    <s v="Mark"/>
    <s v="Watty"/>
    <n v="2018"/>
    <n v="3"/>
    <n v="6.2"/>
    <n v="78"/>
    <n v="25"/>
    <x v="0"/>
    <s v="Mark"/>
    <s v="AKCOVA"/>
    <s v="N"/>
  </r>
  <r>
    <n v="765"/>
    <n v="153"/>
    <n v="357"/>
    <s v="Russell"/>
    <s v="Michael"/>
    <n v="2018"/>
    <n v="4"/>
    <n v="1.1000000000000001"/>
    <n v="102"/>
    <n v="37"/>
    <x v="0"/>
    <s v="Russell"/>
    <s v="TEXAROK"/>
    <s v="Y"/>
  </r>
  <r>
    <n v="766"/>
    <n v="1382"/>
    <n v="1333"/>
    <s v="Michael"/>
    <s v="Russell"/>
    <n v="2018"/>
    <n v="4"/>
    <n v="1.2"/>
    <n v="65"/>
    <n v="-37"/>
    <x v="1"/>
    <s v="Michael"/>
    <s v="AKCOVA"/>
    <s v="Y"/>
  </r>
  <r>
    <n v="767"/>
    <n v="72"/>
    <n v="6"/>
    <s v="Emily"/>
    <s v="Matt"/>
    <n v="2018"/>
    <n v="4"/>
    <n v="2.1"/>
    <n v="155"/>
    <n v="51"/>
    <x v="0"/>
    <s v="Emily"/>
    <s v="TEXAROK"/>
    <s v="N"/>
  </r>
  <r>
    <n v="768"/>
    <n v="1470"/>
    <n v="311"/>
    <s v="Matt"/>
    <s v="Emily"/>
    <n v="2018"/>
    <n v="4"/>
    <n v="2.2000000000000002"/>
    <n v="104"/>
    <n v="-51"/>
    <x v="1"/>
    <s v="Matt"/>
    <s v="TEXAROK"/>
    <s v="N"/>
  </r>
  <r>
    <n v="769"/>
    <n v="433"/>
    <n v="163"/>
    <s v="Charles"/>
    <s v="Watty"/>
    <n v="2018"/>
    <n v="4"/>
    <n v="3.1"/>
    <n v="113"/>
    <n v="17"/>
    <x v="0"/>
    <s v="Charles"/>
    <s v="AKCOVA"/>
    <s v="N"/>
  </r>
  <r>
    <n v="770"/>
    <n v="1095"/>
    <n v="493"/>
    <s v="Watty"/>
    <s v="Charles"/>
    <n v="2018"/>
    <n v="4"/>
    <n v="3.2"/>
    <n v="96"/>
    <n v="-17"/>
    <x v="1"/>
    <s v="Watty"/>
    <s v="AKCOVA"/>
    <s v="N"/>
  </r>
  <r>
    <n v="771"/>
    <n v="310"/>
    <n v="138"/>
    <s v="Brent"/>
    <s v="David"/>
    <n v="2018"/>
    <n v="4"/>
    <n v="4.0999999999999996"/>
    <n v="116"/>
    <n v="24"/>
    <x v="0"/>
    <s v="Brent"/>
    <s v="TEXAROK"/>
    <s v="N"/>
  </r>
  <r>
    <n v="772"/>
    <n v="1222"/>
    <n v="599"/>
    <s v="David"/>
    <s v="Brent"/>
    <n v="2018"/>
    <n v="4"/>
    <n v="4.2"/>
    <n v="92"/>
    <n v="-24"/>
    <x v="1"/>
    <s v="David"/>
    <s v="TEXAROK"/>
    <s v="N"/>
  </r>
  <r>
    <n v="773"/>
    <n v="805"/>
    <n v="1383"/>
    <s v="Brian"/>
    <s v="Abby"/>
    <n v="2018"/>
    <n v="4"/>
    <n v="5.0999999999999996"/>
    <n v="62"/>
    <n v="-2"/>
    <x v="1"/>
    <s v="Brian"/>
    <s v="TEXAROK"/>
    <s v="Y"/>
  </r>
  <r>
    <n v="774"/>
    <n v="723"/>
    <n v="1346"/>
    <s v="Abby"/>
    <s v="Brian"/>
    <n v="2018"/>
    <n v="4"/>
    <n v="5.2"/>
    <n v="64"/>
    <n v="2"/>
    <x v="0"/>
    <s v="Abby"/>
    <s v="AKCOVA"/>
    <s v="Y"/>
  </r>
  <r>
    <n v="775"/>
    <n v="503"/>
    <n v="741"/>
    <s v="BR"/>
    <s v="Mark"/>
    <n v="2018"/>
    <n v="4"/>
    <n v="6.1"/>
    <n v="87"/>
    <n v="13"/>
    <x v="0"/>
    <s v="BR"/>
    <s v="AKCOVA"/>
    <s v="N"/>
  </r>
  <r>
    <n v="776"/>
    <n v="1021"/>
    <n v="1135"/>
    <s v="Mark"/>
    <s v="BR"/>
    <n v="2018"/>
    <n v="4"/>
    <n v="6.2"/>
    <n v="74"/>
    <n v="-13"/>
    <x v="1"/>
    <s v="Mark"/>
    <s v="AKCOVA"/>
    <s v="N"/>
  </r>
  <r>
    <n v="777"/>
    <n v="194"/>
    <n v="207"/>
    <s v="Michael"/>
    <s v="David"/>
    <n v="2018"/>
    <n v="5"/>
    <n v="1.1000000000000001"/>
    <n v="110"/>
    <n v="32"/>
    <x v="0"/>
    <s v="Michael"/>
    <s v="AKCOVA"/>
    <s v="Y"/>
  </r>
  <r>
    <n v="778"/>
    <n v="1341"/>
    <n v="1012"/>
    <s v="David"/>
    <s v="Michael"/>
    <n v="2018"/>
    <n v="5"/>
    <n v="1.2"/>
    <n v="78"/>
    <n v="-32"/>
    <x v="1"/>
    <s v="David"/>
    <s v="TEXAROK"/>
    <s v="Y"/>
  </r>
  <r>
    <n v="779"/>
    <n v="1519"/>
    <n v="1441"/>
    <s v="Emily"/>
    <s v="Brent"/>
    <n v="2018"/>
    <n v="5"/>
    <n v="2.1"/>
    <n v="58"/>
    <n v="-66"/>
    <x v="1"/>
    <s v="Emily"/>
    <s v="TEXAROK"/>
    <s v="N"/>
  </r>
  <r>
    <n v="780"/>
    <n v="24"/>
    <n v="78"/>
    <s v="Brent"/>
    <s v="Emily"/>
    <n v="2018"/>
    <n v="5"/>
    <n v="2.2000000000000002"/>
    <n v="124"/>
    <n v="66"/>
    <x v="0"/>
    <s v="Brent"/>
    <s v="TEXAROK"/>
    <s v="N"/>
  </r>
  <r>
    <n v="781"/>
    <n v="1043"/>
    <n v="572"/>
    <s v="Mark"/>
    <s v="Brian"/>
    <n v="2018"/>
    <n v="5"/>
    <n v="3.1"/>
    <n v="93"/>
    <n v="-14"/>
    <x v="1"/>
    <s v="Mark"/>
    <s v="AKCOVA"/>
    <s v="Y"/>
  </r>
  <r>
    <n v="782"/>
    <n v="483"/>
    <n v="257"/>
    <s v="Brian"/>
    <s v="Mark"/>
    <n v="2018"/>
    <n v="5"/>
    <n v="3.2"/>
    <n v="107"/>
    <n v="14"/>
    <x v="0"/>
    <s v="Brian"/>
    <s v="TEXAROK"/>
    <s v="Y"/>
  </r>
  <r>
    <n v="783"/>
    <n v="1451"/>
    <n v="1530"/>
    <s v="Matt"/>
    <s v="Russell"/>
    <n v="2018"/>
    <n v="5"/>
    <n v="4.0999999999999996"/>
    <n v="44"/>
    <n v="-45"/>
    <x v="1"/>
    <s v="Matt"/>
    <s v="TEXAROK"/>
    <s v="N"/>
  </r>
  <r>
    <n v="784"/>
    <n v="91"/>
    <n v="673"/>
    <s v="Russell"/>
    <s v="Matt"/>
    <n v="2018"/>
    <n v="5"/>
    <n v="4.2"/>
    <n v="89"/>
    <n v="45"/>
    <x v="0"/>
    <s v="Russell"/>
    <s v="TEXAROK"/>
    <s v="N"/>
  </r>
  <r>
    <n v="785"/>
    <n v="1148"/>
    <n v="1398"/>
    <s v="Abby"/>
    <s v="Watty"/>
    <n v="2018"/>
    <n v="5"/>
    <n v="5.0999999999999996"/>
    <n v="61"/>
    <n v="-20"/>
    <x v="1"/>
    <s v="Abby"/>
    <s v="AKCOVA"/>
    <s v="N"/>
  </r>
  <r>
    <n v="786"/>
    <n v="373"/>
    <n v="924"/>
    <s v="Watty"/>
    <s v="Abby"/>
    <n v="2018"/>
    <n v="5"/>
    <n v="5.2"/>
    <n v="81"/>
    <n v="20"/>
    <x v="0"/>
    <s v="Watty"/>
    <s v="AKCOVA"/>
    <s v="N"/>
  </r>
  <r>
    <n v="787"/>
    <n v="563"/>
    <n v="180"/>
    <s v="BR"/>
    <s v="Charles"/>
    <n v="2018"/>
    <n v="5"/>
    <n v="6.1"/>
    <n v="112"/>
    <n v="10"/>
    <x v="0"/>
    <s v="BR"/>
    <s v="AKCOVA"/>
    <s v="N"/>
  </r>
  <r>
    <n v="788"/>
    <n v="966"/>
    <n v="357"/>
    <s v="Charles"/>
    <s v="BR"/>
    <n v="2018"/>
    <n v="5"/>
    <n v="6.2"/>
    <n v="102"/>
    <n v="-10"/>
    <x v="1"/>
    <s v="Charles"/>
    <s v="AKCOVA"/>
    <s v="N"/>
  </r>
  <r>
    <n v="789"/>
    <n v="1352"/>
    <n v="1527"/>
    <s v="Abby"/>
    <s v="Michael"/>
    <n v="2018"/>
    <n v="6"/>
    <n v="1.1000000000000001"/>
    <n v="45"/>
    <n v="-33"/>
    <x v="1"/>
    <s v="Abby"/>
    <s v="AKCOVA"/>
    <s v="N"/>
  </r>
  <r>
    <n v="790"/>
    <n v="184"/>
    <n v="1012"/>
    <s v="Michael"/>
    <s v="Abby"/>
    <n v="2018"/>
    <n v="6"/>
    <n v="1.2"/>
    <n v="78"/>
    <n v="33"/>
    <x v="0"/>
    <s v="Michael"/>
    <s v="AKCOVA"/>
    <s v="N"/>
  </r>
  <r>
    <n v="791"/>
    <n v="373"/>
    <n v="461"/>
    <s v="BR"/>
    <s v="Emily"/>
    <n v="2018"/>
    <n v="6"/>
    <n v="2.1"/>
    <n v="97"/>
    <n v="20"/>
    <x v="0"/>
    <s v="BR"/>
    <s v="AKCOVA"/>
    <s v="Y"/>
  </r>
  <r>
    <n v="792"/>
    <n v="1148"/>
    <n v="1044"/>
    <s v="Emily"/>
    <s v="BR"/>
    <n v="2018"/>
    <n v="6"/>
    <n v="2.2000000000000002"/>
    <n v="77"/>
    <n v="-20"/>
    <x v="1"/>
    <s v="Emily"/>
    <s v="TEXAROK"/>
    <s v="Y"/>
  </r>
  <r>
    <n v="793"/>
    <n v="1519"/>
    <n v="710"/>
    <s v="Brian"/>
    <s v="Russell"/>
    <n v="2018"/>
    <n v="6"/>
    <n v="3.1"/>
    <n v="88"/>
    <n v="-66"/>
    <x v="1"/>
    <s v="Brian"/>
    <s v="TEXAROK"/>
    <s v="N"/>
  </r>
  <r>
    <n v="794"/>
    <n v="24"/>
    <n v="7"/>
    <s v="Russell"/>
    <s v="Brian"/>
    <n v="2018"/>
    <n v="6"/>
    <n v="3.2"/>
    <n v="154"/>
    <n v="66"/>
    <x v="0"/>
    <s v="Russell"/>
    <s v="TEXAROK"/>
    <s v="N"/>
  </r>
  <r>
    <n v="795"/>
    <n v="1434"/>
    <n v="796"/>
    <s v="Mark"/>
    <s v="Matt"/>
    <n v="2018"/>
    <n v="6"/>
    <n v="4.0999999999999996"/>
    <n v="85"/>
    <n v="-43"/>
    <x v="1"/>
    <s v="Mark"/>
    <s v="AKCOVA"/>
    <s v="Y"/>
  </r>
  <r>
    <n v="796"/>
    <n v="103"/>
    <n v="58"/>
    <s v="Matt"/>
    <s v="Mark"/>
    <n v="2018"/>
    <n v="6"/>
    <n v="4.2"/>
    <n v="128"/>
    <n v="43"/>
    <x v="0"/>
    <s v="Matt"/>
    <s v="TEXAROK"/>
    <s v="Y"/>
  </r>
  <r>
    <n v="797"/>
    <n v="882"/>
    <n v="311"/>
    <s v="Charles"/>
    <s v="Brent"/>
    <n v="2018"/>
    <n v="6"/>
    <n v="5.0999999999999996"/>
    <n v="104"/>
    <n v="-6"/>
    <x v="1"/>
    <s v="Charles"/>
    <s v="AKCOVA"/>
    <s v="Y"/>
  </r>
  <r>
    <n v="798"/>
    <n v="643"/>
    <n v="207"/>
    <s v="Brent"/>
    <s v="Charles"/>
    <n v="2018"/>
    <n v="6"/>
    <n v="5.2"/>
    <n v="110"/>
    <n v="6"/>
    <x v="0"/>
    <s v="Brent"/>
    <s v="TEXAROK"/>
    <s v="Y"/>
  </r>
  <r>
    <n v="799"/>
    <n v="40"/>
    <n v="391"/>
    <s v="Watty"/>
    <s v="David"/>
    <n v="2018"/>
    <n v="6"/>
    <n v="6.1"/>
    <n v="100"/>
    <n v="59"/>
    <x v="0"/>
    <s v="Watty"/>
    <s v="AKCOVA"/>
    <s v="Y"/>
  </r>
  <r>
    <n v="800"/>
    <n v="1503"/>
    <n v="1536"/>
    <s v="David"/>
    <s v="Watty"/>
    <n v="2018"/>
    <n v="6"/>
    <n v="6.2"/>
    <n v="41"/>
    <n v="-59"/>
    <x v="1"/>
    <s v="David"/>
    <s v="TEXAROK"/>
    <s v="Y"/>
  </r>
  <r>
    <n v="801"/>
    <n v="882"/>
    <n v="391"/>
    <s v="Michael"/>
    <s v="Watty"/>
    <n v="2018"/>
    <n v="7"/>
    <n v="1.1000000000000001"/>
    <n v="100"/>
    <n v="-6"/>
    <x v="1"/>
    <s v="Michael"/>
    <s v="AKCOVA"/>
    <s v="N"/>
  </r>
  <r>
    <n v="802"/>
    <n v="643"/>
    <n v="271"/>
    <s v="Watty"/>
    <s v="Michael"/>
    <n v="2018"/>
    <n v="7"/>
    <n v="1.2"/>
    <n v="106"/>
    <n v="6"/>
    <x v="0"/>
    <s v="Watty"/>
    <s v="AKCOVA"/>
    <s v="N"/>
  </r>
  <r>
    <n v="803"/>
    <n v="1495"/>
    <n v="883"/>
    <s v="Emily"/>
    <s v="Mark"/>
    <n v="2018"/>
    <n v="7"/>
    <n v="2.1"/>
    <n v="82"/>
    <n v="-58"/>
    <x v="1"/>
    <s v="Emily"/>
    <s v="TEXAROK"/>
    <s v="Y"/>
  </r>
  <r>
    <n v="804"/>
    <n v="43"/>
    <n v="21"/>
    <s v="Mark"/>
    <s v="Emily"/>
    <n v="2018"/>
    <n v="7"/>
    <n v="2.2000000000000002"/>
    <n v="140"/>
    <n v="58"/>
    <x v="0"/>
    <s v="Mark"/>
    <s v="AKCOVA"/>
    <s v="Y"/>
  </r>
  <r>
    <n v="805"/>
    <n v="924"/>
    <n v="1265"/>
    <s v="Russell"/>
    <s v="Charles"/>
    <n v="2018"/>
    <n v="7"/>
    <n v="3.1"/>
    <n v="69"/>
    <n v="-8"/>
    <x v="1"/>
    <s v="Russell"/>
    <s v="TEXAROK"/>
    <s v="Y"/>
  </r>
  <r>
    <n v="806"/>
    <n v="596"/>
    <n v="1044"/>
    <s v="Charles"/>
    <s v="Russell"/>
    <n v="2018"/>
    <n v="7"/>
    <n v="3.2"/>
    <n v="77"/>
    <n v="8"/>
    <x v="0"/>
    <s v="Charles"/>
    <s v="AKCOVA"/>
    <s v="Y"/>
  </r>
  <r>
    <n v="807"/>
    <n v="112"/>
    <n v="78"/>
    <s v="Matt"/>
    <s v="Abby"/>
    <n v="2018"/>
    <n v="7"/>
    <n v="4.0999999999999996"/>
    <n v="124"/>
    <n v="42"/>
    <x v="0"/>
    <s v="Matt"/>
    <s v="TEXAROK"/>
    <s v="Y"/>
  </r>
  <r>
    <n v="808"/>
    <n v="1427"/>
    <n v="883"/>
    <s v="Abby"/>
    <s v="Matt"/>
    <n v="2018"/>
    <n v="7"/>
    <n v="4.2"/>
    <n v="82"/>
    <n v="-42"/>
    <x v="1"/>
    <s v="Abby"/>
    <s v="AKCOVA"/>
    <s v="Y"/>
  </r>
  <r>
    <n v="809"/>
    <n v="741"/>
    <n v="1198"/>
    <s v="Brent"/>
    <s v="BR"/>
    <n v="2018"/>
    <n v="7"/>
    <n v="5.0999999999999996"/>
    <n v="72"/>
    <n v="1"/>
    <x v="0"/>
    <s v="Brent"/>
    <s v="TEXAROK"/>
    <s v="Y"/>
  </r>
  <r>
    <n v="810"/>
    <n v="780"/>
    <n v="1224"/>
    <s v="BR"/>
    <s v="Brent"/>
    <n v="2018"/>
    <n v="7"/>
    <n v="5.2"/>
    <n v="71"/>
    <n v="-1"/>
    <x v="1"/>
    <s v="BR"/>
    <s v="AKCOVA"/>
    <s v="Y"/>
  </r>
  <r>
    <n v="811"/>
    <n v="1063"/>
    <n v="1346"/>
    <s v="David"/>
    <s v="Brian"/>
    <n v="2018"/>
    <n v="7"/>
    <n v="6.1"/>
    <n v="64"/>
    <n v="-15"/>
    <x v="1"/>
    <s v="David"/>
    <s v="TEXAROK"/>
    <s v="N"/>
  </r>
  <r>
    <n v="812"/>
    <n v="467"/>
    <n v="984"/>
    <s v="Brian"/>
    <s v="David"/>
    <n v="2018"/>
    <n v="7"/>
    <n v="6.2"/>
    <n v="79"/>
    <n v="15"/>
    <x v="0"/>
    <s v="Brian"/>
    <s v="TEXAROK"/>
    <s v="N"/>
  </r>
  <r>
    <n v="813"/>
    <n v="1362"/>
    <n v="339"/>
    <s v="Brian"/>
    <s v="Michael"/>
    <n v="2018"/>
    <n v="8"/>
    <n v="1.1000000000000001"/>
    <n v="103"/>
    <n v="-34"/>
    <x v="1"/>
    <s v="Brian"/>
    <s v="TEXAROK"/>
    <s v="Y"/>
  </r>
  <r>
    <n v="814"/>
    <n v="178"/>
    <n v="27"/>
    <s v="Michael"/>
    <s v="Brian"/>
    <n v="2018"/>
    <n v="8"/>
    <n v="1.2"/>
    <n v="137"/>
    <n v="34"/>
    <x v="0"/>
    <s v="Michael"/>
    <s v="AKCOVA"/>
    <s v="Y"/>
  </r>
  <r>
    <n v="815"/>
    <n v="1310"/>
    <n v="518"/>
    <s v="Mark"/>
    <s v="Brent"/>
    <n v="2018"/>
    <n v="8"/>
    <n v="2.1"/>
    <n v="95"/>
    <n v="-30"/>
    <x v="1"/>
    <s v="Mark"/>
    <s v="AKCOVA"/>
    <s v="Y"/>
  </r>
  <r>
    <n v="816"/>
    <n v="220"/>
    <n v="74"/>
    <s v="Brent"/>
    <s v="Mark"/>
    <n v="2018"/>
    <n v="8"/>
    <n v="2.2000000000000002"/>
    <n v="125"/>
    <n v="30"/>
    <x v="0"/>
    <s v="Brent"/>
    <s v="TEXAROK"/>
    <s v="Y"/>
  </r>
  <r>
    <n v="817"/>
    <n v="1236"/>
    <n v="883"/>
    <s v="Charles"/>
    <s v="David"/>
    <n v="2018"/>
    <n v="8"/>
    <n v="3.1"/>
    <n v="82"/>
    <n v="-25"/>
    <x v="1"/>
    <s v="Charles"/>
    <s v="AKCOVA"/>
    <s v="Y"/>
  </r>
  <r>
    <n v="818"/>
    <n v="291"/>
    <n v="257"/>
    <s v="David"/>
    <s v="Charles"/>
    <n v="2018"/>
    <n v="8"/>
    <n v="3.2"/>
    <n v="107"/>
    <n v="25"/>
    <x v="0"/>
    <s v="David"/>
    <s v="TEXAROK"/>
    <s v="Y"/>
  </r>
  <r>
    <n v="819"/>
    <n v="1405"/>
    <n v="1346"/>
    <s v="Abby"/>
    <s v="Emily"/>
    <n v="2018"/>
    <n v="8"/>
    <n v="4.0999999999999996"/>
    <n v="64"/>
    <n v="-39"/>
    <x v="1"/>
    <s v="Abby"/>
    <s v="AKCOVA"/>
    <s v="Y"/>
  </r>
  <r>
    <n v="820"/>
    <n v="134"/>
    <n v="339"/>
    <s v="Emily"/>
    <s v="Abby"/>
    <n v="2018"/>
    <n v="8"/>
    <n v="4.2"/>
    <n v="103"/>
    <n v="39"/>
    <x v="0"/>
    <s v="Emily"/>
    <s v="TEXAROK"/>
    <s v="Y"/>
  </r>
  <r>
    <n v="821"/>
    <n v="291"/>
    <n v="627"/>
    <s v="BR"/>
    <s v="Russell"/>
    <n v="2018"/>
    <n v="8"/>
    <n v="5.0999999999999996"/>
    <n v="91"/>
    <n v="25"/>
    <x v="0"/>
    <s v="BR"/>
    <s v="AKCOVA"/>
    <s v="Y"/>
  </r>
  <r>
    <n v="822"/>
    <n v="1236"/>
    <n v="1319"/>
    <s v="Russell"/>
    <s v="BR"/>
    <n v="2018"/>
    <n v="8"/>
    <n v="5.2"/>
    <n v="66"/>
    <n v="-25"/>
    <x v="1"/>
    <s v="Russell"/>
    <s v="TEXAROK"/>
    <s v="Y"/>
  </r>
  <r>
    <n v="823"/>
    <n v="983"/>
    <n v="1383"/>
    <s v="Watty"/>
    <s v="Matt"/>
    <n v="2018"/>
    <n v="8"/>
    <n v="6.1"/>
    <n v="62"/>
    <n v="-11"/>
    <x v="1"/>
    <s v="Watty"/>
    <s v="AKCOVA"/>
    <s v="Y"/>
  </r>
  <r>
    <n v="824"/>
    <n v="544"/>
    <n v="1162"/>
    <s v="Matt"/>
    <s v="Watty"/>
    <n v="2018"/>
    <n v="8"/>
    <n v="6.2"/>
    <n v="73"/>
    <n v="11"/>
    <x v="0"/>
    <s v="Matt"/>
    <s v="TEXAROK"/>
    <s v="Y"/>
  </r>
  <r>
    <n v="825"/>
    <n v="134"/>
    <n v="29"/>
    <s v="Michael"/>
    <s v="Charles"/>
    <n v="2018"/>
    <n v="9"/>
    <n v="1.1000000000000001"/>
    <n v="136"/>
    <n v="39"/>
    <x v="0"/>
    <s v="Michael"/>
    <s v="AKCOVA"/>
    <s v="N"/>
  </r>
  <r>
    <n v="826"/>
    <n v="1405"/>
    <n v="461"/>
    <s v="Charles"/>
    <s v="Michael"/>
    <n v="2018"/>
    <n v="9"/>
    <n v="1.2"/>
    <n v="97"/>
    <n v="-39"/>
    <x v="1"/>
    <s v="Charles"/>
    <s v="AKCOVA"/>
    <s v="N"/>
  </r>
  <r>
    <n v="827"/>
    <n v="1002"/>
    <n v="1346"/>
    <s v="Russell"/>
    <s v="Mark"/>
    <n v="2018"/>
    <n v="9"/>
    <n v="2.1"/>
    <n v="64"/>
    <n v="-12"/>
    <x v="1"/>
    <s v="Russell"/>
    <s v="TEXAROK"/>
    <s v="Y"/>
  </r>
  <r>
    <n v="828"/>
    <n v="525"/>
    <n v="1076"/>
    <s v="Mark"/>
    <s v="Russell"/>
    <n v="2018"/>
    <n v="9"/>
    <n v="2.2000000000000002"/>
    <n v="76"/>
    <n v="12"/>
    <x v="0"/>
    <s v="Mark"/>
    <s v="AKCOVA"/>
    <s v="Y"/>
  </r>
  <r>
    <n v="829"/>
    <n v="220"/>
    <n v="180"/>
    <s v="Matt"/>
    <s v="Brian"/>
    <n v="2018"/>
    <n v="9"/>
    <n v="3.1"/>
    <n v="112"/>
    <n v="30"/>
    <x v="0"/>
    <s v="Matt"/>
    <s v="TEXAROK"/>
    <s v="N"/>
  </r>
  <r>
    <n v="830"/>
    <n v="1310"/>
    <n v="883"/>
    <s v="Brian"/>
    <s v="Matt"/>
    <n v="2018"/>
    <n v="9"/>
    <n v="3.2"/>
    <n v="82"/>
    <n v="-30"/>
    <x v="1"/>
    <s v="Brian"/>
    <s v="TEXAROK"/>
    <s v="N"/>
  </r>
  <r>
    <n v="831"/>
    <n v="119"/>
    <n v="710"/>
    <s v="Brent"/>
    <s v="Abby"/>
    <n v="2018"/>
    <n v="9"/>
    <n v="4.0999999999999996"/>
    <n v="88"/>
    <n v="41"/>
    <x v="0"/>
    <s v="Brent"/>
    <s v="TEXAROK"/>
    <s v="Y"/>
  </r>
  <r>
    <n v="832"/>
    <n v="1422"/>
    <n v="1520"/>
    <s v="Abby"/>
    <s v="Brent"/>
    <n v="2018"/>
    <n v="9"/>
    <n v="4.2"/>
    <n v="47"/>
    <n v="-41"/>
    <x v="1"/>
    <s v="Abby"/>
    <s v="AKCOVA"/>
    <s v="Y"/>
  </r>
  <r>
    <n v="833"/>
    <n v="924"/>
    <n v="741"/>
    <s v="David"/>
    <s v="BR"/>
    <n v="2018"/>
    <n v="9"/>
    <n v="5.0999999999999996"/>
    <n v="87"/>
    <n v="-8"/>
    <x v="1"/>
    <s v="David"/>
    <s v="TEXAROK"/>
    <s v="Y"/>
  </r>
  <r>
    <n v="834"/>
    <n v="596"/>
    <n v="518"/>
    <s v="BR"/>
    <s v="David"/>
    <n v="2018"/>
    <n v="9"/>
    <n v="5.2"/>
    <n v="95"/>
    <n v="8"/>
    <x v="0"/>
    <s v="BR"/>
    <s v="AKCOVA"/>
    <s v="Y"/>
  </r>
  <r>
    <n v="835"/>
    <n v="373"/>
    <n v="130"/>
    <s v="Emily"/>
    <s v="Watty"/>
    <n v="2018"/>
    <n v="9"/>
    <n v="6.1"/>
    <n v="117"/>
    <n v="20"/>
    <x v="0"/>
    <s v="Emily"/>
    <s v="TEXAROK"/>
    <s v="Y"/>
  </r>
  <r>
    <n v="836"/>
    <n v="1148"/>
    <n v="461"/>
    <s v="Watty"/>
    <s v="Emily"/>
    <n v="2018"/>
    <n v="9"/>
    <n v="6.2"/>
    <n v="97"/>
    <n v="-20"/>
    <x v="1"/>
    <s v="Watty"/>
    <s v="AKCOVA"/>
    <s v="Y"/>
  </r>
  <r>
    <n v="837"/>
    <n v="247"/>
    <n v="357"/>
    <s v="BR"/>
    <s v="Michael"/>
    <n v="2018"/>
    <n v="10"/>
    <n v="1.1000000000000001"/>
    <n v="102"/>
    <n v="28"/>
    <x v="0"/>
    <s v="BR"/>
    <s v="AKCOVA"/>
    <s v="N"/>
  </r>
  <r>
    <n v="838"/>
    <n v="1286"/>
    <n v="1135"/>
    <s v="Michael"/>
    <s v="BR"/>
    <n v="2018"/>
    <n v="10"/>
    <n v="1.2"/>
    <n v="74"/>
    <n v="-28"/>
    <x v="1"/>
    <s v="Michael"/>
    <s v="AKCOVA"/>
    <s v="N"/>
  </r>
  <r>
    <n v="839"/>
    <n v="503"/>
    <n v="78"/>
    <s v="Mark"/>
    <s v="David"/>
    <n v="2018"/>
    <n v="10"/>
    <n v="2.1"/>
    <n v="124"/>
    <n v="13"/>
    <x v="0"/>
    <s v="Mark"/>
    <s v="AKCOVA"/>
    <s v="Y"/>
  </r>
  <r>
    <n v="840"/>
    <n v="1021"/>
    <n v="192"/>
    <s v="David"/>
    <s v="Mark"/>
    <n v="2018"/>
    <n v="10"/>
    <n v="2.2000000000000002"/>
    <n v="111"/>
    <n v="-13"/>
    <x v="1"/>
    <s v="David"/>
    <s v="TEXAROK"/>
    <s v="Y"/>
  </r>
  <r>
    <n v="841"/>
    <n v="1095"/>
    <n v="1243"/>
    <s v="Brian"/>
    <s v="Emily"/>
    <n v="2018"/>
    <n v="10"/>
    <n v="3.1"/>
    <n v="70"/>
    <n v="-17"/>
    <x v="1"/>
    <s v="Brian"/>
    <s v="TEXAROK"/>
    <s v="N"/>
  </r>
  <r>
    <n v="842"/>
    <n v="433"/>
    <n v="741"/>
    <s v="Emily"/>
    <s v="Brian"/>
    <n v="2018"/>
    <n v="10"/>
    <n v="3.2"/>
    <n v="87"/>
    <n v="17"/>
    <x v="0"/>
    <s v="Emily"/>
    <s v="TEXAROK"/>
    <s v="N"/>
  </r>
  <r>
    <n v="843"/>
    <n v="1495"/>
    <n v="1362"/>
    <s v="Abby"/>
    <s v="Russell"/>
    <n v="2018"/>
    <n v="10"/>
    <n v="4.0999999999999996"/>
    <n v="63"/>
    <n v="-58"/>
    <x v="1"/>
    <s v="Abby"/>
    <s v="AKCOVA"/>
    <s v="Y"/>
  </r>
  <r>
    <n v="844"/>
    <n v="43"/>
    <n v="98"/>
    <s v="Russell"/>
    <s v="Abby"/>
    <n v="2018"/>
    <n v="10"/>
    <n v="4.2"/>
    <n v="121"/>
    <n v="58"/>
    <x v="0"/>
    <s v="Russell"/>
    <s v="TEXAROK"/>
    <s v="Y"/>
  </r>
  <r>
    <n v="845"/>
    <n v="291"/>
    <n v="163"/>
    <s v="Charles"/>
    <s v="Matt"/>
    <n v="2018"/>
    <n v="10"/>
    <n v="5.0999999999999996"/>
    <n v="113"/>
    <n v="25"/>
    <x v="0"/>
    <s v="Charles"/>
    <s v="AKCOVA"/>
    <s v="Y"/>
  </r>
  <r>
    <n v="846"/>
    <n v="1236"/>
    <n v="710"/>
    <s v="Matt"/>
    <s v="Charles"/>
    <n v="2018"/>
    <n v="10"/>
    <n v="5.2"/>
    <n v="88"/>
    <n v="-25"/>
    <x v="1"/>
    <s v="Matt"/>
    <s v="TEXAROK"/>
    <s v="Y"/>
  </r>
  <r>
    <n v="847"/>
    <n v="1095"/>
    <n v="493"/>
    <s v="Watty"/>
    <s v="Brent"/>
    <n v="2018"/>
    <n v="10"/>
    <n v="6.1"/>
    <n v="96"/>
    <n v="-17"/>
    <x v="1"/>
    <s v="Watty"/>
    <s v="AKCOVA"/>
    <s v="Y"/>
  </r>
  <r>
    <n v="848"/>
    <n v="433"/>
    <n v="163"/>
    <s v="Brent"/>
    <s v="Watty"/>
    <n v="2018"/>
    <n v="10"/>
    <n v="6.2"/>
    <n v="113"/>
    <n v="17"/>
    <x v="0"/>
    <s v="Brent"/>
    <s v="TEXAROK"/>
    <s v="Y"/>
  </r>
  <r>
    <n v="849"/>
    <n v="324"/>
    <n v="461"/>
    <s v="Michael"/>
    <s v="Mark"/>
    <n v="2018"/>
    <n v="11"/>
    <n v="1.1000000000000001"/>
    <n v="97"/>
    <n v="23"/>
    <x v="0"/>
    <s v="Michael"/>
    <s v="AKCOVA"/>
    <s v="N"/>
  </r>
  <r>
    <n v="850"/>
    <n v="1208"/>
    <n v="1135"/>
    <s v="Mark"/>
    <s v="Michael"/>
    <n v="2018"/>
    <n v="11"/>
    <n v="1.2"/>
    <n v="74"/>
    <n v="-23"/>
    <x v="1"/>
    <s v="Mark"/>
    <s v="AKCOVA"/>
    <s v="N"/>
  </r>
  <r>
    <n v="851"/>
    <n v="278"/>
    <n v="288"/>
    <s v="Matt"/>
    <s v="BR"/>
    <n v="2018"/>
    <n v="11"/>
    <n v="2.1"/>
    <n v="105"/>
    <n v="26"/>
    <x v="0"/>
    <s v="Matt"/>
    <s v="TEXAROK"/>
    <s v="Y"/>
  </r>
  <r>
    <n v="852"/>
    <n v="1255"/>
    <n v="984"/>
    <s v="BR"/>
    <s v="Matt"/>
    <n v="2018"/>
    <n v="11"/>
    <n v="2.2000000000000002"/>
    <n v="79"/>
    <n v="-26"/>
    <x v="1"/>
    <s v="BR"/>
    <s v="AKCOVA"/>
    <s v="Y"/>
  </r>
  <r>
    <n v="853"/>
    <n v="966"/>
    <n v="89"/>
    <s v="Brent"/>
    <s v="Brian"/>
    <n v="2018"/>
    <n v="11"/>
    <n v="3.1"/>
    <n v="122"/>
    <n v="-10"/>
    <x v="1"/>
    <s v="Brent"/>
    <s v="TEXAROK"/>
    <s v="N"/>
  </r>
  <r>
    <n v="854"/>
    <n v="563"/>
    <n v="42"/>
    <s v="Brian"/>
    <s v="Brent"/>
    <n v="2018"/>
    <n v="11"/>
    <n v="3.2"/>
    <n v="132"/>
    <n v="10"/>
    <x v="0"/>
    <s v="Brian"/>
    <s v="TEXAROK"/>
    <s v="N"/>
  </r>
  <r>
    <n v="855"/>
    <n v="805"/>
    <n v="768"/>
    <s v="David"/>
    <s v="Abby"/>
    <n v="2018"/>
    <n v="11"/>
    <n v="4.0999999999999996"/>
    <n v="86"/>
    <n v="-2"/>
    <x v="1"/>
    <s v="David"/>
    <s v="TEXAROK"/>
    <s v="Y"/>
  </r>
  <r>
    <n v="856"/>
    <n v="723"/>
    <n v="710"/>
    <s v="Abby"/>
    <s v="David"/>
    <n v="2018"/>
    <n v="11"/>
    <n v="4.2"/>
    <n v="88"/>
    <n v="2"/>
    <x v="0"/>
    <s v="Abby"/>
    <s v="AKCOVA"/>
    <s v="Y"/>
  </r>
  <r>
    <n v="857"/>
    <n v="622"/>
    <n v="518"/>
    <s v="Emily"/>
    <s v="Charles"/>
    <n v="2018"/>
    <n v="11"/>
    <n v="5.0999999999999996"/>
    <n v="95"/>
    <n v="7"/>
    <x v="0"/>
    <s v="Emily"/>
    <s v="TEXAROK"/>
    <s v="Y"/>
  </r>
  <r>
    <n v="858"/>
    <n v="903"/>
    <n v="710"/>
    <s v="Charles"/>
    <s v="Emily"/>
    <n v="2018"/>
    <n v="11"/>
    <n v="5.2"/>
    <n v="88"/>
    <n v="-7"/>
    <x v="1"/>
    <s v="Charles"/>
    <s v="AKCOVA"/>
    <s v="Y"/>
  </r>
  <r>
    <n v="859"/>
    <n v="451"/>
    <n v="414"/>
    <s v="Russell"/>
    <s v="Watty"/>
    <n v="2018"/>
    <n v="11"/>
    <n v="6.1"/>
    <n v="99"/>
    <n v="16"/>
    <x v="0"/>
    <s v="Russell"/>
    <s v="TEXAROK"/>
    <s v="Y"/>
  </r>
  <r>
    <n v="860"/>
    <n v="1079"/>
    <n v="852"/>
    <s v="Watty"/>
    <s v="Russell"/>
    <n v="2018"/>
    <n v="11"/>
    <n v="6.2"/>
    <n v="83"/>
    <n v="-16"/>
    <x v="1"/>
    <s v="Watty"/>
    <s v="AKCOVA"/>
    <s v="Y"/>
  </r>
  <r>
    <n v="861"/>
    <n v="247"/>
    <n v="796"/>
    <s v="Charles"/>
    <s v="Michael"/>
    <n v="2018"/>
    <n v="12"/>
    <n v="1.1000000000000001"/>
    <n v="85"/>
    <n v="28"/>
    <x v="0"/>
    <s v="Charles"/>
    <s v="AKCOVA"/>
    <s v="N"/>
  </r>
  <r>
    <n v="862"/>
    <n v="1286"/>
    <n v="1452"/>
    <s v="Michael"/>
    <s v="Charles"/>
    <n v="2018"/>
    <n v="12"/>
    <n v="1.2"/>
    <n v="57"/>
    <n v="-28"/>
    <x v="1"/>
    <s v="Michael"/>
    <s v="AKCOVA"/>
    <s v="N"/>
  </r>
  <r>
    <n v="863"/>
    <n v="580"/>
    <n v="53"/>
    <s v="Russell"/>
    <s v="David"/>
    <n v="2018"/>
    <n v="12"/>
    <n v="2.1"/>
    <n v="129"/>
    <n v="9"/>
    <x v="0"/>
    <s v="Russell"/>
    <s v="TEXAROK"/>
    <s v="N"/>
  </r>
  <r>
    <n v="864"/>
    <n v="950"/>
    <n v="107"/>
    <s v="David"/>
    <s v="Russell"/>
    <n v="2018"/>
    <n v="12"/>
    <n v="2.2000000000000002"/>
    <n v="120"/>
    <n v="-9"/>
    <x v="1"/>
    <s v="David"/>
    <s v="TEXAROK"/>
    <s v="N"/>
  </r>
  <r>
    <n v="865"/>
    <n v="1310"/>
    <n v="883"/>
    <s v="Mark"/>
    <s v="Brian"/>
    <n v="2018"/>
    <n v="12"/>
    <n v="3.1"/>
    <n v="82"/>
    <n v="-30"/>
    <x v="1"/>
    <s v="Mark"/>
    <s v="AKCOVA"/>
    <s v="Y"/>
  </r>
  <r>
    <n v="866"/>
    <n v="220"/>
    <n v="180"/>
    <s v="Brian"/>
    <s v="Mark"/>
    <n v="2018"/>
    <n v="12"/>
    <n v="3.2"/>
    <n v="112"/>
    <n v="30"/>
    <x v="0"/>
    <s v="Brian"/>
    <s v="TEXAROK"/>
    <s v="Y"/>
  </r>
  <r>
    <n v="867"/>
    <n v="1412"/>
    <n v="439"/>
    <s v="BR"/>
    <s v="Watty"/>
    <n v="2018"/>
    <n v="12"/>
    <n v="4.0999999999999996"/>
    <n v="98"/>
    <n v="-40"/>
    <x v="1"/>
    <s v="BR"/>
    <s v="AKCOVA"/>
    <s v="N"/>
  </r>
  <r>
    <n v="868"/>
    <n v="124"/>
    <n v="24"/>
    <s v="Watty"/>
    <s v="BR"/>
    <n v="2018"/>
    <n v="12"/>
    <n v="4.2"/>
    <n v="138"/>
    <n v="40"/>
    <x v="0"/>
    <s v="Watty"/>
    <s v="AKCOVA"/>
    <s v="N"/>
  </r>
  <r>
    <n v="869"/>
    <n v="194"/>
    <n v="207"/>
    <s v="Brent"/>
    <s v="Matt"/>
    <n v="2018"/>
    <n v="12"/>
    <n v="5.0999999999999996"/>
    <n v="110"/>
    <n v="32"/>
    <x v="0"/>
    <s v="Brent"/>
    <s v="TEXAROK"/>
    <s v="N"/>
  </r>
  <r>
    <n v="870"/>
    <n v="1341"/>
    <n v="1012"/>
    <s v="Matt"/>
    <s v="Brent"/>
    <n v="2018"/>
    <n v="12"/>
    <n v="5.2"/>
    <n v="78"/>
    <n v="-32"/>
    <x v="1"/>
    <s v="Matt"/>
    <s v="TEXAROK"/>
    <s v="N"/>
  </r>
  <r>
    <n v="871"/>
    <n v="563"/>
    <n v="1162"/>
    <s v="Emily"/>
    <s v="Abby"/>
    <n v="2018"/>
    <n v="12"/>
    <n v="6.1"/>
    <n v="73"/>
    <n v="10"/>
    <x v="0"/>
    <s v="Emily"/>
    <s v="TEXAROK"/>
    <s v="Y"/>
  </r>
  <r>
    <n v="872"/>
    <n v="966"/>
    <n v="1362"/>
    <s v="Abby"/>
    <s v="Emily"/>
    <n v="2018"/>
    <n v="12"/>
    <n v="6.2"/>
    <n v="63"/>
    <n v="-10"/>
    <x v="1"/>
    <s v="Abby"/>
    <s v="AKCOVA"/>
    <s v="Y"/>
  </r>
  <r>
    <n v="873"/>
    <n v="1043"/>
    <n v="1288"/>
    <s v="Watty"/>
    <s v="Michael"/>
    <n v="2018"/>
    <n v="13"/>
    <n v="1.1000000000000001"/>
    <n v="68"/>
    <n v="-14"/>
    <x v="1"/>
    <s v="Watty"/>
    <s v="AKCOVA"/>
    <s v="N"/>
  </r>
  <r>
    <n v="874"/>
    <n v="483"/>
    <n v="883"/>
    <s v="Michael"/>
    <s v="Watty"/>
    <n v="2018"/>
    <n v="13"/>
    <n v="1.2"/>
    <n v="82"/>
    <n v="14"/>
    <x v="0"/>
    <s v="Michael"/>
    <s v="AKCOVA"/>
    <s v="N"/>
  </r>
  <r>
    <n v="875"/>
    <n v="525"/>
    <n v="1224"/>
    <s v="Matt"/>
    <s v="Abby"/>
    <n v="2018"/>
    <n v="13"/>
    <n v="2.1"/>
    <n v="71"/>
    <n v="12"/>
    <x v="0"/>
    <s v="Matt"/>
    <s v="TEXAROK"/>
    <s v="Y"/>
  </r>
  <r>
    <n v="876"/>
    <n v="1002"/>
    <n v="1421"/>
    <s v="Abby"/>
    <s v="Matt"/>
    <n v="2018"/>
    <n v="13"/>
    <n v="2.2000000000000002"/>
    <n v="59"/>
    <n v="-12"/>
    <x v="1"/>
    <s v="Abby"/>
    <s v="AKCOVA"/>
    <s v="Y"/>
  </r>
  <r>
    <n v="877"/>
    <n v="1310"/>
    <n v="956"/>
    <s v="Emily"/>
    <s v="Russell"/>
    <n v="2018"/>
    <n v="13"/>
    <n v="3.1"/>
    <n v="80"/>
    <n v="-30"/>
    <x v="1"/>
    <s v="Emily"/>
    <s v="TEXAROK"/>
    <s v="N"/>
  </r>
  <r>
    <n v="878"/>
    <n v="220"/>
    <n v="207"/>
    <s v="Russell"/>
    <s v="Emily"/>
    <n v="2018"/>
    <n v="13"/>
    <n v="3.2"/>
    <n v="110"/>
    <n v="30"/>
    <x v="0"/>
    <s v="Russell"/>
    <s v="TEXAROK"/>
    <s v="N"/>
  </r>
  <r>
    <n v="879"/>
    <n v="1326"/>
    <n v="1076"/>
    <s v="Charles"/>
    <s v="BR"/>
    <n v="2018"/>
    <n v="13"/>
    <n v="4.0999999999999996"/>
    <n v="76"/>
    <n v="-31"/>
    <x v="1"/>
    <s v="Charles"/>
    <s v="AKCOVA"/>
    <s v="N"/>
  </r>
  <r>
    <n v="880"/>
    <n v="205"/>
    <n v="257"/>
    <s v="BR"/>
    <s v="Charles"/>
    <n v="2018"/>
    <n v="13"/>
    <n v="4.2"/>
    <n v="107"/>
    <n v="31"/>
    <x v="0"/>
    <s v="BR"/>
    <s v="AKCOVA"/>
    <s v="N"/>
  </r>
  <r>
    <n v="881"/>
    <n v="580"/>
    <n v="883"/>
    <s v="Mark"/>
    <s v="Brent"/>
    <n v="2018"/>
    <n v="13"/>
    <n v="5.0999999999999996"/>
    <n v="82"/>
    <n v="9"/>
    <x v="0"/>
    <s v="Mark"/>
    <s v="AKCOVA"/>
    <s v="Y"/>
  </r>
  <r>
    <n v="882"/>
    <n v="950"/>
    <n v="1162"/>
    <s v="Brent"/>
    <s v="Mark"/>
    <n v="2018"/>
    <n v="13"/>
    <n v="5.2"/>
    <n v="73"/>
    <n v="-9"/>
    <x v="1"/>
    <s v="Brent"/>
    <s v="TEXAROK"/>
    <s v="Y"/>
  </r>
  <r>
    <n v="883"/>
    <n v="966"/>
    <n v="1117"/>
    <s v="Brian"/>
    <s v="David"/>
    <n v="2018"/>
    <n v="13"/>
    <n v="6.1"/>
    <n v="75"/>
    <n v="-10"/>
    <x v="1"/>
    <s v="Brian"/>
    <s v="TEXAROK"/>
    <s v="N"/>
  </r>
  <r>
    <n v="884"/>
    <n v="563"/>
    <n v="796"/>
    <s v="David"/>
    <s v="Brian"/>
    <n v="2018"/>
    <n v="13"/>
    <n v="6.2"/>
    <n v="85"/>
    <n v="10"/>
    <x v="0"/>
    <s v="David"/>
    <s v="TEXAROK"/>
    <s v="N"/>
  </r>
  <r>
    <n v="885"/>
    <n v="544"/>
    <n v="120"/>
    <s v="Michael"/>
    <s v="Matt"/>
    <n v="2019"/>
    <n v="1"/>
    <n v="1.1000000000000001"/>
    <n v="119"/>
    <n v="11"/>
    <x v="0"/>
    <s v="Michael"/>
    <s v="AKCOVA"/>
    <s v="Y"/>
  </r>
  <r>
    <n v="886"/>
    <n v="983"/>
    <n v="239"/>
    <s v="Matt"/>
    <s v="Michael"/>
    <n v="2019"/>
    <n v="1"/>
    <n v="1.2"/>
    <n v="108"/>
    <n v="-11"/>
    <x v="1"/>
    <s v="Matt"/>
    <s v="TEXAROK"/>
    <s v="Y"/>
  </r>
  <r>
    <n v="887"/>
    <n v="220"/>
    <n v="239"/>
    <s v="Brent"/>
    <s v="Russell"/>
    <n v="2019"/>
    <n v="1"/>
    <n v="2.1"/>
    <n v="108"/>
    <n v="30"/>
    <x v="0"/>
    <s v="Brent"/>
    <s v="TEXAROK"/>
    <s v="N"/>
  </r>
  <r>
    <n v="888"/>
    <n v="1310"/>
    <n v="1012"/>
    <s v="Russell"/>
    <s v="Brent"/>
    <n v="2019"/>
    <n v="1"/>
    <n v="2.2000000000000002"/>
    <n v="78"/>
    <n v="-30"/>
    <x v="1"/>
    <s v="Russell"/>
    <s v="TEXAROK"/>
    <s v="N"/>
  </r>
  <r>
    <n v="889"/>
    <n v="1443"/>
    <n v="1162"/>
    <s v="BR"/>
    <s v="Watty"/>
    <n v="2019"/>
    <n v="1"/>
    <n v="3.1"/>
    <n v="73"/>
    <n v="-44"/>
    <x v="1"/>
    <s v="BR"/>
    <s v="AKCOVA"/>
    <s v="N"/>
  </r>
  <r>
    <n v="890"/>
    <n v="95"/>
    <n v="130"/>
    <s v="Watty"/>
    <s v="BR"/>
    <n v="2019"/>
    <n v="1"/>
    <n v="3.2"/>
    <n v="117"/>
    <n v="44"/>
    <x v="0"/>
    <s v="Watty"/>
    <s v="AKCOVA"/>
    <s v="N"/>
  </r>
  <r>
    <n v="891"/>
    <n v="643"/>
    <n v="852"/>
    <s v="Emily"/>
    <s v="David"/>
    <n v="2019"/>
    <n v="1"/>
    <n v="4.0999999999999996"/>
    <n v="83"/>
    <n v="6"/>
    <x v="0"/>
    <s v="Emily"/>
    <s v="TEXAROK"/>
    <s v="N"/>
  </r>
  <r>
    <n v="892"/>
    <n v="882"/>
    <n v="1044"/>
    <s v="David"/>
    <s v="Emily"/>
    <n v="2019"/>
    <n v="1"/>
    <n v="4.2"/>
    <n v="77"/>
    <n v="-6"/>
    <x v="1"/>
    <s v="David"/>
    <s v="TEXAROK"/>
    <s v="N"/>
  </r>
  <r>
    <n v="893"/>
    <n v="85"/>
    <n v="163"/>
    <s v="Abby"/>
    <s v="Mark"/>
    <n v="2019"/>
    <n v="1"/>
    <n v="5.0999999999999996"/>
    <n v="113"/>
    <n v="46"/>
    <x v="0"/>
    <s v="Abby"/>
    <s v="AKCOVA"/>
    <s v="N"/>
  </r>
  <r>
    <n v="894"/>
    <n v="1455"/>
    <n v="1306"/>
    <s v="Mark"/>
    <s v="Abby"/>
    <n v="2019"/>
    <n v="1"/>
    <n v="5.2"/>
    <n v="67"/>
    <n v="-46"/>
    <x v="1"/>
    <s v="Mark"/>
    <s v="AKCOVA"/>
    <s v="N"/>
  </r>
  <r>
    <n v="895"/>
    <n v="349"/>
    <n v="288"/>
    <s v="Charles"/>
    <s v="Brian"/>
    <n v="2019"/>
    <n v="1"/>
    <n v="6.1"/>
    <n v="105"/>
    <n v="21"/>
    <x v="0"/>
    <s v="Charles"/>
    <s v="AKCOVA"/>
    <s v="Y"/>
  </r>
  <r>
    <n v="896"/>
    <n v="1173"/>
    <n v="819"/>
    <s v="Brian"/>
    <s v="Charles"/>
    <n v="2019"/>
    <n v="1"/>
    <n v="6.2"/>
    <n v="84"/>
    <n v="-21"/>
    <x v="1"/>
    <s v="Brian"/>
    <s v="TEXAROK"/>
    <s v="Y"/>
  </r>
  <r>
    <n v="897"/>
    <n v="780"/>
    <n v="1243"/>
    <s v="Emily"/>
    <s v="Michael"/>
    <n v="2019"/>
    <n v="2"/>
    <n v="1.1000000000000001"/>
    <n v="70"/>
    <n v="-1"/>
    <x v="1"/>
    <s v="Emily"/>
    <s v="TEXAROK"/>
    <s v="Y"/>
  </r>
  <r>
    <n v="898"/>
    <n v="741"/>
    <n v="1224"/>
    <s v="Michael"/>
    <s v="Emily"/>
    <n v="2019"/>
    <n v="2"/>
    <n v="1.2"/>
    <n v="71"/>
    <n v="1"/>
    <x v="0"/>
    <s v="Michael"/>
    <s v="AKCOVA"/>
    <s v="Y"/>
  </r>
  <r>
    <n v="899"/>
    <n v="1310"/>
    <n v="1076"/>
    <s v="David"/>
    <s v="Russell"/>
    <n v="2019"/>
    <n v="2"/>
    <n v="2.1"/>
    <n v="76"/>
    <n v="-30"/>
    <x v="1"/>
    <s v="David"/>
    <s v="TEXAROK"/>
    <s v="N"/>
  </r>
  <r>
    <n v="900"/>
    <n v="220"/>
    <n v="271"/>
    <s v="Russell"/>
    <s v="David"/>
    <n v="2019"/>
    <n v="2"/>
    <n v="2.2000000000000002"/>
    <n v="106"/>
    <n v="30"/>
    <x v="0"/>
    <s v="Russell"/>
    <s v="TEXAROK"/>
    <s v="N"/>
  </r>
  <r>
    <n v="901"/>
    <n v="153"/>
    <n v="311"/>
    <s v="Mark"/>
    <s v="Charles"/>
    <n v="2019"/>
    <n v="2"/>
    <n v="3.1"/>
    <n v="104"/>
    <n v="37"/>
    <x v="0"/>
    <s v="Mark"/>
    <s v="AKCOVA"/>
    <s v="N"/>
  </r>
  <r>
    <n v="902"/>
    <n v="1382"/>
    <n v="1306"/>
    <s v="Charles"/>
    <s v="Mark"/>
    <n v="2019"/>
    <n v="2"/>
    <n v="3.2"/>
    <n v="67"/>
    <n v="-37"/>
    <x v="1"/>
    <s v="Charles"/>
    <s v="AKCOVA"/>
    <s v="N"/>
  </r>
  <r>
    <n v="903"/>
    <n v="664"/>
    <n v="375"/>
    <s v="Matt"/>
    <s v="Brent"/>
    <n v="2019"/>
    <n v="2"/>
    <n v="4.0999999999999996"/>
    <n v="101"/>
    <n v="5"/>
    <x v="0"/>
    <s v="Matt"/>
    <s v="TEXAROK"/>
    <s v="N"/>
  </r>
  <r>
    <n v="904"/>
    <n v="867"/>
    <n v="493"/>
    <s v="Brent"/>
    <s v="Matt"/>
    <n v="2019"/>
    <n v="2"/>
    <n v="4.2"/>
    <n v="96"/>
    <n v="-5"/>
    <x v="1"/>
    <s v="Brent"/>
    <s v="TEXAROK"/>
    <s v="N"/>
  </r>
  <r>
    <n v="905"/>
    <n v="741"/>
    <n v="768"/>
    <s v="BR"/>
    <s v="Abby"/>
    <n v="2019"/>
    <n v="2"/>
    <n v="5.0999999999999996"/>
    <n v="86"/>
    <n v="1"/>
    <x v="0"/>
    <s v="BR"/>
    <s v="AKCOVA"/>
    <s v="N"/>
  </r>
  <r>
    <n v="906"/>
    <n v="780"/>
    <n v="796"/>
    <s v="Abby"/>
    <s v="BR"/>
    <n v="2019"/>
    <n v="2"/>
    <n v="5.2"/>
    <n v="85"/>
    <n v="-1"/>
    <x v="1"/>
    <s v="Abby"/>
    <s v="AKCOVA"/>
    <s v="N"/>
  </r>
  <r>
    <n v="907"/>
    <n v="643"/>
    <n v="673"/>
    <s v="Watty"/>
    <s v="Brian"/>
    <n v="2019"/>
    <n v="2"/>
    <n v="6.1"/>
    <n v="89"/>
    <n v="6"/>
    <x v="0"/>
    <s v="Watty"/>
    <s v="AKCOVA"/>
    <s v="Y"/>
  </r>
  <r>
    <n v="908"/>
    <n v="882"/>
    <n v="852"/>
    <s v="Brian"/>
    <s v="Watty"/>
    <n v="2019"/>
    <n v="2"/>
    <n v="6.2"/>
    <n v="83"/>
    <n v="-6"/>
    <x v="1"/>
    <s v="Brian"/>
    <s v="TEXAROK"/>
    <s v="Y"/>
  </r>
  <r>
    <n v="909"/>
    <n v="1393"/>
    <n v="984"/>
    <s v="Michael"/>
    <s v="Brent"/>
    <n v="2019"/>
    <n v="3"/>
    <n v="1.1000000000000001"/>
    <n v="79"/>
    <n v="-38"/>
    <x v="1"/>
    <s v="Michael"/>
    <s v="AKCOVA"/>
    <s v="Y"/>
  </r>
  <r>
    <n v="910"/>
    <n v="141"/>
    <n v="130"/>
    <s v="Brent"/>
    <s v="Michael"/>
    <n v="2019"/>
    <n v="3"/>
    <n v="1.2"/>
    <n v="117"/>
    <n v="38"/>
    <x v="0"/>
    <s v="Brent"/>
    <s v="TEXAROK"/>
    <s v="Y"/>
  </r>
  <r>
    <n v="911"/>
    <n v="924"/>
    <n v="673"/>
    <s v="David"/>
    <s v="Matt"/>
    <n v="2019"/>
    <n v="3"/>
    <n v="2.1"/>
    <n v="89"/>
    <n v="-8"/>
    <x v="1"/>
    <s v="David"/>
    <s v="TEXAROK"/>
    <s v="N"/>
  </r>
  <r>
    <n v="912"/>
    <n v="596"/>
    <n v="461"/>
    <s v="Matt"/>
    <s v="David"/>
    <n v="2019"/>
    <n v="3"/>
    <n v="2.2000000000000002"/>
    <n v="97"/>
    <n v="8"/>
    <x v="0"/>
    <s v="Matt"/>
    <s v="TEXAROK"/>
    <s v="N"/>
  </r>
  <r>
    <n v="913"/>
    <n v="1434"/>
    <n v="1452"/>
    <s v="Brian"/>
    <s v="BR"/>
    <n v="2019"/>
    <n v="3"/>
    <n v="3.1"/>
    <n v="57"/>
    <n v="-43"/>
    <x v="1"/>
    <s v="Brian"/>
    <s v="TEXAROK"/>
    <s v="Y"/>
  </r>
  <r>
    <n v="914"/>
    <n v="103"/>
    <n v="391"/>
    <s v="BR"/>
    <s v="Brian"/>
    <n v="2019"/>
    <n v="3"/>
    <n v="3.2"/>
    <n v="100"/>
    <n v="43"/>
    <x v="0"/>
    <s v="BR"/>
    <s v="AKCOVA"/>
    <s v="Y"/>
  </r>
  <r>
    <n v="915"/>
    <n v="1133"/>
    <n v="461"/>
    <s v="Russell"/>
    <s v="Emily"/>
    <n v="2019"/>
    <n v="3"/>
    <n v="4.0999999999999996"/>
    <n v="97"/>
    <n v="-19"/>
    <x v="1"/>
    <s v="Russell"/>
    <s v="TEXAROK"/>
    <s v="N"/>
  </r>
  <r>
    <n v="916"/>
    <n v="398"/>
    <n v="138"/>
    <s v="Emily"/>
    <s v="Russell"/>
    <n v="2019"/>
    <n v="3"/>
    <n v="4.2"/>
    <n v="116"/>
    <n v="19"/>
    <x v="0"/>
    <s v="Emily"/>
    <s v="TEXAROK"/>
    <s v="N"/>
  </r>
  <r>
    <n v="917"/>
    <n v="1299"/>
    <n v="1198"/>
    <s v="Abby"/>
    <s v="Charles"/>
    <n v="2019"/>
    <n v="3"/>
    <n v="5.0999999999999996"/>
    <n v="72"/>
    <n v="-29"/>
    <x v="1"/>
    <s v="Abby"/>
    <s v="AKCOVA"/>
    <s v="N"/>
  </r>
  <r>
    <n v="918"/>
    <n v="236"/>
    <n v="375"/>
    <s v="Charles"/>
    <s v="Abby"/>
    <n v="2019"/>
    <n v="3"/>
    <n v="5.2"/>
    <n v="101"/>
    <n v="29"/>
    <x v="0"/>
    <s v="Charles"/>
    <s v="AKCOVA"/>
    <s v="N"/>
  </r>
  <r>
    <n v="919"/>
    <n v="451"/>
    <n v="107"/>
    <s v="Watty"/>
    <s v="Mark"/>
    <n v="2019"/>
    <n v="3"/>
    <n v="6.1"/>
    <n v="120"/>
    <n v="16"/>
    <x v="0"/>
    <s v="Watty"/>
    <s v="AKCOVA"/>
    <s v="N"/>
  </r>
  <r>
    <n v="920"/>
    <n v="1079"/>
    <n v="311"/>
    <s v="Mark"/>
    <s v="Watty"/>
    <n v="2019"/>
    <n v="3"/>
    <n v="6.2"/>
    <n v="104"/>
    <n v="-16"/>
    <x v="1"/>
    <s v="Mark"/>
    <s v="AKCOVA"/>
    <s v="N"/>
  </r>
  <r>
    <n v="921"/>
    <n v="1236"/>
    <n v="1527"/>
    <s v="Russell"/>
    <s v="Michael"/>
    <n v="2019"/>
    <n v="4"/>
    <n v="1.1000000000000001"/>
    <n v="45"/>
    <n v="-25"/>
    <x v="1"/>
    <s v="Russell"/>
    <s v="TEXAROK"/>
    <s v="Y"/>
  </r>
  <r>
    <n v="922"/>
    <n v="291"/>
    <n v="1243"/>
    <s v="Michael"/>
    <s v="Russell"/>
    <n v="2019"/>
    <n v="4"/>
    <n v="1.2"/>
    <n v="70"/>
    <n v="25"/>
    <x v="0"/>
    <s v="Michael"/>
    <s v="AKCOVA"/>
    <s v="Y"/>
  </r>
  <r>
    <n v="923"/>
    <n v="61"/>
    <n v="98"/>
    <s v="Emily"/>
    <s v="Matt"/>
    <n v="2019"/>
    <n v="4"/>
    <n v="2.1"/>
    <n v="121"/>
    <n v="54"/>
    <x v="0"/>
    <s v="Emily"/>
    <s v="TEXAROK"/>
    <s v="N"/>
  </r>
  <r>
    <n v="924"/>
    <n v="1483"/>
    <n v="1306"/>
    <s v="Matt"/>
    <s v="Emily"/>
    <n v="2019"/>
    <n v="4"/>
    <n v="2.2000000000000002"/>
    <n v="67"/>
    <n v="-54"/>
    <x v="1"/>
    <s v="Matt"/>
    <s v="TEXAROK"/>
    <s v="N"/>
  </r>
  <r>
    <n v="925"/>
    <n v="1352"/>
    <n v="1243"/>
    <s v="Charles"/>
    <s v="Watty"/>
    <n v="2019"/>
    <n v="4"/>
    <n v="3.1"/>
    <n v="70"/>
    <n v="-33"/>
    <x v="1"/>
    <s v="Charles"/>
    <s v="AKCOVA"/>
    <s v="N"/>
  </r>
  <r>
    <n v="926"/>
    <n v="184"/>
    <n v="339"/>
    <s v="Watty"/>
    <s v="Charles"/>
    <n v="2019"/>
    <n v="4"/>
    <n v="3.2"/>
    <n v="103"/>
    <n v="33"/>
    <x v="0"/>
    <s v="Watty"/>
    <s v="AKCOVA"/>
    <s v="N"/>
  </r>
  <r>
    <n v="927"/>
    <n v="1326"/>
    <n v="984"/>
    <s v="Brent"/>
    <s v="David"/>
    <n v="2019"/>
    <n v="4"/>
    <n v="4.0999999999999996"/>
    <n v="79"/>
    <n v="-31"/>
    <x v="1"/>
    <s v="Brent"/>
    <s v="TEXAROK"/>
    <s v="N"/>
  </r>
  <r>
    <n v="928"/>
    <n v="205"/>
    <n v="207"/>
    <s v="David"/>
    <s v="Brent"/>
    <n v="2019"/>
    <n v="4"/>
    <n v="4.2"/>
    <n v="110"/>
    <n v="31"/>
    <x v="0"/>
    <s v="David"/>
    <s v="TEXAROK"/>
    <s v="N"/>
  </r>
  <r>
    <n v="929"/>
    <n v="1197"/>
    <n v="1346"/>
    <s v="Brian"/>
    <s v="Abby"/>
    <n v="2019"/>
    <n v="4"/>
    <n v="5.0999999999999996"/>
    <n v="64"/>
    <n v="-22"/>
    <x v="1"/>
    <s v="Brian"/>
    <s v="TEXAROK"/>
    <s v="Y"/>
  </r>
  <r>
    <n v="930"/>
    <n v="338"/>
    <n v="768"/>
    <s v="Abby"/>
    <s v="Brian"/>
    <n v="2019"/>
    <n v="4"/>
    <n v="5.2"/>
    <n v="86"/>
    <n v="22"/>
    <x v="0"/>
    <s v="Abby"/>
    <s v="AKCOVA"/>
    <s v="Y"/>
  </r>
  <r>
    <n v="931"/>
    <n v="780"/>
    <n v="741"/>
    <s v="BR"/>
    <s v="Mark"/>
    <n v="2019"/>
    <n v="4"/>
    <n v="6.1"/>
    <n v="87"/>
    <n v="-1"/>
    <x v="1"/>
    <s v="BR"/>
    <s v="AKCOVA"/>
    <s v="N"/>
  </r>
  <r>
    <n v="932"/>
    <n v="741"/>
    <n v="710"/>
    <s v="Mark"/>
    <s v="BR"/>
    <n v="2019"/>
    <n v="4"/>
    <n v="6.2"/>
    <n v="88"/>
    <n v="1"/>
    <x v="0"/>
    <s v="Mark"/>
    <s v="AKCOVA"/>
    <s v="N"/>
  </r>
  <r>
    <n v="933"/>
    <n v="1542"/>
    <n v="1362"/>
    <s v="Michael"/>
    <s v="David"/>
    <n v="2019"/>
    <n v="5"/>
    <n v="1.1000000000000001"/>
    <n v="63"/>
    <n v="-90"/>
    <x v="1"/>
    <s v="Michael"/>
    <s v="AKCOVA"/>
    <s v="Y"/>
  </r>
  <r>
    <n v="934"/>
    <n v="3"/>
    <n v="8"/>
    <s v="David"/>
    <s v="Michael"/>
    <n v="2019"/>
    <n v="5"/>
    <n v="1.2"/>
    <n v="153"/>
    <n v="90"/>
    <x v="0"/>
    <s v="David"/>
    <s v="TEXAROK"/>
    <s v="Y"/>
  </r>
  <r>
    <n v="935"/>
    <n v="1524"/>
    <n v="572"/>
    <s v="Emily"/>
    <s v="Brent"/>
    <n v="2019"/>
    <n v="5"/>
    <n v="2.1"/>
    <n v="93"/>
    <n v="-68"/>
    <x v="1"/>
    <s v="Emily"/>
    <s v="TEXAROK"/>
    <s v="N"/>
  </r>
  <r>
    <n v="936"/>
    <n v="20"/>
    <n v="3"/>
    <s v="Brent"/>
    <s v="Emily"/>
    <n v="2019"/>
    <n v="5"/>
    <n v="2.2000000000000002"/>
    <n v="161"/>
    <n v="68"/>
    <x v="0"/>
    <s v="Brent"/>
    <s v="TEXAROK"/>
    <s v="N"/>
  </r>
  <r>
    <n v="937"/>
    <n v="622"/>
    <n v="1076"/>
    <s v="Mark"/>
    <s v="Brian"/>
    <n v="2019"/>
    <n v="5"/>
    <n v="3.1"/>
    <n v="76"/>
    <n v="7"/>
    <x v="0"/>
    <s v="Mark"/>
    <s v="AKCOVA"/>
    <s v="Y"/>
  </r>
  <r>
    <n v="938"/>
    <n v="903"/>
    <n v="1265"/>
    <s v="Brian"/>
    <s v="Mark"/>
    <n v="2019"/>
    <n v="5"/>
    <n v="3.2"/>
    <n v="69"/>
    <n v="-7"/>
    <x v="1"/>
    <s v="Brian"/>
    <s v="TEXAROK"/>
    <s v="Y"/>
  </r>
  <r>
    <n v="939"/>
    <n v="703"/>
    <n v="852"/>
    <s v="Matt"/>
    <s v="Russell"/>
    <n v="2019"/>
    <n v="5"/>
    <n v="4.0999999999999996"/>
    <n v="83"/>
    <n v="3"/>
    <x v="0"/>
    <s v="Matt"/>
    <s v="TEXAROK"/>
    <s v="N"/>
  </r>
  <r>
    <n v="940"/>
    <n v="823"/>
    <n v="956"/>
    <s v="Russell"/>
    <s v="Matt"/>
    <n v="2019"/>
    <n v="5"/>
    <n v="4.2"/>
    <n v="80"/>
    <n v="-3"/>
    <x v="1"/>
    <s v="Russell"/>
    <s v="TEXAROK"/>
    <s v="N"/>
  </r>
  <r>
    <n v="941"/>
    <n v="563"/>
    <n v="222"/>
    <s v="Abby"/>
    <s v="Watty"/>
    <n v="2019"/>
    <n v="5"/>
    <n v="5.0999999999999996"/>
    <n v="109"/>
    <n v="10"/>
    <x v="0"/>
    <s v="Abby"/>
    <s v="AKCOVA"/>
    <s v="N"/>
  </r>
  <r>
    <n v="942"/>
    <n v="966"/>
    <n v="414"/>
    <s v="Watty"/>
    <s v="Abby"/>
    <n v="2019"/>
    <n v="5"/>
    <n v="5.2"/>
    <n v="99"/>
    <n v="-10"/>
    <x v="1"/>
    <s v="Watty"/>
    <s v="AKCOVA"/>
    <s v="N"/>
  </r>
  <r>
    <n v="943"/>
    <n v="1412"/>
    <n v="651"/>
    <s v="BR"/>
    <s v="Charles"/>
    <n v="2019"/>
    <n v="5"/>
    <n v="6.1"/>
    <n v="90"/>
    <n v="-40"/>
    <x v="1"/>
    <s v="BR"/>
    <s v="AKCOVA"/>
    <s v="N"/>
  </r>
  <r>
    <n v="944"/>
    <n v="124"/>
    <n v="48"/>
    <s v="Charles"/>
    <s v="BR"/>
    <n v="2019"/>
    <n v="5"/>
    <n v="6.2"/>
    <n v="130"/>
    <n v="40"/>
    <x v="0"/>
    <s v="Charles"/>
    <s v="AKCOVA"/>
    <s v="N"/>
  </r>
  <r>
    <n v="945"/>
    <n v="903"/>
    <n v="1135"/>
    <s v="Abby"/>
    <s v="Michael"/>
    <n v="2019"/>
    <n v="6"/>
    <n v="1.1000000000000001"/>
    <n v="74"/>
    <n v="-7"/>
    <x v="1"/>
    <s v="Abby"/>
    <s v="AKCOVA"/>
    <s v="N"/>
  </r>
  <r>
    <n v="946"/>
    <n v="622"/>
    <n v="924"/>
    <s v="Michael"/>
    <s v="Abby"/>
    <n v="2019"/>
    <n v="6"/>
    <n v="1.2"/>
    <n v="81"/>
    <n v="7"/>
    <x v="0"/>
    <s v="Michael"/>
    <s v="AKCOVA"/>
    <s v="N"/>
  </r>
  <r>
    <n v="947"/>
    <n v="983"/>
    <n v="852"/>
    <s v="BR"/>
    <s v="Emily"/>
    <n v="2019"/>
    <n v="6"/>
    <n v="2.1"/>
    <n v="83"/>
    <n v="-11"/>
    <x v="1"/>
    <s v="BR"/>
    <s v="AKCOVA"/>
    <s v="Y"/>
  </r>
  <r>
    <n v="948"/>
    <n v="544"/>
    <n v="544"/>
    <s v="Emily"/>
    <s v="BR"/>
    <n v="2019"/>
    <n v="6"/>
    <n v="2.2000000000000002"/>
    <n v="94"/>
    <n v="11"/>
    <x v="0"/>
    <s v="Emily"/>
    <s v="TEXAROK"/>
    <s v="Y"/>
  </r>
  <r>
    <n v="949"/>
    <n v="703"/>
    <n v="1362"/>
    <s v="Brian"/>
    <s v="Russell"/>
    <n v="2019"/>
    <n v="6"/>
    <n v="3.1"/>
    <n v="63"/>
    <n v="3"/>
    <x v="0"/>
    <s v="Brian"/>
    <s v="TEXAROK"/>
    <s v="N"/>
  </r>
  <r>
    <n v="950"/>
    <n v="823"/>
    <n v="1406"/>
    <s v="Russell"/>
    <s v="Brian"/>
    <n v="2019"/>
    <n v="6"/>
    <n v="3.2"/>
    <n v="60"/>
    <n v="-3"/>
    <x v="1"/>
    <s v="Russell"/>
    <s v="TEXAROK"/>
    <s v="N"/>
  </r>
  <r>
    <n v="951"/>
    <n v="483"/>
    <n v="63"/>
    <s v="Mark"/>
    <s v="Matt"/>
    <n v="2019"/>
    <n v="6"/>
    <n v="4.0999999999999996"/>
    <n v="127"/>
    <n v="14"/>
    <x v="0"/>
    <s v="Mark"/>
    <s v="AKCOVA"/>
    <s v="Y"/>
  </r>
  <r>
    <n v="952"/>
    <n v="1043"/>
    <n v="163"/>
    <s v="Matt"/>
    <s v="Mark"/>
    <n v="2019"/>
    <n v="6"/>
    <n v="4.2"/>
    <n v="113"/>
    <n v="-14"/>
    <x v="1"/>
    <s v="Matt"/>
    <s v="TEXAROK"/>
    <s v="Y"/>
  </r>
  <r>
    <n v="953"/>
    <n v="703"/>
    <n v="651"/>
    <s v="Charles"/>
    <s v="Brent"/>
    <n v="2019"/>
    <n v="6"/>
    <n v="5.0999999999999996"/>
    <n v="90"/>
    <n v="3"/>
    <x v="0"/>
    <s v="Charles"/>
    <s v="AKCOVA"/>
    <s v="Y"/>
  </r>
  <r>
    <n v="954"/>
    <n v="823"/>
    <n v="741"/>
    <s v="Brent"/>
    <s v="Charles"/>
    <n v="2019"/>
    <n v="6"/>
    <n v="5.2"/>
    <n v="87"/>
    <n v="-3"/>
    <x v="1"/>
    <s v="Brent"/>
    <s v="TEXAROK"/>
    <s v="Y"/>
  </r>
  <r>
    <n v="955"/>
    <n v="823"/>
    <n v="439"/>
    <s v="Watty"/>
    <s v="David"/>
    <n v="2019"/>
    <n v="6"/>
    <n v="6.1"/>
    <n v="98"/>
    <n v="-3"/>
    <x v="1"/>
    <s v="Watty"/>
    <s v="AKCOVA"/>
    <s v="Y"/>
  </r>
  <r>
    <n v="956"/>
    <n v="703"/>
    <n v="375"/>
    <s v="David"/>
    <s v="Watty"/>
    <n v="2019"/>
    <n v="6"/>
    <n v="6.2"/>
    <n v="101"/>
    <n v="3"/>
    <x v="0"/>
    <s v="David"/>
    <s v="TEXAROK"/>
    <s v="Y"/>
  </r>
  <r>
    <n v="957"/>
    <n v="76"/>
    <n v="391"/>
    <s v="Michael"/>
    <s v="Watty"/>
    <n v="2019"/>
    <n v="7"/>
    <n v="1.1000000000000001"/>
    <n v="100"/>
    <n v="50"/>
    <x v="0"/>
    <s v="Michael"/>
    <s v="AKCOVA"/>
    <s v="N"/>
  </r>
  <r>
    <n v="958"/>
    <n v="1464"/>
    <n v="1505"/>
    <s v="Watty"/>
    <s v="Michael"/>
    <n v="2019"/>
    <n v="7"/>
    <n v="1.2"/>
    <n v="50"/>
    <n v="-50"/>
    <x v="1"/>
    <s v="Watty"/>
    <s v="AKCOVA"/>
    <s v="N"/>
  </r>
  <r>
    <n v="959"/>
    <n v="1079"/>
    <n v="1406"/>
    <s v="Emily"/>
    <s v="Mark"/>
    <n v="2019"/>
    <n v="7"/>
    <n v="2.1"/>
    <n v="60"/>
    <n v="-16"/>
    <x v="1"/>
    <s v="Emily"/>
    <s v="TEXAROK"/>
    <s v="Y"/>
  </r>
  <r>
    <n v="960"/>
    <n v="451"/>
    <n v="1076"/>
    <s v="Mark"/>
    <s v="Emily"/>
    <n v="2019"/>
    <n v="7"/>
    <n v="2.2000000000000002"/>
    <n v="76"/>
    <n v="16"/>
    <x v="0"/>
    <s v="Mark"/>
    <s v="AKCOVA"/>
    <s v="Y"/>
  </r>
  <r>
    <n v="961"/>
    <n v="43"/>
    <n v="138"/>
    <s v="Russell"/>
    <s v="Charles"/>
    <n v="2019"/>
    <n v="7"/>
    <n v="3.1"/>
    <n v="116"/>
    <n v="58"/>
    <x v="0"/>
    <s v="Russell"/>
    <s v="TEXAROK"/>
    <s v="Y"/>
  </r>
  <r>
    <n v="962"/>
    <n v="1495"/>
    <n v="1441"/>
    <s v="Charles"/>
    <s v="Russell"/>
    <n v="2019"/>
    <n v="7"/>
    <n v="3.2"/>
    <n v="58"/>
    <n v="-58"/>
    <x v="1"/>
    <s v="Charles"/>
    <s v="AKCOVA"/>
    <s v="Y"/>
  </r>
  <r>
    <n v="963"/>
    <n v="1483"/>
    <n v="1421"/>
    <s v="Matt"/>
    <s v="Abby"/>
    <n v="2019"/>
    <n v="7"/>
    <n v="4.0999999999999996"/>
    <n v="59"/>
    <n v="-54"/>
    <x v="1"/>
    <s v="Matt"/>
    <s v="TEXAROK"/>
    <s v="Y"/>
  </r>
  <r>
    <n v="964"/>
    <n v="61"/>
    <n v="163"/>
    <s v="Abby"/>
    <s v="Matt"/>
    <n v="2019"/>
    <n v="7"/>
    <n v="4.2"/>
    <n v="113"/>
    <n v="54"/>
    <x v="0"/>
    <s v="Abby"/>
    <s v="AKCOVA"/>
    <s v="Y"/>
  </r>
  <r>
    <n v="965"/>
    <n v="1043"/>
    <n v="1362"/>
    <s v="Brent"/>
    <s v="BR"/>
    <n v="2019"/>
    <n v="7"/>
    <n v="5.0999999999999996"/>
    <n v="63"/>
    <n v="-14"/>
    <x v="1"/>
    <s v="Brent"/>
    <s v="TEXAROK"/>
    <s v="Y"/>
  </r>
  <r>
    <n v="966"/>
    <n v="483"/>
    <n v="1044"/>
    <s v="BR"/>
    <s v="Brent"/>
    <n v="2019"/>
    <n v="7"/>
    <n v="5.2"/>
    <n v="77"/>
    <n v="14"/>
    <x v="0"/>
    <s v="BR"/>
    <s v="AKCOVA"/>
    <s v="Y"/>
  </r>
  <r>
    <n v="967"/>
    <n v="780"/>
    <n v="819"/>
    <s v="David"/>
    <s v="Brian"/>
    <n v="2019"/>
    <n v="7"/>
    <n v="6.1"/>
    <n v="84"/>
    <n v="-1"/>
    <x v="1"/>
    <s v="David"/>
    <s v="TEXAROK"/>
    <s v="N"/>
  </r>
  <r>
    <n v="968"/>
    <n v="741"/>
    <n v="796"/>
    <s v="Brian"/>
    <s v="David"/>
    <n v="2019"/>
    <n v="7"/>
    <n v="6.2"/>
    <n v="85"/>
    <n v="1"/>
    <x v="0"/>
    <s v="Brian"/>
    <s v="TEXAROK"/>
    <s v="N"/>
  </r>
  <r>
    <n v="969"/>
    <n v="622"/>
    <n v="544"/>
    <s v="Brian"/>
    <s v="Michael"/>
    <n v="2019"/>
    <n v="8"/>
    <n v="1.1000000000000001"/>
    <n v="94"/>
    <n v="7"/>
    <x v="0"/>
    <s v="Brian"/>
    <s v="TEXAROK"/>
    <s v="Y"/>
  </r>
  <r>
    <n v="970"/>
    <n v="903"/>
    <n v="741"/>
    <s v="Michael"/>
    <s v="Brian"/>
    <n v="2019"/>
    <n v="8"/>
    <n v="1.2"/>
    <n v="87"/>
    <n v="-7"/>
    <x v="1"/>
    <s v="Michael"/>
    <s v="AKCOVA"/>
    <s v="Y"/>
  </r>
  <r>
    <n v="971"/>
    <n v="349"/>
    <n v="89"/>
    <s v="Mark"/>
    <s v="Brent"/>
    <n v="2019"/>
    <n v="8"/>
    <n v="2.1"/>
    <n v="122"/>
    <n v="21"/>
    <x v="0"/>
    <s v="Mark"/>
    <s v="AKCOVA"/>
    <s v="Y"/>
  </r>
  <r>
    <n v="972"/>
    <n v="1173"/>
    <n v="375"/>
    <s v="Brent"/>
    <s v="Mark"/>
    <n v="2019"/>
    <n v="8"/>
    <n v="2.2000000000000002"/>
    <n v="101"/>
    <n v="-21"/>
    <x v="1"/>
    <s v="Brent"/>
    <s v="TEXAROK"/>
    <s v="Y"/>
  </r>
  <r>
    <n v="973"/>
    <n v="1405"/>
    <n v="1044"/>
    <s v="Charles"/>
    <s v="David"/>
    <n v="2019"/>
    <n v="8"/>
    <n v="3.1"/>
    <n v="77"/>
    <n v="-39"/>
    <x v="1"/>
    <s v="Charles"/>
    <s v="AKCOVA"/>
    <s v="Y"/>
  </r>
  <r>
    <n v="974"/>
    <n v="134"/>
    <n v="138"/>
    <s v="David"/>
    <s v="Charles"/>
    <n v="2019"/>
    <n v="8"/>
    <n v="3.2"/>
    <n v="116"/>
    <n v="39"/>
    <x v="0"/>
    <s v="David"/>
    <s v="TEXAROK"/>
    <s v="Y"/>
  </r>
  <r>
    <n v="975"/>
    <n v="153"/>
    <n v="98"/>
    <s v="Abby"/>
    <s v="Emily"/>
    <n v="2019"/>
    <n v="8"/>
    <n v="4.0999999999999996"/>
    <n v="121"/>
    <n v="37"/>
    <x v="0"/>
    <s v="Abby"/>
    <s v="AKCOVA"/>
    <s v="Y"/>
  </r>
  <r>
    <n v="976"/>
    <n v="1382"/>
    <n v="819"/>
    <s v="Emily"/>
    <s v="Abby"/>
    <n v="2019"/>
    <n v="8"/>
    <n v="4.2"/>
    <n v="84"/>
    <n v="-37"/>
    <x v="1"/>
    <s v="Emily"/>
    <s v="TEXAROK"/>
    <s v="Y"/>
  </r>
  <r>
    <n v="977"/>
    <n v="882"/>
    <n v="1012"/>
    <s v="BR"/>
    <s v="Russell"/>
    <n v="2019"/>
    <n v="8"/>
    <n v="5.0999999999999996"/>
    <n v="78"/>
    <n v="-6"/>
    <x v="1"/>
    <s v="BR"/>
    <s v="AKCOVA"/>
    <s v="Y"/>
  </r>
  <r>
    <n v="978"/>
    <n v="643"/>
    <n v="819"/>
    <s v="Russell"/>
    <s v="BR"/>
    <n v="2019"/>
    <n v="8"/>
    <n v="5.2"/>
    <n v="84"/>
    <n v="6"/>
    <x v="0"/>
    <s v="Russell"/>
    <s v="TEXAROK"/>
    <s v="Y"/>
  </r>
  <r>
    <n v="979"/>
    <n v="805"/>
    <n v="1135"/>
    <s v="Watty"/>
    <s v="Matt"/>
    <n v="2019"/>
    <n v="8"/>
    <n v="6.1"/>
    <n v="74"/>
    <n v="-2"/>
    <x v="1"/>
    <s v="Watty"/>
    <s v="AKCOVA"/>
    <s v="Y"/>
  </r>
  <r>
    <n v="980"/>
    <n v="723"/>
    <n v="1076"/>
    <s v="Matt"/>
    <s v="Watty"/>
    <n v="2019"/>
    <n v="8"/>
    <n v="6.2"/>
    <n v="76"/>
    <n v="2"/>
    <x v="0"/>
    <s v="Matt"/>
    <s v="TEXAROK"/>
    <s v="Y"/>
  </r>
  <r>
    <n v="981"/>
    <n v="1113"/>
    <n v="1117"/>
    <s v="Michael"/>
    <s v="Charles"/>
    <n v="2019"/>
    <n v="9"/>
    <n v="1.1000000000000001"/>
    <n v="75"/>
    <n v="-18"/>
    <x v="1"/>
    <s v="Michael"/>
    <s v="AKCOVA"/>
    <s v="N"/>
  </r>
  <r>
    <n v="982"/>
    <n v="413"/>
    <n v="572"/>
    <s v="Charles"/>
    <s v="Michael"/>
    <n v="2019"/>
    <n v="9"/>
    <n v="1.2"/>
    <n v="93"/>
    <n v="18"/>
    <x v="0"/>
    <s v="Charles"/>
    <s v="AKCOVA"/>
    <s v="N"/>
  </r>
  <r>
    <n v="983"/>
    <n v="1422"/>
    <n v="311"/>
    <s v="Russell"/>
    <s v="Mark"/>
    <n v="2019"/>
    <n v="9"/>
    <n v="2.1"/>
    <n v="104"/>
    <n v="-41"/>
    <x v="1"/>
    <s v="Russell"/>
    <s v="TEXAROK"/>
    <s v="Y"/>
  </r>
  <r>
    <n v="984"/>
    <n v="119"/>
    <n v="13"/>
    <s v="Mark"/>
    <s v="Russell"/>
    <n v="2019"/>
    <n v="9"/>
    <n v="2.2000000000000002"/>
    <n v="145"/>
    <n v="41"/>
    <x v="0"/>
    <s v="Mark"/>
    <s v="AKCOVA"/>
    <s v="Y"/>
  </r>
  <r>
    <n v="985"/>
    <n v="1427"/>
    <n v="1319"/>
    <s v="Matt"/>
    <s v="Brian"/>
    <n v="2019"/>
    <n v="9"/>
    <n v="3.1"/>
    <n v="66"/>
    <n v="-42"/>
    <x v="1"/>
    <s v="Matt"/>
    <s v="TEXAROK"/>
    <s v="N"/>
  </r>
  <r>
    <n v="986"/>
    <n v="112"/>
    <n v="239"/>
    <s v="Brian"/>
    <s v="Matt"/>
    <n v="2019"/>
    <n v="9"/>
    <n v="3.2"/>
    <n v="108"/>
    <n v="42"/>
    <x v="0"/>
    <s v="Brian"/>
    <s v="TEXAROK"/>
    <s v="N"/>
  </r>
  <r>
    <n v="987"/>
    <n v="823"/>
    <n v="984"/>
    <s v="Brent"/>
    <s v="Abby"/>
    <n v="2019"/>
    <n v="9"/>
    <n v="4.0999999999999996"/>
    <n v="79"/>
    <n v="-3"/>
    <x v="1"/>
    <s v="Brent"/>
    <s v="TEXAROK"/>
    <s v="Y"/>
  </r>
  <r>
    <n v="988"/>
    <n v="703"/>
    <n v="883"/>
    <s v="Abby"/>
    <s v="Brent"/>
    <n v="2019"/>
    <n v="9"/>
    <n v="4.2"/>
    <n v="82"/>
    <n v="3"/>
    <x v="0"/>
    <s v="Abby"/>
    <s v="AKCOVA"/>
    <s v="Y"/>
  </r>
  <r>
    <n v="989"/>
    <n v="1341"/>
    <n v="924"/>
    <s v="David"/>
    <s v="BR"/>
    <n v="2019"/>
    <n v="9"/>
    <n v="5.0999999999999996"/>
    <n v="81"/>
    <n v="-32"/>
    <x v="1"/>
    <s v="David"/>
    <s v="TEXAROK"/>
    <s v="Y"/>
  </r>
  <r>
    <n v="990"/>
    <n v="194"/>
    <n v="163"/>
    <s v="BR"/>
    <s v="David"/>
    <n v="2019"/>
    <n v="9"/>
    <n v="5.2"/>
    <n v="113"/>
    <n v="32"/>
    <x v="0"/>
    <s v="BR"/>
    <s v="AKCOVA"/>
    <s v="Y"/>
  </r>
  <r>
    <n v="991"/>
    <n v="1544"/>
    <n v="1540"/>
    <s v="Emily"/>
    <s v="Watty"/>
    <n v="2019"/>
    <n v="9"/>
    <n v="6.1"/>
    <n v="36"/>
    <n v="-99"/>
    <x v="1"/>
    <s v="Emily"/>
    <s v="TEXAROK"/>
    <s v="Y"/>
  </r>
  <r>
    <n v="992"/>
    <n v="1"/>
    <n v="31"/>
    <s v="Watty"/>
    <s v="Emily"/>
    <n v="2019"/>
    <n v="9"/>
    <n v="6.2"/>
    <n v="135"/>
    <n v="99"/>
    <x v="0"/>
    <s v="Watty"/>
    <s v="AKCOVA"/>
    <s v="Y"/>
  </r>
  <r>
    <n v="993"/>
    <n v="1255"/>
    <n v="1135"/>
    <s v="BR"/>
    <s v="Michael"/>
    <n v="2019"/>
    <n v="10"/>
    <n v="1.1000000000000001"/>
    <n v="74"/>
    <n v="-26"/>
    <x v="1"/>
    <s v="BR"/>
    <s v="AKCOVA"/>
    <s v="N"/>
  </r>
  <r>
    <n v="994"/>
    <n v="278"/>
    <n v="391"/>
    <s v="Michael"/>
    <s v="BR"/>
    <n v="2019"/>
    <n v="10"/>
    <n v="1.2"/>
    <n v="100"/>
    <n v="26"/>
    <x v="0"/>
    <s v="Michael"/>
    <s v="AKCOVA"/>
    <s v="N"/>
  </r>
  <r>
    <n v="995"/>
    <n v="310"/>
    <n v="391"/>
    <s v="Mark"/>
    <s v="David"/>
    <n v="2019"/>
    <n v="10"/>
    <n v="2.1"/>
    <n v="100"/>
    <n v="24"/>
    <x v="0"/>
    <s v="Mark"/>
    <s v="AKCOVA"/>
    <s v="Y"/>
  </r>
  <r>
    <n v="996"/>
    <n v="1222"/>
    <n v="1076"/>
    <s v="David"/>
    <s v="Mark"/>
    <n v="2019"/>
    <n v="10"/>
    <n v="2.2000000000000002"/>
    <n v="76"/>
    <n v="-24"/>
    <x v="1"/>
    <s v="David"/>
    <s v="TEXAROK"/>
    <s v="Y"/>
  </r>
  <r>
    <n v="997"/>
    <n v="525"/>
    <n v="956"/>
    <s v="Brian"/>
    <s v="Emily"/>
    <n v="2019"/>
    <n v="10"/>
    <n v="3.1"/>
    <n v="80"/>
    <n v="12"/>
    <x v="0"/>
    <s v="Brian"/>
    <s v="TEXAROK"/>
    <s v="N"/>
  </r>
  <r>
    <n v="998"/>
    <n v="1002"/>
    <n v="1288"/>
    <s v="Emily"/>
    <s v="Brian"/>
    <n v="2019"/>
    <n v="10"/>
    <n v="3.2"/>
    <n v="68"/>
    <n v="-12"/>
    <x v="1"/>
    <s v="Emily"/>
    <s v="TEXAROK"/>
    <s v="N"/>
  </r>
  <r>
    <n v="999"/>
    <n v="924"/>
    <n v="1012"/>
    <s v="Abby"/>
    <s v="Russell"/>
    <n v="2019"/>
    <n v="10"/>
    <n v="4.0999999999999996"/>
    <n v="78"/>
    <n v="-8"/>
    <x v="1"/>
    <s v="Abby"/>
    <s v="AKCOVA"/>
    <s v="Y"/>
  </r>
  <r>
    <n v="1000"/>
    <n v="596"/>
    <n v="768"/>
    <s v="Russell"/>
    <s v="Abby"/>
    <n v="2019"/>
    <n v="10"/>
    <n v="4.2"/>
    <n v="86"/>
    <n v="8"/>
    <x v="0"/>
    <s v="Russell"/>
    <s v="TEXAROK"/>
    <s v="Y"/>
  </r>
  <r>
    <n v="1001"/>
    <n v="1268"/>
    <n v="768"/>
    <s v="Charles"/>
    <s v="Matt"/>
    <n v="2019"/>
    <n v="10"/>
    <n v="5.0999999999999996"/>
    <n v="86"/>
    <n v="-27"/>
    <x v="1"/>
    <s v="Charles"/>
    <s v="AKCOVA"/>
    <s v="Y"/>
  </r>
  <r>
    <n v="1002"/>
    <n v="260"/>
    <n v="163"/>
    <s v="Matt"/>
    <s v="Charles"/>
    <n v="2019"/>
    <n v="10"/>
    <n v="5.2"/>
    <n v="113"/>
    <n v="27"/>
    <x v="0"/>
    <s v="Matt"/>
    <s v="TEXAROK"/>
    <s v="Y"/>
  </r>
  <r>
    <n v="1003"/>
    <n v="413"/>
    <n v="518"/>
    <s v="Watty"/>
    <s v="Brent"/>
    <n v="2019"/>
    <n v="10"/>
    <n v="6.1"/>
    <n v="95"/>
    <n v="18"/>
    <x v="0"/>
    <s v="Watty"/>
    <s v="AKCOVA"/>
    <s v="Y"/>
  </r>
  <r>
    <n v="1004"/>
    <n v="1113"/>
    <n v="1044"/>
    <s v="Brent"/>
    <s v="Watty"/>
    <n v="2019"/>
    <n v="10"/>
    <n v="6.2"/>
    <n v="77"/>
    <n v="-18"/>
    <x v="1"/>
    <s v="Brent"/>
    <s v="TEXAROK"/>
    <s v="Y"/>
  </r>
  <r>
    <n v="1005"/>
    <n v="398"/>
    <n v="627"/>
    <s v="Michael"/>
    <s v="Mark"/>
    <n v="2019"/>
    <n v="11"/>
    <n v="1.1000000000000001"/>
    <n v="91"/>
    <n v="19"/>
    <x v="0"/>
    <s v="Michael"/>
    <s v="AKCOVA"/>
    <s v="N"/>
  </r>
  <r>
    <n v="1006"/>
    <n v="1133"/>
    <n v="1198"/>
    <s v="Mark"/>
    <s v="Michael"/>
    <n v="2019"/>
    <n v="11"/>
    <n v="1.2"/>
    <n v="72"/>
    <n v="-19"/>
    <x v="1"/>
    <s v="Mark"/>
    <s v="AKCOVA"/>
    <s v="N"/>
  </r>
  <r>
    <n v="1007"/>
    <n v="1286"/>
    <n v="852"/>
    <s v="Matt"/>
    <s v="BR"/>
    <n v="2019"/>
    <n v="11"/>
    <n v="2.1"/>
    <n v="83"/>
    <n v="-28"/>
    <x v="1"/>
    <s v="Matt"/>
    <s v="TEXAROK"/>
    <s v="Y"/>
  </r>
  <r>
    <n v="1008"/>
    <n v="247"/>
    <n v="192"/>
    <s v="BR"/>
    <s v="Matt"/>
    <n v="2019"/>
    <n v="11"/>
    <n v="2.2000000000000002"/>
    <n v="111"/>
    <n v="28"/>
    <x v="0"/>
    <s v="BR"/>
    <s v="AKCOVA"/>
    <s v="Y"/>
  </r>
  <r>
    <n v="1009"/>
    <n v="563"/>
    <n v="1265"/>
    <s v="Brent"/>
    <s v="Brian"/>
    <n v="2019"/>
    <n v="11"/>
    <n v="3.1"/>
    <n v="69"/>
    <n v="10"/>
    <x v="0"/>
    <s v="Brent"/>
    <s v="TEXAROK"/>
    <s v="N"/>
  </r>
  <r>
    <n v="1010"/>
    <n v="966"/>
    <n v="1421"/>
    <s v="Brian"/>
    <s v="Brent"/>
    <n v="2019"/>
    <n v="11"/>
    <n v="3.2"/>
    <n v="59"/>
    <n v="-10"/>
    <x v="1"/>
    <s v="Brian"/>
    <s v="TEXAROK"/>
    <s v="N"/>
  </r>
  <r>
    <n v="1011"/>
    <n v="413"/>
    <n v="518"/>
    <s v="David"/>
    <s v="Abby"/>
    <n v="2019"/>
    <n v="11"/>
    <n v="4.0999999999999996"/>
    <n v="95"/>
    <n v="18"/>
    <x v="0"/>
    <s v="David"/>
    <s v="TEXAROK"/>
    <s v="Y"/>
  </r>
  <r>
    <n v="1012"/>
    <n v="1113"/>
    <n v="1044"/>
    <s v="Abby"/>
    <s v="David"/>
    <n v="2019"/>
    <n v="11"/>
    <n v="4.2"/>
    <n v="77"/>
    <n v="-18"/>
    <x v="1"/>
    <s v="Abby"/>
    <s v="AKCOVA"/>
    <s v="Y"/>
  </r>
  <r>
    <n v="1013"/>
    <n v="1148"/>
    <n v="1198"/>
    <s v="Emily"/>
    <s v="Charles"/>
    <n v="2019"/>
    <n v="11"/>
    <n v="5.0999999999999996"/>
    <n v="72"/>
    <n v="-20"/>
    <x v="1"/>
    <s v="Emily"/>
    <s v="TEXAROK"/>
    <s v="Y"/>
  </r>
  <r>
    <n v="1014"/>
    <n v="373"/>
    <n v="599"/>
    <s v="Charles"/>
    <s v="Emily"/>
    <n v="2019"/>
    <n v="11"/>
    <n v="5.2"/>
    <n v="92"/>
    <n v="20"/>
    <x v="0"/>
    <s v="Charles"/>
    <s v="AKCOVA"/>
    <s v="Y"/>
  </r>
  <r>
    <n v="1015"/>
    <n v="153"/>
    <n v="146"/>
    <s v="Russell"/>
    <s v="Watty"/>
    <n v="2019"/>
    <n v="11"/>
    <n v="6.1"/>
    <n v="115"/>
    <n v="37"/>
    <x v="0"/>
    <s v="Russell"/>
    <s v="TEXAROK"/>
    <s v="Y"/>
  </r>
  <r>
    <n v="1016"/>
    <n v="1382"/>
    <n v="1012"/>
    <s v="Watty"/>
    <s v="Russell"/>
    <n v="2019"/>
    <n v="11"/>
    <n v="6.2"/>
    <n v="78"/>
    <n v="-37"/>
    <x v="1"/>
    <s v="Watty"/>
    <s v="AKCOVA"/>
    <s v="Y"/>
  </r>
  <r>
    <n v="1017"/>
    <n v="1095"/>
    <n v="257"/>
    <s v="Charles"/>
    <s v="Michael"/>
    <n v="2019"/>
    <n v="12"/>
    <n v="1.1000000000000001"/>
    <n v="107"/>
    <n v="-17"/>
    <x v="1"/>
    <s v="Charles"/>
    <s v="AKCOVA"/>
    <s v="N"/>
  </r>
  <r>
    <n v="1018"/>
    <n v="433"/>
    <n v="78"/>
    <s v="Michael"/>
    <s v="Charles"/>
    <n v="2019"/>
    <n v="12"/>
    <n v="1.2"/>
    <n v="124"/>
    <n v="17"/>
    <x v="0"/>
    <s v="Michael"/>
    <s v="AKCOVA"/>
    <s v="N"/>
  </r>
  <r>
    <n v="1019"/>
    <n v="780"/>
    <n v="768"/>
    <s v="Russell"/>
    <s v="David"/>
    <n v="2019"/>
    <n v="12"/>
    <n v="2.1"/>
    <n v="86"/>
    <n v="-1"/>
    <x v="1"/>
    <s v="Russell"/>
    <s v="TEXAROK"/>
    <s v="N"/>
  </r>
  <r>
    <n v="1020"/>
    <n v="741"/>
    <n v="741"/>
    <s v="David"/>
    <s v="Russell"/>
    <n v="2019"/>
    <n v="12"/>
    <n v="2.2000000000000002"/>
    <n v="87"/>
    <n v="1"/>
    <x v="0"/>
    <s v="David"/>
    <s v="TEXAROK"/>
    <s v="N"/>
  </r>
  <r>
    <n v="1021"/>
    <n v="1326"/>
    <n v="1162"/>
    <s v="Mark"/>
    <s v="Brian"/>
    <n v="2019"/>
    <n v="12"/>
    <n v="3.1"/>
    <n v="73"/>
    <n v="-31"/>
    <x v="1"/>
    <s v="Mark"/>
    <s v="AKCOVA"/>
    <s v="Y"/>
  </r>
  <r>
    <n v="1022"/>
    <n v="205"/>
    <n v="311"/>
    <s v="Brian"/>
    <s v="Mark"/>
    <n v="2019"/>
    <n v="12"/>
    <n v="3.2"/>
    <n v="104"/>
    <n v="31"/>
    <x v="0"/>
    <s v="Brian"/>
    <s v="TEXAROK"/>
    <s v="Y"/>
  </r>
  <r>
    <n v="1023"/>
    <n v="525"/>
    <n v="1198"/>
    <s v="BR"/>
    <s v="Watty"/>
    <n v="2019"/>
    <n v="12"/>
    <n v="4.0999999999999996"/>
    <n v="72"/>
    <n v="12"/>
    <x v="0"/>
    <s v="BR"/>
    <s v="AKCOVA"/>
    <s v="N"/>
  </r>
  <r>
    <n v="1024"/>
    <n v="1002"/>
    <n v="1406"/>
    <s v="Watty"/>
    <s v="BR"/>
    <n v="2019"/>
    <n v="12"/>
    <n v="4.2"/>
    <n v="60"/>
    <n v="-12"/>
    <x v="1"/>
    <s v="Watty"/>
    <s v="AKCOVA"/>
    <s v="N"/>
  </r>
  <r>
    <n v="1025"/>
    <n v="1148"/>
    <n v="651"/>
    <s v="Brent"/>
    <s v="Matt"/>
    <n v="2019"/>
    <n v="12"/>
    <n v="5.0999999999999996"/>
    <n v="90"/>
    <n v="-20"/>
    <x v="1"/>
    <s v="Brent"/>
    <s v="TEXAROK"/>
    <s v="N"/>
  </r>
  <r>
    <n v="1026"/>
    <n v="373"/>
    <n v="207"/>
    <s v="Matt"/>
    <s v="Brent"/>
    <n v="2019"/>
    <n v="12"/>
    <n v="5.2"/>
    <n v="110"/>
    <n v="20"/>
    <x v="0"/>
    <s v="Matt"/>
    <s v="TEXAROK"/>
    <s v="N"/>
  </r>
  <r>
    <n v="1027"/>
    <n v="525"/>
    <n v="1288"/>
    <s v="Emily"/>
    <s v="Abby"/>
    <n v="2019"/>
    <n v="12"/>
    <n v="6.1"/>
    <n v="68"/>
    <n v="12"/>
    <x v="0"/>
    <s v="Emily"/>
    <s v="TEXAROK"/>
    <s v="Y"/>
  </r>
  <r>
    <n v="1028"/>
    <n v="1002"/>
    <n v="1465"/>
    <s v="Abby"/>
    <s v="Emily"/>
    <n v="2019"/>
    <n v="12"/>
    <n v="6.2"/>
    <n v="56"/>
    <n v="-12"/>
    <x v="1"/>
    <s v="Abby"/>
    <s v="AKCOVA"/>
    <s v="Y"/>
  </r>
  <r>
    <n v="1029"/>
    <n v="1043"/>
    <n v="1383"/>
    <s v="Watty"/>
    <s v="Michael"/>
    <n v="2019"/>
    <n v="13"/>
    <n v="1.1000000000000001"/>
    <n v="62"/>
    <n v="-14"/>
    <x v="1"/>
    <s v="Watty"/>
    <s v="AKCOVA"/>
    <s v="N"/>
  </r>
  <r>
    <n v="1030"/>
    <n v="483"/>
    <n v="1076"/>
    <s v="Michael"/>
    <s v="Watty"/>
    <n v="2019"/>
    <n v="13"/>
    <n v="1.2"/>
    <n v="76"/>
    <n v="14"/>
    <x v="0"/>
    <s v="Michael"/>
    <s v="AKCOVA"/>
    <s v="N"/>
  </r>
  <r>
    <n v="1031"/>
    <n v="451"/>
    <n v="544"/>
    <s v="Matt"/>
    <s v="Abby"/>
    <n v="2019"/>
    <n v="13"/>
    <n v="2.1"/>
    <n v="94"/>
    <n v="16"/>
    <x v="0"/>
    <s v="Matt"/>
    <s v="TEXAROK"/>
    <s v="Y"/>
  </r>
  <r>
    <n v="1032"/>
    <n v="1079"/>
    <n v="1012"/>
    <s v="Abby"/>
    <s v="Matt"/>
    <n v="2019"/>
    <n v="13"/>
    <n v="2.2000000000000002"/>
    <n v="78"/>
    <n v="-16"/>
    <x v="1"/>
    <s v="Abby"/>
    <s v="AKCOVA"/>
    <s v="Y"/>
  </r>
  <r>
    <n v="1033"/>
    <n v="483"/>
    <n v="518"/>
    <s v="Emily"/>
    <s v="Russell"/>
    <n v="2019"/>
    <n v="13"/>
    <n v="3.1"/>
    <n v="95"/>
    <n v="14"/>
    <x v="0"/>
    <s v="Emily"/>
    <s v="TEXAROK"/>
    <s v="N"/>
  </r>
  <r>
    <n v="1034"/>
    <n v="1043"/>
    <n v="924"/>
    <s v="Russell"/>
    <s v="Emily"/>
    <n v="2019"/>
    <n v="13"/>
    <n v="3.2"/>
    <n v="81"/>
    <n v="-14"/>
    <x v="1"/>
    <s v="Russell"/>
    <s v="TEXAROK"/>
    <s v="N"/>
  </r>
  <r>
    <n v="1035"/>
    <n v="924"/>
    <n v="1117"/>
    <s v="Charles"/>
    <s v="BR"/>
    <n v="2019"/>
    <n v="13"/>
    <n v="4.0999999999999996"/>
    <n v="75"/>
    <n v="-8"/>
    <x v="1"/>
    <s v="Charles"/>
    <s v="AKCOVA"/>
    <s v="N"/>
  </r>
  <r>
    <n v="1036"/>
    <n v="596"/>
    <n v="852"/>
    <s v="BR"/>
    <s v="Charles"/>
    <n v="2019"/>
    <n v="13"/>
    <n v="4.2"/>
    <n v="83"/>
    <n v="8"/>
    <x v="0"/>
    <s v="BR"/>
    <s v="AKCOVA"/>
    <s v="N"/>
  </r>
  <r>
    <n v="1037"/>
    <n v="1341"/>
    <n v="1044"/>
    <s v="Mark"/>
    <s v="Brent"/>
    <n v="2019"/>
    <n v="13"/>
    <n v="5.0999999999999996"/>
    <n v="77"/>
    <n v="-32"/>
    <x v="1"/>
    <s v="Mark"/>
    <s v="AKCOVA"/>
    <s v="Y"/>
  </r>
  <r>
    <n v="1038"/>
    <n v="194"/>
    <n v="222"/>
    <s v="Brent"/>
    <s v="Mark"/>
    <n v="2019"/>
    <n v="13"/>
    <n v="5.2"/>
    <n v="109"/>
    <n v="32"/>
    <x v="0"/>
    <s v="Brent"/>
    <s v="TEXAROK"/>
    <s v="Y"/>
  </r>
  <r>
    <n v="1039"/>
    <n v="622"/>
    <n v="651"/>
    <s v="Brian"/>
    <s v="David"/>
    <n v="2019"/>
    <n v="13"/>
    <n v="6.1"/>
    <n v="90"/>
    <n v="7"/>
    <x v="0"/>
    <s v="Brian"/>
    <s v="TEXAROK"/>
    <s v="N"/>
  </r>
  <r>
    <n v="1040"/>
    <n v="903"/>
    <n v="852"/>
    <s v="David"/>
    <s v="Brian"/>
    <n v="2019"/>
    <n v="13"/>
    <n v="6.2"/>
    <n v="83"/>
    <n v="-7"/>
    <x v="1"/>
    <s v="David"/>
    <s v="TEXAROK"/>
    <s v="N"/>
  </r>
  <r>
    <n v="1041"/>
    <n v="544"/>
    <n v="627"/>
    <s v="Michael"/>
    <s v="Matt"/>
    <n v="2020"/>
    <n v="1"/>
    <n v="1.1000000000000001"/>
    <n v="91"/>
    <n v="11"/>
    <x v="0"/>
    <s v="Michael"/>
    <s v="AKCOVA"/>
    <s v="Y"/>
  </r>
  <r>
    <n v="1042"/>
    <n v="983"/>
    <n v="956"/>
    <s v="Matt"/>
    <s v="Michael"/>
    <n v="2020"/>
    <n v="1"/>
    <n v="1.2"/>
    <n v="80"/>
    <n v="-11"/>
    <x v="1"/>
    <s v="Matt"/>
    <s v="TEXAROK"/>
    <s v="Y"/>
  </r>
  <r>
    <n v="1043"/>
    <n v="1341"/>
    <n v="956"/>
    <s v="Emily"/>
    <s v="David"/>
    <n v="2020"/>
    <n v="1"/>
    <n v="2.1"/>
    <n v="80"/>
    <n v="-32"/>
    <x v="1"/>
    <s v="Emily"/>
    <s v="TEXAROK"/>
    <s v="N"/>
  </r>
  <r>
    <n v="1044"/>
    <n v="194"/>
    <n v="180"/>
    <s v="David"/>
    <s v="Emily"/>
    <n v="2020"/>
    <n v="1"/>
    <n v="2.2000000000000002"/>
    <n v="112"/>
    <n v="32"/>
    <x v="0"/>
    <s v="David"/>
    <s v="TEXAROK"/>
    <s v="N"/>
  </r>
  <r>
    <n v="1045"/>
    <n v="1451"/>
    <n v="710"/>
    <s v="Brent"/>
    <s v="Russell"/>
    <n v="2020"/>
    <n v="1"/>
    <n v="3.1"/>
    <n v="88"/>
    <n v="-45"/>
    <x v="1"/>
    <s v="Brent"/>
    <s v="TEXAROK"/>
    <s v="N"/>
  </r>
  <r>
    <n v="1046"/>
    <n v="91"/>
    <n v="38"/>
    <s v="Russell"/>
    <s v="Brent"/>
    <n v="2020"/>
    <n v="1"/>
    <n v="3.2"/>
    <n v="133"/>
    <n v="45"/>
    <x v="0"/>
    <s v="Russell"/>
    <s v="TEXAROK"/>
    <s v="N"/>
  </r>
  <r>
    <n v="1047"/>
    <n v="291"/>
    <n v="1162"/>
    <s v="Abby"/>
    <s v="Mark"/>
    <n v="2020"/>
    <n v="1"/>
    <n v="4.0999999999999996"/>
    <n v="73"/>
    <n v="25"/>
    <x v="0"/>
    <s v="Abby"/>
    <s v="AKCOVA"/>
    <s v="N"/>
  </r>
  <r>
    <n v="1048"/>
    <n v="1236"/>
    <n v="1516"/>
    <s v="Mark"/>
    <s v="Abby"/>
    <n v="2020"/>
    <n v="1"/>
    <n v="4.2"/>
    <n v="48"/>
    <n v="-25"/>
    <x v="1"/>
    <s v="Mark"/>
    <s v="AKCOVA"/>
    <s v="N"/>
  </r>
  <r>
    <n v="1049"/>
    <n v="173"/>
    <n v="257"/>
    <s v="BR"/>
    <s v="Watty"/>
    <n v="2020"/>
    <n v="1"/>
    <n v="5.0999999999999996"/>
    <n v="107"/>
    <n v="35"/>
    <x v="0"/>
    <s v="BR"/>
    <s v="AKCOVA"/>
    <s v="N"/>
  </r>
  <r>
    <n v="1050"/>
    <n v="1368"/>
    <n v="1198"/>
    <s v="Watty"/>
    <s v="BR"/>
    <n v="2020"/>
    <n v="1"/>
    <n v="5.2"/>
    <n v="72"/>
    <n v="-35"/>
    <x v="1"/>
    <s v="Watty"/>
    <s v="AKCOVA"/>
    <s v="N"/>
  </r>
  <r>
    <n v="1051"/>
    <n v="780"/>
    <n v="572"/>
    <s v="Charles"/>
    <s v="Brian"/>
    <n v="2020"/>
    <n v="1"/>
    <n v="6.1"/>
    <n v="93"/>
    <n v="-1"/>
    <x v="1"/>
    <s v="Charles"/>
    <s v="AKCOVA"/>
    <s v="Y"/>
  </r>
  <r>
    <n v="1052"/>
    <n v="741"/>
    <n v="544"/>
    <s v="Brian"/>
    <s v="Charles"/>
    <n v="2020"/>
    <n v="1"/>
    <n v="6.2"/>
    <n v="94"/>
    <n v="1"/>
    <x v="0"/>
    <s v="Brian"/>
    <s v="TEXAROK"/>
    <s v="Y"/>
  </r>
  <r>
    <n v="1053"/>
    <n v="966"/>
    <n v="518"/>
    <s v="Emily"/>
    <s v="Michael"/>
    <n v="2020"/>
    <n v="2"/>
    <n v="1.1000000000000001"/>
    <n v="95"/>
    <n v="-10"/>
    <x v="1"/>
    <s v="Emily"/>
    <s v="TEXAROK"/>
    <s v="Y"/>
  </r>
  <r>
    <n v="1054"/>
    <n v="563"/>
    <n v="288"/>
    <s v="Michael"/>
    <s v="Emily"/>
    <n v="2020"/>
    <n v="2"/>
    <n v="1.2"/>
    <n v="105"/>
    <n v="10"/>
    <x v="0"/>
    <s v="Michael"/>
    <s v="AKCOVA"/>
    <s v="Y"/>
  </r>
  <r>
    <n v="1055"/>
    <n v="1422"/>
    <n v="1076"/>
    <s v="Matt"/>
    <s v="Brent"/>
    <n v="2020"/>
    <n v="2"/>
    <n v="2.1"/>
    <n v="76"/>
    <n v="-41"/>
    <x v="1"/>
    <s v="Matt"/>
    <s v="TEXAROK"/>
    <s v="N"/>
  </r>
  <r>
    <n v="1056"/>
    <n v="119"/>
    <n v="130"/>
    <s v="Brent"/>
    <s v="Matt"/>
    <n v="2020"/>
    <n v="2"/>
    <n v="2.2000000000000002"/>
    <n v="117"/>
    <n v="41"/>
    <x v="0"/>
    <s v="Brent"/>
    <s v="TEXAROK"/>
    <s v="N"/>
  </r>
  <r>
    <n v="1057"/>
    <n v="1382"/>
    <n v="1076"/>
    <s v="David"/>
    <s v="Russell"/>
    <n v="2020"/>
    <n v="2"/>
    <n v="3.1"/>
    <n v="76"/>
    <n v="-37"/>
    <x v="1"/>
    <s v="David"/>
    <s v="TEXAROK"/>
    <s v="N"/>
  </r>
  <r>
    <n v="1058"/>
    <n v="153"/>
    <n v="163"/>
    <s v="Russell"/>
    <s v="David"/>
    <n v="2020"/>
    <n v="2"/>
    <n v="3.2"/>
    <n v="113"/>
    <n v="37"/>
    <x v="0"/>
    <s v="Russell"/>
    <s v="TEXAROK"/>
    <s v="N"/>
  </r>
  <r>
    <n v="1059"/>
    <n v="55"/>
    <n v="375"/>
    <s v="BR"/>
    <s v="Abby"/>
    <n v="2020"/>
    <n v="2"/>
    <n v="4.0999999999999996"/>
    <n v="101"/>
    <n v="55"/>
    <x v="0"/>
    <s v="BR"/>
    <s v="AKCOVA"/>
    <s v="N"/>
  </r>
  <r>
    <n v="1060"/>
    <n v="1485"/>
    <n v="1522"/>
    <s v="Abby"/>
    <s v="BR"/>
    <n v="2020"/>
    <n v="2"/>
    <n v="4.2"/>
    <n v="46"/>
    <n v="-55"/>
    <x v="1"/>
    <s v="Abby"/>
    <s v="AKCOVA"/>
    <s v="N"/>
  </r>
  <r>
    <n v="1061"/>
    <n v="1537"/>
    <n v="883"/>
    <s v="Mark"/>
    <s v="Charles"/>
    <n v="2020"/>
    <n v="2"/>
    <n v="5.0999999999999996"/>
    <n v="82"/>
    <n v="-81"/>
    <x v="1"/>
    <s v="Mark"/>
    <s v="AKCOVA"/>
    <s v="N"/>
  </r>
  <r>
    <n v="1062"/>
    <n v="8"/>
    <n v="2"/>
    <s v="Charles"/>
    <s v="Mark"/>
    <n v="2020"/>
    <n v="2"/>
    <n v="5.2"/>
    <n v="163"/>
    <n v="81"/>
    <x v="0"/>
    <s v="Charles"/>
    <s v="AKCOVA"/>
    <s v="N"/>
  </r>
  <r>
    <n v="1063"/>
    <n v="40"/>
    <n v="126"/>
    <s v="Watty"/>
    <s v="Brian"/>
    <n v="2020"/>
    <n v="2"/>
    <n v="6.1"/>
    <n v="118"/>
    <n v="59"/>
    <x v="0"/>
    <s v="Watty"/>
    <s v="AKCOVA"/>
    <s v="Y"/>
  </r>
  <r>
    <n v="1064"/>
    <n v="1503"/>
    <n v="1421"/>
    <s v="Brian"/>
    <s v="Watty"/>
    <n v="2020"/>
    <n v="2"/>
    <n v="6.2"/>
    <n v="59"/>
    <n v="-59"/>
    <x v="1"/>
    <s v="Brian"/>
    <s v="TEXAROK"/>
    <s v="Y"/>
  </r>
  <r>
    <n v="1065"/>
    <n v="780"/>
    <n v="439"/>
    <s v="Michael"/>
    <s v="Brent"/>
    <n v="2020"/>
    <n v="3"/>
    <n v="1.1000000000000001"/>
    <n v="98"/>
    <n v="-1"/>
    <x v="1"/>
    <s v="Michael"/>
    <s v="TEXAROK"/>
    <s v="Y"/>
  </r>
  <r>
    <n v="1066"/>
    <n v="741"/>
    <n v="414"/>
    <s v="Brent"/>
    <s v="Michael"/>
    <n v="2020"/>
    <n v="3"/>
    <n v="1.2"/>
    <n v="99"/>
    <n v="1"/>
    <x v="0"/>
    <s v="Brent"/>
    <s v="AKCOVA"/>
    <s v="Y"/>
  </r>
  <r>
    <n v="1067"/>
    <n v="1255"/>
    <n v="518"/>
    <s v="Russell"/>
    <s v="Emily"/>
    <n v="2020"/>
    <n v="3"/>
    <n v="2.1"/>
    <n v="95"/>
    <n v="-26"/>
    <x v="1"/>
    <s v="Russell"/>
    <s v="TEXAROK"/>
    <s v="N"/>
  </r>
  <r>
    <n v="1068"/>
    <n v="278"/>
    <n v="98"/>
    <s v="Emily"/>
    <s v="Russell"/>
    <n v="2020"/>
    <n v="3"/>
    <n v="2.2000000000000002"/>
    <n v="121"/>
    <n v="26"/>
    <x v="0"/>
    <s v="Emily"/>
    <s v="TEXAROK"/>
    <s v="N"/>
  </r>
  <r>
    <n v="1069"/>
    <n v="1236"/>
    <n v="819"/>
    <s v="David"/>
    <s v="Matt"/>
    <n v="2020"/>
    <n v="3"/>
    <n v="3.1"/>
    <n v="84"/>
    <n v="-25"/>
    <x v="1"/>
    <s v="David"/>
    <s v="TEXAROK"/>
    <s v="N"/>
  </r>
  <r>
    <n v="1070"/>
    <n v="291"/>
    <n v="222"/>
    <s v="Matt"/>
    <s v="David"/>
    <n v="2020"/>
    <n v="3"/>
    <n v="3.2"/>
    <n v="109"/>
    <n v="25"/>
    <x v="0"/>
    <s v="Matt"/>
    <s v="TEXAROK"/>
    <s v="N"/>
  </r>
  <r>
    <n v="1071"/>
    <n v="1543"/>
    <n v="1465"/>
    <s v="Abby"/>
    <s v="Charles"/>
    <n v="2020"/>
    <n v="3"/>
    <n v="4.0999999999999996"/>
    <n v="56"/>
    <n v="-93"/>
    <x v="1"/>
    <s v="Abby"/>
    <s v="TEXAROK"/>
    <s v="Y"/>
  </r>
  <r>
    <n v="1072"/>
    <n v="2"/>
    <n v="9"/>
    <s v="Charles"/>
    <s v="Abby"/>
    <n v="2020"/>
    <n v="3"/>
    <n v="4.2"/>
    <n v="149"/>
    <n v="93"/>
    <x v="0"/>
    <s v="Charles"/>
    <s v="AKCOVA"/>
    <s v="Y"/>
  </r>
  <r>
    <n v="1073"/>
    <n v="1255"/>
    <n v="1198"/>
    <s v="Brian"/>
    <s v="BR"/>
    <n v="2020"/>
    <n v="3"/>
    <n v="5.0999999999999996"/>
    <n v="72"/>
    <n v="-26"/>
    <x v="1"/>
    <s v="Brian"/>
    <s v="TEXAROK"/>
    <s v="N"/>
  </r>
  <r>
    <n v="1074"/>
    <n v="278"/>
    <n v="439"/>
    <s v="BR"/>
    <s v="Brian"/>
    <n v="2020"/>
    <n v="3"/>
    <n v="5.2"/>
    <n v="98"/>
    <n v="26"/>
    <x v="0"/>
    <s v="BR"/>
    <s v="AKCOVA"/>
    <s v="N"/>
  </r>
  <r>
    <n v="1075"/>
    <n v="20"/>
    <n v="21"/>
    <s v="Watty"/>
    <s v="Mark"/>
    <n v="2020"/>
    <n v="3"/>
    <n v="6.1"/>
    <n v="140"/>
    <n v="68"/>
    <x v="0"/>
    <s v="Watty"/>
    <s v="AKCOVA"/>
    <s v="N"/>
  </r>
  <r>
    <n v="1076"/>
    <n v="1524"/>
    <n v="1198"/>
    <s v="Mark"/>
    <s v="Watty"/>
    <n v="2020"/>
    <n v="3"/>
    <n v="6.2"/>
    <n v="72"/>
    <n v="-68"/>
    <x v="1"/>
    <s v="Mark"/>
    <s v="AKCOVA"/>
    <s v="N"/>
  </r>
  <r>
    <n v="1077"/>
    <n v="882"/>
    <n v="357"/>
    <s v="Russell"/>
    <s v="Michael"/>
    <n v="2020"/>
    <n v="4"/>
    <n v="1.1000000000000001"/>
    <n v="102"/>
    <n v="-6"/>
    <x v="1"/>
    <s v="Russell"/>
    <s v="TEXAROK"/>
    <s v="Y"/>
  </r>
  <r>
    <n v="1078"/>
    <n v="643"/>
    <n v="239"/>
    <s v="Michael"/>
    <s v="Russell"/>
    <n v="2020"/>
    <n v="4"/>
    <n v="1.2"/>
    <n v="108"/>
    <n v="6"/>
    <x v="0"/>
    <s v="Michael"/>
    <s v="AKCOVA"/>
    <s v="Y"/>
  </r>
  <r>
    <n v="1079"/>
    <n v="413"/>
    <n v="627"/>
    <s v="Brent"/>
    <s v="David"/>
    <n v="2020"/>
    <n v="4"/>
    <n v="2.1"/>
    <n v="91"/>
    <n v="18"/>
    <x v="0"/>
    <s v="Brent"/>
    <s v="TEXAROK"/>
    <s v="N"/>
  </r>
  <r>
    <n v="1080"/>
    <n v="1113"/>
    <n v="1162"/>
    <s v="David"/>
    <s v="Brent"/>
    <n v="2020"/>
    <n v="4"/>
    <n v="2.2000000000000002"/>
    <n v="73"/>
    <n v="-18"/>
    <x v="1"/>
    <s v="David"/>
    <s v="TEXAROK"/>
    <s v="N"/>
  </r>
  <r>
    <n v="1081"/>
    <n v="433"/>
    <n v="155"/>
    <s v="Emily"/>
    <s v="Matt"/>
    <n v="2020"/>
    <n v="4"/>
    <n v="3.1"/>
    <n v="114"/>
    <n v="17"/>
    <x v="0"/>
    <s v="Emily"/>
    <s v="TEXAROK"/>
    <s v="N"/>
  </r>
  <r>
    <n v="1082"/>
    <n v="1095"/>
    <n v="461"/>
    <s v="Matt"/>
    <s v="Emily"/>
    <n v="2020"/>
    <n v="4"/>
    <n v="3.2"/>
    <n v="97"/>
    <n v="-17"/>
    <x v="1"/>
    <s v="Matt"/>
    <s v="TEXAROK"/>
    <s v="N"/>
  </r>
  <r>
    <n v="1083"/>
    <n v="43"/>
    <n v="257"/>
    <s v="Brian"/>
    <s v="Abby"/>
    <n v="2020"/>
    <n v="4"/>
    <n v="4.0999999999999996"/>
    <n v="107"/>
    <n v="58"/>
    <x v="0"/>
    <s v="Brian"/>
    <s v="TEXAROK"/>
    <s v="Y"/>
  </r>
  <r>
    <n v="1084"/>
    <n v="1495"/>
    <n v="1513"/>
    <s v="Abby"/>
    <s v="Brian"/>
    <n v="2020"/>
    <n v="4"/>
    <n v="4.2"/>
    <n v="49"/>
    <n v="-58"/>
    <x v="1"/>
    <s v="Abby"/>
    <s v="AKCOVA"/>
    <s v="Y"/>
  </r>
  <r>
    <n v="1085"/>
    <n v="141"/>
    <n v="414"/>
    <s v="Charles"/>
    <s v="Watty"/>
    <n v="2020"/>
    <n v="4"/>
    <n v="5.0999999999999996"/>
    <n v="99"/>
    <n v="38"/>
    <x v="0"/>
    <s v="Charles"/>
    <s v="AKCOVA"/>
    <s v="N"/>
  </r>
  <r>
    <n v="1086"/>
    <n v="1393"/>
    <n v="1398"/>
    <s v="Watty"/>
    <s v="Charles"/>
    <n v="2020"/>
    <n v="4"/>
    <n v="5.2"/>
    <n v="61"/>
    <n v="-38"/>
    <x v="1"/>
    <s v="Watty"/>
    <s v="AKCOVA"/>
    <s v="N"/>
  </r>
  <r>
    <n v="1087"/>
    <n v="1236"/>
    <n v="1346"/>
    <s v="BR"/>
    <s v="Mark"/>
    <n v="2020"/>
    <n v="4"/>
    <n v="6.1"/>
    <n v="64"/>
    <n v="-25"/>
    <x v="1"/>
    <s v="BR"/>
    <s v="AKCOVA"/>
    <s v="N"/>
  </r>
  <r>
    <n v="1088"/>
    <n v="291"/>
    <n v="673"/>
    <s v="Mark"/>
    <s v="BR"/>
    <n v="2020"/>
    <n v="4"/>
    <n v="6.2"/>
    <n v="89"/>
    <n v="25"/>
    <x v="0"/>
    <s v="Mark"/>
    <s v="AKCOVA"/>
    <s v="N"/>
  </r>
  <r>
    <n v="1089"/>
    <n v="1208"/>
    <n v="1243"/>
    <s v="Michael"/>
    <s v="David"/>
    <n v="2020"/>
    <n v="5"/>
    <n v="1.1000000000000001"/>
    <n v="70"/>
    <n v="-23"/>
    <x v="1"/>
    <s v="Michael"/>
    <s v="AKCOVA"/>
    <s v="Y"/>
  </r>
  <r>
    <n v="1090"/>
    <n v="324"/>
    <n v="572"/>
    <s v="David"/>
    <s v="Michael"/>
    <n v="2020"/>
    <n v="5"/>
    <n v="1.2"/>
    <n v="93"/>
    <n v="23"/>
    <x v="0"/>
    <s v="David"/>
    <s v="TEXAROK"/>
    <s v="Y"/>
  </r>
  <r>
    <n v="1091"/>
    <n v="1527"/>
    <n v="1383"/>
    <s v="Matt"/>
    <s v="Russell"/>
    <n v="2020"/>
    <n v="5"/>
    <n v="2.1"/>
    <n v="62"/>
    <n v="-71"/>
    <x v="1"/>
    <s v="Matt"/>
    <s v="TEXAROK"/>
    <s v="N"/>
  </r>
  <r>
    <n v="1092"/>
    <n v="18"/>
    <n v="38"/>
    <s v="Russell"/>
    <s v="Matt"/>
    <n v="2020"/>
    <n v="5"/>
    <n v="2.2000000000000002"/>
    <n v="133"/>
    <n v="71"/>
    <x v="0"/>
    <s v="Russell"/>
    <s v="TEXAROK"/>
    <s v="N"/>
  </r>
  <r>
    <n v="1093"/>
    <n v="966"/>
    <n v="1198"/>
    <s v="Emily"/>
    <s v="Brent"/>
    <n v="2020"/>
    <n v="5"/>
    <n v="3.1"/>
    <n v="72"/>
    <n v="-10"/>
    <x v="1"/>
    <s v="Emily"/>
    <s v="TEXAROK"/>
    <s v="N"/>
  </r>
  <r>
    <n v="1094"/>
    <n v="563"/>
    <n v="883"/>
    <s v="Brent"/>
    <s v="Emily"/>
    <n v="2020"/>
    <n v="5"/>
    <n v="3.2"/>
    <n v="82"/>
    <n v="10"/>
    <x v="0"/>
    <s v="Brent"/>
    <s v="TEXAROK"/>
    <s v="N"/>
  </r>
  <r>
    <n v="1095"/>
    <n v="1197"/>
    <n v="1306"/>
    <s v="Abby"/>
    <s v="Watty"/>
    <n v="2020"/>
    <n v="5"/>
    <n v="4.0999999999999996"/>
    <n v="67"/>
    <n v="-22"/>
    <x v="1"/>
    <s v="Abby"/>
    <s v="AKCOVA"/>
    <s v="N"/>
  </r>
  <r>
    <n v="1096"/>
    <n v="338"/>
    <n v="673"/>
    <s v="Watty"/>
    <s v="Abby"/>
    <n v="2020"/>
    <n v="5"/>
    <n v="4.2"/>
    <n v="89"/>
    <n v="22"/>
    <x v="0"/>
    <s v="Watty"/>
    <s v="AKCOVA"/>
    <s v="N"/>
  </r>
  <r>
    <n v="1097"/>
    <n v="843"/>
    <n v="414"/>
    <s v="Mark"/>
    <s v="Brian"/>
    <n v="2020"/>
    <n v="5"/>
    <n v="5.0999999999999996"/>
    <n v="99"/>
    <n v="-4"/>
    <x v="1"/>
    <s v="Mark"/>
    <s v="AKCOVA"/>
    <s v="Y"/>
  </r>
  <r>
    <n v="1098"/>
    <n v="679"/>
    <n v="339"/>
    <s v="Brian"/>
    <s v="Mark"/>
    <n v="2020"/>
    <n v="5"/>
    <n v="5.2"/>
    <n v="103"/>
    <n v="4"/>
    <x v="0"/>
    <s v="Brian"/>
    <s v="TEXAROK"/>
    <s v="Y"/>
  </r>
  <r>
    <n v="1099"/>
    <n v="1095"/>
    <n v="984"/>
    <s v="BR"/>
    <s v="Charles"/>
    <n v="2020"/>
    <n v="5"/>
    <n v="6.1"/>
    <n v="79"/>
    <n v="-17"/>
    <x v="1"/>
    <s v="BR"/>
    <s v="AKCOVA"/>
    <s v="N"/>
  </r>
  <r>
    <n v="1100"/>
    <n v="433"/>
    <n v="493"/>
    <s v="Charles"/>
    <s v="BR"/>
    <n v="2020"/>
    <n v="5"/>
    <n v="6.2"/>
    <n v="96"/>
    <n v="17"/>
    <x v="0"/>
    <s v="Charles"/>
    <s v="AKCOVA"/>
    <s v="N"/>
  </r>
  <r>
    <n v="1101"/>
    <n v="1393"/>
    <n v="741"/>
    <s v="Abby"/>
    <s v="Michael"/>
    <n v="2020"/>
    <n v="6"/>
    <n v="1.1000000000000001"/>
    <n v="87"/>
    <n v="-38"/>
    <x v="1"/>
    <s v="Abby"/>
    <s v="AKCOVA"/>
    <s v="N"/>
  </r>
  <r>
    <n v="1102"/>
    <n v="141"/>
    <n v="74"/>
    <s v="Michael"/>
    <s v="Abby"/>
    <n v="2020"/>
    <n v="6"/>
    <n v="1.2"/>
    <n v="125"/>
    <n v="38"/>
    <x v="0"/>
    <s v="Michael"/>
    <s v="AKCOVA"/>
    <s v="N"/>
  </r>
  <r>
    <n v="1103"/>
    <n v="1310"/>
    <n v="956"/>
    <s v="Mark"/>
    <s v="Matt"/>
    <n v="2020"/>
    <n v="6"/>
    <n v="2.1"/>
    <n v="80"/>
    <n v="-30"/>
    <x v="1"/>
    <s v="Mark"/>
    <s v="AKCOVA"/>
    <s v="Y"/>
  </r>
  <r>
    <n v="1104"/>
    <n v="220"/>
    <n v="207"/>
    <s v="Matt"/>
    <s v="Mark"/>
    <n v="2020"/>
    <n v="6"/>
    <n v="2.2000000000000002"/>
    <n v="110"/>
    <n v="30"/>
    <x v="0"/>
    <s v="Matt"/>
    <s v="TEXAROK"/>
    <s v="Y"/>
  </r>
  <r>
    <n v="1105"/>
    <n v="134"/>
    <n v="627"/>
    <s v="BR"/>
    <s v="Emily"/>
    <n v="2020"/>
    <n v="6"/>
    <n v="3.1"/>
    <n v="91"/>
    <n v="39"/>
    <x v="0"/>
    <s v="BR"/>
    <s v="AKCOVA"/>
    <s v="Y"/>
  </r>
  <r>
    <n v="1106"/>
    <n v="1405"/>
    <n v="1492"/>
    <s v="Emily"/>
    <s v="BR"/>
    <n v="2020"/>
    <n v="6"/>
    <n v="3.2"/>
    <n v="52"/>
    <n v="-39"/>
    <x v="1"/>
    <s v="Emily"/>
    <s v="TEXAROK"/>
    <s v="Y"/>
  </r>
  <r>
    <n v="1107"/>
    <n v="1373"/>
    <n v="1076"/>
    <s v="Charles"/>
    <s v="Brent"/>
    <n v="2020"/>
    <n v="6"/>
    <n v="4.0999999999999996"/>
    <n v="76"/>
    <n v="-36"/>
    <x v="1"/>
    <s v="Charles"/>
    <s v="AKCOVA"/>
    <s v="Y"/>
  </r>
  <r>
    <n v="1108"/>
    <n v="164"/>
    <n v="180"/>
    <s v="Brent"/>
    <s v="Charles"/>
    <n v="2020"/>
    <n v="6"/>
    <n v="4.2"/>
    <n v="112"/>
    <n v="36"/>
    <x v="0"/>
    <s v="Brent"/>
    <s v="TEXAROK"/>
    <s v="Y"/>
  </r>
  <r>
    <n v="1109"/>
    <n v="338"/>
    <n v="257"/>
    <s v="Brian"/>
    <s v="Russell"/>
    <n v="2020"/>
    <n v="6"/>
    <n v="5.0999999999999996"/>
    <n v="107"/>
    <n v="22"/>
    <x v="0"/>
    <s v="Brian"/>
    <s v="TEXAROK"/>
    <s v="N"/>
  </r>
  <r>
    <n v="1110"/>
    <n v="1197"/>
    <n v="796"/>
    <s v="Russell"/>
    <s v="Brian"/>
    <n v="2020"/>
    <n v="6"/>
    <n v="5.2"/>
    <n v="85"/>
    <n v="-22"/>
    <x v="1"/>
    <s v="Russell"/>
    <s v="TEXAROK"/>
    <s v="N"/>
  </r>
  <r>
    <n v="1111"/>
    <n v="966"/>
    <n v="1333"/>
    <s v="Watty"/>
    <s v="David"/>
    <n v="2020"/>
    <n v="6"/>
    <n v="6.1"/>
    <n v="65"/>
    <n v="-10"/>
    <x v="1"/>
    <s v="Watty"/>
    <s v="AKCOVA"/>
    <s v="Y"/>
  </r>
  <r>
    <n v="1112"/>
    <n v="563"/>
    <n v="1117"/>
    <s v="David"/>
    <s v="Watty"/>
    <n v="2020"/>
    <n v="6"/>
    <n v="6.2"/>
    <n v="75"/>
    <n v="10"/>
    <x v="0"/>
    <s v="David"/>
    <s v="TEXAROK"/>
    <s v="Y"/>
  </r>
  <r>
    <n v="1113"/>
    <n v="679"/>
    <n v="883"/>
    <s v="Michael"/>
    <s v="Watty"/>
    <n v="2020"/>
    <n v="7"/>
    <n v="1.1000000000000001"/>
    <n v="82"/>
    <n v="4"/>
    <x v="0"/>
    <s v="Michael"/>
    <s v="AKCOVA"/>
    <s v="N"/>
  </r>
  <r>
    <n v="1114"/>
    <n v="843"/>
    <n v="1012"/>
    <s v="Watty"/>
    <s v="Michael"/>
    <n v="2020"/>
    <n v="7"/>
    <n v="1.2"/>
    <n v="78"/>
    <n v="-4"/>
    <x v="1"/>
    <s v="Watty"/>
    <s v="AKCOVA"/>
    <s v="N"/>
  </r>
  <r>
    <n v="1115"/>
    <n v="843"/>
    <n v="673"/>
    <s v="Matt"/>
    <s v="Abby"/>
    <n v="2020"/>
    <n v="7"/>
    <n v="2.1"/>
    <n v="89"/>
    <n v="-4"/>
    <x v="1"/>
    <s v="Matt"/>
    <s v="TEXAROK"/>
    <s v="Y"/>
  </r>
  <r>
    <n v="1116"/>
    <n v="679"/>
    <n v="572"/>
    <s v="Abby"/>
    <s v="Matt"/>
    <n v="2020"/>
    <n v="7"/>
    <n v="2.2000000000000002"/>
    <n v="93"/>
    <n v="4"/>
    <x v="0"/>
    <s v="Abby"/>
    <s v="AKCOVA"/>
    <s v="Y"/>
  </r>
  <r>
    <n v="1117"/>
    <n v="35"/>
    <n v="130"/>
    <s v="Emily"/>
    <s v="Mark"/>
    <n v="2020"/>
    <n v="7"/>
    <n v="3.1"/>
    <n v="117"/>
    <n v="61"/>
    <x v="0"/>
    <s v="Emily"/>
    <s v="TEXAROK"/>
    <s v="Y"/>
  </r>
  <r>
    <n v="1118"/>
    <n v="1509"/>
    <n v="1465"/>
    <s v="Mark"/>
    <s v="Emily"/>
    <n v="2020"/>
    <n v="7"/>
    <n v="3.2"/>
    <n v="56"/>
    <n v="-61"/>
    <x v="1"/>
    <s v="Mark"/>
    <s v="AKCOVA"/>
    <s v="Y"/>
  </r>
  <r>
    <n v="1119"/>
    <n v="291"/>
    <n v="710"/>
    <s v="Brent"/>
    <s v="BR"/>
    <n v="2020"/>
    <n v="7"/>
    <n v="4.0999999999999996"/>
    <n v="88"/>
    <n v="25"/>
    <x v="0"/>
    <s v="Brent"/>
    <s v="TEXAROK"/>
    <s v="Y"/>
  </r>
  <r>
    <n v="1120"/>
    <n v="1236"/>
    <n v="1362"/>
    <s v="BR"/>
    <s v="Brent"/>
    <n v="2020"/>
    <n v="7"/>
    <n v="4.2"/>
    <n v="63"/>
    <n v="-25"/>
    <x v="1"/>
    <s v="BR"/>
    <s v="AKCOVA"/>
    <s v="Y"/>
  </r>
  <r>
    <n v="1121"/>
    <n v="1268"/>
    <n v="257"/>
    <s v="Russell"/>
    <s v="Charles"/>
    <n v="2020"/>
    <n v="7"/>
    <n v="5.0999999999999996"/>
    <n v="107"/>
    <n v="-27"/>
    <x v="1"/>
    <s v="Russell"/>
    <s v="TEXAROK"/>
    <s v="Y"/>
  </r>
  <r>
    <n v="1122"/>
    <n v="260"/>
    <n v="35"/>
    <s v="Charles"/>
    <s v="Russell"/>
    <n v="2020"/>
    <n v="7"/>
    <n v="5.2"/>
    <n v="134"/>
    <n v="27"/>
    <x v="0"/>
    <s v="Charles"/>
    <s v="AKCOVA"/>
    <s v="Y"/>
  </r>
  <r>
    <n v="1123"/>
    <n v="1299"/>
    <n v="1398"/>
    <s v="David"/>
    <s v="Brian"/>
    <n v="2020"/>
    <n v="7"/>
    <n v="6.1"/>
    <n v="61"/>
    <n v="-29"/>
    <x v="1"/>
    <s v="David"/>
    <s v="TEXAROK"/>
    <s v="N"/>
  </r>
  <r>
    <n v="1124"/>
    <n v="236"/>
    <n v="651"/>
    <s v="Brian"/>
    <s v="David"/>
    <n v="2020"/>
    <n v="7"/>
    <n v="6.2"/>
    <n v="90"/>
    <n v="29"/>
    <x v="0"/>
    <s v="Brian"/>
    <s v="TEXAROK"/>
    <s v="N"/>
  </r>
  <r>
    <n v="1125"/>
    <n v="741"/>
    <n v="1452"/>
    <s v="Brian"/>
    <s v="Michael"/>
    <n v="2020"/>
    <n v="8"/>
    <n v="1.1000000000000001"/>
    <n v="57"/>
    <n v="1"/>
    <x v="0"/>
    <s v="Brian"/>
    <s v="TEXAROK"/>
    <s v="Y"/>
  </r>
  <r>
    <n v="1126"/>
    <n v="780"/>
    <n v="1465"/>
    <s v="Michael"/>
    <s v="Brian"/>
    <n v="2020"/>
    <n v="8"/>
    <n v="1.2"/>
    <n v="56"/>
    <n v="-1"/>
    <x v="1"/>
    <s v="Michael"/>
    <s v="AKCOVA"/>
    <s v="Y"/>
  </r>
  <r>
    <n v="1127"/>
    <n v="1533"/>
    <n v="1441"/>
    <s v="Abby"/>
    <s v="Emily"/>
    <n v="2020"/>
    <n v="8"/>
    <n v="2.1"/>
    <n v="58"/>
    <n v="-76"/>
    <x v="1"/>
    <s v="Abby"/>
    <s v="AKCOVA"/>
    <s v="Y"/>
  </r>
  <r>
    <n v="1128"/>
    <n v="10"/>
    <n v="35"/>
    <s v="Emily"/>
    <s v="Abby"/>
    <n v="2020"/>
    <n v="8"/>
    <n v="2.2000000000000002"/>
    <n v="134"/>
    <n v="76"/>
    <x v="0"/>
    <s v="Emily"/>
    <s v="TEXAROK"/>
    <s v="Y"/>
  </r>
  <r>
    <n v="1129"/>
    <n v="1063"/>
    <n v="673"/>
    <s v="Mark"/>
    <s v="Brent"/>
    <n v="2020"/>
    <n v="8"/>
    <n v="3.1"/>
    <n v="89"/>
    <n v="-15"/>
    <x v="1"/>
    <s v="Mark"/>
    <s v="AKCOVA"/>
    <s v="Y"/>
  </r>
  <r>
    <n v="1130"/>
    <n v="467"/>
    <n v="311"/>
    <s v="Brent"/>
    <s v="Mark"/>
    <n v="2020"/>
    <n v="8"/>
    <n v="3.2"/>
    <n v="104"/>
    <n v="15"/>
    <x v="0"/>
    <s v="Brent"/>
    <s v="TEXAROK"/>
    <s v="Y"/>
  </r>
  <r>
    <n v="1131"/>
    <n v="1173"/>
    <n v="1076"/>
    <s v="BR"/>
    <s v="Russell"/>
    <n v="2020"/>
    <n v="8"/>
    <n v="4.0999999999999996"/>
    <n v="76"/>
    <n v="-21"/>
    <x v="1"/>
    <s v="BR"/>
    <s v="AKCOVA"/>
    <s v="Y"/>
  </r>
  <r>
    <n v="1132"/>
    <n v="349"/>
    <n v="461"/>
    <s v="Russell"/>
    <s v="BR"/>
    <n v="2020"/>
    <n v="8"/>
    <n v="4.2"/>
    <n v="97"/>
    <n v="21"/>
    <x v="0"/>
    <s v="Russell"/>
    <s v="TEXAROK"/>
    <s v="Y"/>
  </r>
  <r>
    <n v="1133"/>
    <n v="82"/>
    <n v="339"/>
    <s v="Charles"/>
    <s v="David"/>
    <n v="2020"/>
    <n v="8"/>
    <n v="5.0999999999999996"/>
    <n v="103"/>
    <n v="49"/>
    <x v="0"/>
    <s v="Charles"/>
    <s v="AKCOVA"/>
    <s v="Y"/>
  </r>
  <r>
    <n v="1134"/>
    <n v="1462"/>
    <n v="1478"/>
    <s v="David"/>
    <s v="Charles"/>
    <n v="2020"/>
    <n v="8"/>
    <n v="5.2"/>
    <n v="54"/>
    <n v="-49"/>
    <x v="1"/>
    <s v="David"/>
    <s v="TEXAROK"/>
    <s v="Y"/>
  </r>
  <r>
    <n v="1135"/>
    <n v="247"/>
    <n v="599"/>
    <s v="Watty"/>
    <s v="Matt"/>
    <n v="2020"/>
    <n v="8"/>
    <n v="6.1"/>
    <n v="92"/>
    <n v="28"/>
    <x v="0"/>
    <s v="Watty"/>
    <s v="AKCOVA"/>
    <s v="Y"/>
  </r>
  <r>
    <n v="1136"/>
    <n v="1286"/>
    <n v="1346"/>
    <s v="Matt"/>
    <s v="Watty"/>
    <n v="2020"/>
    <n v="8"/>
    <n v="6.2"/>
    <n v="64"/>
    <n v="-28"/>
    <x v="1"/>
    <s v="Matt"/>
    <s v="TEXAROK"/>
    <s v="Y"/>
  </r>
  <r>
    <n v="1137"/>
    <n v="843"/>
    <n v="796"/>
    <s v="Abby"/>
    <s v="Brent"/>
    <n v="2020"/>
    <n v="9"/>
    <n v="1.1000000000000001"/>
    <n v="85"/>
    <n v="-4"/>
    <x v="1"/>
    <s v="Abby"/>
    <s v="AKCOVA"/>
    <s v="Y"/>
  </r>
  <r>
    <n v="1138"/>
    <n v="679"/>
    <n v="673"/>
    <s v="Brent"/>
    <s v="Abby"/>
    <n v="2020"/>
    <n v="9"/>
    <n v="1.2"/>
    <n v="89"/>
    <n v="4"/>
    <x v="0"/>
    <s v="Brent"/>
    <s v="TEXAROK"/>
    <s v="Y"/>
  </r>
  <r>
    <n v="1139"/>
    <n v="1341"/>
    <n v="768"/>
    <s v="Mark"/>
    <s v="Russell"/>
    <n v="2020"/>
    <n v="9"/>
    <n v="2.1"/>
    <n v="86"/>
    <n v="-32"/>
    <x v="1"/>
    <s v="Mark"/>
    <s v="AKCOVA"/>
    <s v="Y"/>
  </r>
  <r>
    <n v="1140"/>
    <n v="194"/>
    <n v="126"/>
    <s v="Russell"/>
    <s v="Mark"/>
    <n v="2020"/>
    <n v="9"/>
    <n v="2.2000000000000002"/>
    <n v="118"/>
    <n v="32"/>
    <x v="0"/>
    <s v="Russell"/>
    <s v="TEXAROK"/>
    <s v="Y"/>
  </r>
  <r>
    <n v="1141"/>
    <n v="1326"/>
    <n v="1441"/>
    <s v="BR"/>
    <s v="David"/>
    <n v="2020"/>
    <n v="9"/>
    <n v="3.1"/>
    <n v="58"/>
    <n v="-31"/>
    <x v="1"/>
    <s v="BR"/>
    <s v="AKCOVA"/>
    <s v="Y"/>
  </r>
  <r>
    <n v="1142"/>
    <n v="205"/>
    <n v="673"/>
    <s v="David"/>
    <s v="BR"/>
    <n v="2020"/>
    <n v="9"/>
    <n v="3.2"/>
    <n v="89"/>
    <n v="31"/>
    <x v="0"/>
    <s v="David"/>
    <s v="TEXAROK"/>
    <s v="Y"/>
  </r>
  <r>
    <n v="1143"/>
    <n v="310"/>
    <n v="572"/>
    <s v="Charles"/>
    <s v="Michael"/>
    <n v="2020"/>
    <n v="9"/>
    <n v="4.0999999999999996"/>
    <n v="93"/>
    <n v="24"/>
    <x v="0"/>
    <s v="Charles"/>
    <s v="AKCOVA"/>
    <s v="N"/>
  </r>
  <r>
    <n v="1144"/>
    <n v="1222"/>
    <n v="1265"/>
    <s v="Michael"/>
    <s v="Charles"/>
    <n v="2020"/>
    <n v="9"/>
    <n v="4.2"/>
    <n v="69"/>
    <n v="-24"/>
    <x v="1"/>
    <s v="Michael"/>
    <s v="AKCOVA"/>
    <s v="N"/>
  </r>
  <r>
    <n v="1145"/>
    <n v="580"/>
    <n v="1198"/>
    <s v="Brian"/>
    <s v="Matt"/>
    <n v="2020"/>
    <n v="9"/>
    <n v="5.0999999999999996"/>
    <n v="72"/>
    <n v="9"/>
    <x v="0"/>
    <s v="Brian"/>
    <s v="TEXAROK"/>
    <s v="N"/>
  </r>
  <r>
    <n v="1146"/>
    <n v="950"/>
    <n v="1362"/>
    <s v="Matt"/>
    <s v="Brian"/>
    <n v="2020"/>
    <n v="9"/>
    <n v="5.2"/>
    <n v="63"/>
    <n v="-9"/>
    <x v="1"/>
    <s v="Matt"/>
    <s v="TEXAROK"/>
    <s v="N"/>
  </r>
  <r>
    <n v="1147"/>
    <n v="823"/>
    <n v="375"/>
    <s v="Watty"/>
    <s v="Emily"/>
    <n v="2020"/>
    <n v="9"/>
    <n v="6.1"/>
    <n v="101"/>
    <n v="-3"/>
    <x v="1"/>
    <s v="Watty"/>
    <s v="AKCOVA"/>
    <s v="Y"/>
  </r>
  <r>
    <n v="1148"/>
    <n v="703"/>
    <n v="311"/>
    <s v="Emily"/>
    <s v="Watty"/>
    <n v="2020"/>
    <n v="9"/>
    <n v="6.2"/>
    <n v="104"/>
    <n v="3"/>
    <x v="0"/>
    <s v="Emily"/>
    <s v="TEXAROK"/>
    <s v="Y"/>
  </r>
  <r>
    <n v="1149"/>
    <n v="413"/>
    <n v="544"/>
    <s v="Russell"/>
    <s v="Abby"/>
    <n v="2020"/>
    <n v="10"/>
    <n v="1.1000000000000001"/>
    <n v="94"/>
    <n v="18"/>
    <x v="0"/>
    <s v="Russell"/>
    <s v="TEXAROK"/>
    <s v="Y"/>
  </r>
  <r>
    <n v="1150"/>
    <n v="1113"/>
    <n v="1076"/>
    <s v="Abby"/>
    <s v="Russell"/>
    <n v="2020"/>
    <n v="10"/>
    <n v="1.2"/>
    <n v="76"/>
    <n v="-18"/>
    <x v="1"/>
    <s v="Abby"/>
    <s v="AKCOVA"/>
    <s v="Y"/>
  </r>
  <r>
    <n v="1151"/>
    <n v="1509"/>
    <n v="1537"/>
    <s v="David"/>
    <s v="Mark"/>
    <n v="2020"/>
    <n v="10"/>
    <n v="2.1"/>
    <n v="40"/>
    <n v="-61"/>
    <x v="1"/>
    <s v="David"/>
    <s v="TEXAROK"/>
    <s v="Y"/>
  </r>
  <r>
    <n v="1152"/>
    <n v="35"/>
    <n v="375"/>
    <s v="Mark"/>
    <s v="David"/>
    <n v="2020"/>
    <n v="10"/>
    <n v="2.2000000000000002"/>
    <n v="101"/>
    <n v="61"/>
    <x v="0"/>
    <s v="Mark"/>
    <s v="AKCOVA"/>
    <s v="Y"/>
  </r>
  <r>
    <n v="1153"/>
    <n v="451"/>
    <n v="107"/>
    <s v="Michael"/>
    <s v="BR"/>
    <n v="2020"/>
    <n v="10"/>
    <n v="3.1"/>
    <n v="120"/>
    <n v="16"/>
    <x v="0"/>
    <s v="Michael"/>
    <s v="AKCOVA"/>
    <s v="N"/>
  </r>
  <r>
    <n v="1154"/>
    <n v="1079"/>
    <n v="311"/>
    <s v="BR"/>
    <s v="Michael"/>
    <n v="2020"/>
    <n v="10"/>
    <n v="3.2"/>
    <n v="104"/>
    <n v="-16"/>
    <x v="1"/>
    <s v="BR"/>
    <s v="AKCOVA"/>
    <s v="N"/>
  </r>
  <r>
    <n v="1155"/>
    <n v="766"/>
    <n v="544"/>
    <s v="Matt"/>
    <s v="Charles"/>
    <n v="2020"/>
    <n v="10"/>
    <n v="4.0999999999999996"/>
    <n v="94"/>
    <n v="0"/>
    <x v="0"/>
    <s v="Matt"/>
    <s v="TEXAROK"/>
    <s v="Y"/>
  </r>
  <r>
    <n v="1156"/>
    <n v="766"/>
    <n v="544"/>
    <s v="Charles"/>
    <s v="Matt"/>
    <n v="2020"/>
    <n v="10"/>
    <n v="4.2"/>
    <n v="94"/>
    <n v="0"/>
    <x v="1"/>
    <s v="Charles"/>
    <s v="AKCOVA"/>
    <s v="Y"/>
  </r>
  <r>
    <n v="1157"/>
    <n v="1341"/>
    <n v="1306"/>
    <s v="Emily"/>
    <s v="Brian"/>
    <n v="2020"/>
    <n v="10"/>
    <n v="5.0999999999999996"/>
    <n v="67"/>
    <n v="-32"/>
    <x v="1"/>
    <s v="Emily"/>
    <s v="TEXAROK"/>
    <s v="N"/>
  </r>
  <r>
    <n v="1158"/>
    <n v="194"/>
    <n v="414"/>
    <s v="Brian"/>
    <s v="Emily"/>
    <n v="2020"/>
    <n v="10"/>
    <n v="5.2"/>
    <n v="99"/>
    <n v="32"/>
    <x v="0"/>
    <s v="Brian"/>
    <s v="TEXAROK"/>
    <s v="N"/>
  </r>
  <r>
    <n v="1159"/>
    <n v="580"/>
    <n v="1135"/>
    <s v="Brent"/>
    <s v="Watty"/>
    <n v="2020"/>
    <n v="10"/>
    <n v="6.1"/>
    <n v="74"/>
    <n v="9"/>
    <x v="0"/>
    <s v="Brent"/>
    <s v="TEXAROK"/>
    <s v="Y"/>
  </r>
  <r>
    <n v="1160"/>
    <n v="950"/>
    <n v="1333"/>
    <s v="Watty"/>
    <s v="Brent"/>
    <n v="2020"/>
    <n v="10"/>
    <n v="6.2"/>
    <n v="65"/>
    <n v="-9"/>
    <x v="1"/>
    <s v="Watty"/>
    <s v="AKCOVA"/>
    <s v="Y"/>
  </r>
  <r>
    <n v="1161"/>
    <n v="741"/>
    <n v="1421"/>
    <s v="Abby"/>
    <s v="David"/>
    <n v="2020"/>
    <n v="11"/>
    <n v="1.1000000000000001"/>
    <n v="59"/>
    <n v="1"/>
    <x v="0"/>
    <s v="Abby"/>
    <s v="AKCOVA"/>
    <s v="Y"/>
  </r>
  <r>
    <n v="1162"/>
    <n v="780"/>
    <n v="1441"/>
    <s v="David"/>
    <s v="Abby"/>
    <n v="2020"/>
    <n v="11"/>
    <n v="1.2"/>
    <n v="58"/>
    <n v="-1"/>
    <x v="1"/>
    <s v="David"/>
    <s v="TEXAROK"/>
    <s v="Y"/>
  </r>
  <r>
    <n v="1163"/>
    <n v="1286"/>
    <n v="599"/>
    <s v="Mark"/>
    <s v="Michael"/>
    <n v="2020"/>
    <n v="11"/>
    <n v="2.1"/>
    <n v="92"/>
    <n v="-28"/>
    <x v="1"/>
    <s v="Mark"/>
    <s v="AKCOVA"/>
    <s v="N"/>
  </r>
  <r>
    <n v="1164"/>
    <n v="247"/>
    <n v="107"/>
    <s v="Michael"/>
    <s v="Mark"/>
    <n v="2020"/>
    <n v="11"/>
    <n v="2.2000000000000002"/>
    <n v="120"/>
    <n v="28"/>
    <x v="0"/>
    <s v="Michael"/>
    <s v="AKCOVA"/>
    <s v="N"/>
  </r>
  <r>
    <n v="1165"/>
    <n v="1492"/>
    <n v="1516"/>
    <s v="BR"/>
    <s v="Matt"/>
    <n v="2020"/>
    <n v="11"/>
    <n v="3.1"/>
    <n v="48"/>
    <n v="-57"/>
    <x v="1"/>
    <s v="BR"/>
    <s v="AKCOVA"/>
    <s v="Y"/>
  </r>
  <r>
    <n v="1166"/>
    <n v="51"/>
    <n v="288"/>
    <s v="Matt"/>
    <s v="BR"/>
    <n v="2020"/>
    <n v="11"/>
    <n v="3.2"/>
    <n v="105"/>
    <n v="57"/>
    <x v="0"/>
    <s v="Matt"/>
    <s v="TEXAROK"/>
    <s v="Y"/>
  </r>
  <r>
    <n v="1167"/>
    <n v="205"/>
    <n v="120"/>
    <s v="Charles"/>
    <s v="Emily"/>
    <n v="2020"/>
    <n v="11"/>
    <n v="4.0999999999999996"/>
    <n v="119"/>
    <n v="31"/>
    <x v="0"/>
    <s v="Charles"/>
    <s v="AKCOVA"/>
    <s v="Y"/>
  </r>
  <r>
    <n v="1168"/>
    <n v="1326"/>
    <n v="710"/>
    <s v="Emily"/>
    <s v="Charles"/>
    <n v="2020"/>
    <n v="11"/>
    <n v="4.2"/>
    <n v="88"/>
    <n v="-31"/>
    <x v="1"/>
    <s v="Emily"/>
    <s v="TEXAROK"/>
    <s v="Y"/>
  </r>
  <r>
    <n v="1169"/>
    <n v="324"/>
    <n v="796"/>
    <s v="Brian"/>
    <s v="Brent"/>
    <n v="2020"/>
    <n v="11"/>
    <n v="5.0999999999999996"/>
    <n v="85"/>
    <n v="23"/>
    <x v="0"/>
    <s v="Brian"/>
    <s v="TEXAROK"/>
    <s v="N"/>
  </r>
  <r>
    <n v="1170"/>
    <n v="1208"/>
    <n v="1383"/>
    <s v="Brent"/>
    <s v="Brian"/>
    <n v="2020"/>
    <n v="11"/>
    <n v="5.2"/>
    <n v="62"/>
    <n v="-23"/>
    <x v="1"/>
    <s v="Brent"/>
    <s v="TEXAROK"/>
    <s v="N"/>
  </r>
  <r>
    <n v="1171"/>
    <n v="467"/>
    <n v="271"/>
    <s v="Watty"/>
    <s v="Russell"/>
    <n v="2020"/>
    <n v="11"/>
    <n v="6.1"/>
    <n v="106"/>
    <n v="15"/>
    <x v="0"/>
    <s v="Watty"/>
    <s v="AKCOVA"/>
    <s v="Y"/>
  </r>
  <r>
    <n v="1172"/>
    <n v="1063"/>
    <n v="627"/>
    <s v="Russell"/>
    <s v="Watty"/>
    <n v="2020"/>
    <n v="11"/>
    <n v="6.2"/>
    <n v="91"/>
    <n v="-15"/>
    <x v="1"/>
    <s v="Russell"/>
    <s v="TEXAROK"/>
    <s v="Y"/>
  </r>
  <r>
    <n v="1173"/>
    <n v="338"/>
    <n v="544"/>
    <s v="Charles"/>
    <s v="BR"/>
    <n v="2020"/>
    <n v="12"/>
    <n v="1.1000000000000001"/>
    <n v="94"/>
    <n v="22"/>
    <x v="0"/>
    <s v="Charles"/>
    <s v="AKCOVA"/>
    <s v="N"/>
  </r>
  <r>
    <n v="1174"/>
    <n v="1197"/>
    <n v="1198"/>
    <s v="BR"/>
    <s v="Charles"/>
    <n v="2020"/>
    <n v="12"/>
    <n v="1.2"/>
    <n v="72"/>
    <n v="-22"/>
    <x v="1"/>
    <s v="BR"/>
    <s v="AKCOVA"/>
    <s v="N"/>
  </r>
  <r>
    <n v="1175"/>
    <n v="1492"/>
    <n v="710"/>
    <s v="Abby"/>
    <s v="Watty"/>
    <n v="2020"/>
    <n v="12"/>
    <n v="2.1"/>
    <n v="88"/>
    <n v="-57"/>
    <x v="1"/>
    <s v="Abby"/>
    <s v="AKCOVA"/>
    <s v="N"/>
  </r>
  <r>
    <n v="1176"/>
    <n v="51"/>
    <n v="13"/>
    <s v="Watty"/>
    <s v="Abby"/>
    <n v="2020"/>
    <n v="12"/>
    <n v="2.2000000000000002"/>
    <n v="145"/>
    <n v="57"/>
    <x v="0"/>
    <s v="Watty"/>
    <s v="AKCOVA"/>
    <s v="N"/>
  </r>
  <r>
    <n v="1177"/>
    <n v="349"/>
    <n v="257"/>
    <s v="Mark"/>
    <s v="Michael"/>
    <n v="2020"/>
    <n v="12"/>
    <n v="3.1"/>
    <n v="107"/>
    <n v="21"/>
    <x v="0"/>
    <s v="Mark"/>
    <s v="AKCOVA"/>
    <s v="N"/>
  </r>
  <r>
    <n v="1178"/>
    <n v="1173"/>
    <n v="768"/>
    <s v="Michael"/>
    <s v="Mark"/>
    <n v="2020"/>
    <n v="12"/>
    <n v="3.2"/>
    <n v="86"/>
    <n v="-21"/>
    <x v="1"/>
    <s v="Michael"/>
    <s v="AKCOVA"/>
    <s v="N"/>
  </r>
  <r>
    <n v="1179"/>
    <n v="1148"/>
    <n v="924"/>
    <s v="Brent"/>
    <s v="Matt"/>
    <n v="2020"/>
    <n v="12"/>
    <n v="4.0999999999999996"/>
    <n v="81"/>
    <n v="-20"/>
    <x v="1"/>
    <s v="Brent"/>
    <s v="TEXAROK"/>
    <s v="N"/>
  </r>
  <r>
    <n v="1180"/>
    <n v="373"/>
    <n v="375"/>
    <s v="Matt"/>
    <s v="Brent"/>
    <n v="2020"/>
    <n v="12"/>
    <n v="4.2"/>
    <n v="101"/>
    <n v="20"/>
    <x v="0"/>
    <s v="Matt"/>
    <s v="TEXAROK"/>
    <s v="N"/>
  </r>
  <r>
    <n v="1181"/>
    <n v="503"/>
    <n v="1224"/>
    <s v="Brian"/>
    <s v="David"/>
    <n v="2020"/>
    <n v="12"/>
    <n v="5.0999999999999996"/>
    <n v="71"/>
    <n v="13"/>
    <x v="0"/>
    <s v="Brian"/>
    <s v="TEXAROK"/>
    <s v="N"/>
  </r>
  <r>
    <n v="1182"/>
    <n v="1021"/>
    <n v="1441"/>
    <s v="David"/>
    <s v="Brian"/>
    <n v="2020"/>
    <n v="12"/>
    <n v="5.2"/>
    <n v="58"/>
    <n v="-13"/>
    <x v="1"/>
    <s v="David"/>
    <s v="TEXAROK"/>
    <s v="N"/>
  </r>
  <r>
    <n v="1183"/>
    <n v="1255"/>
    <n v="1135"/>
    <s v="Emily"/>
    <s v="Russell"/>
    <n v="2020"/>
    <n v="12"/>
    <n v="6.1"/>
    <n v="74"/>
    <n v="-26"/>
    <x v="1"/>
    <s v="Emily"/>
    <s v="TEXAROK"/>
    <s v="N"/>
  </r>
  <r>
    <n v="1184"/>
    <n v="278"/>
    <n v="391"/>
    <s v="Russell"/>
    <s v="Emily"/>
    <n v="2020"/>
    <n v="12"/>
    <n v="6.2"/>
    <n v="100"/>
    <n v="26"/>
    <x v="0"/>
    <s v="Russell"/>
    <s v="TEXAROK"/>
    <s v="N"/>
  </r>
  <r>
    <n v="1185"/>
    <n v="483"/>
    <n v="768"/>
    <s v="Watty"/>
    <s v="BR"/>
    <n v="2020"/>
    <n v="13"/>
    <n v="1.1000000000000001"/>
    <n v="86"/>
    <n v="14"/>
    <x v="0"/>
    <s v="Watty"/>
    <s v="AKCOVA"/>
    <s v="N"/>
  </r>
  <r>
    <n v="1186"/>
    <n v="1043"/>
    <n v="1198"/>
    <s v="BR"/>
    <s v="Watty"/>
    <n v="2020"/>
    <n v="13"/>
    <n v="1.2"/>
    <n v="72"/>
    <n v="-14"/>
    <x v="1"/>
    <s v="BR"/>
    <s v="AKCOVA"/>
    <s v="N"/>
  </r>
  <r>
    <n v="1187"/>
    <n v="1405"/>
    <n v="852"/>
    <s v="Mark"/>
    <s v="Abby"/>
    <n v="2020"/>
    <n v="13"/>
    <n v="2.1"/>
    <n v="83"/>
    <n v="-39"/>
    <x v="1"/>
    <s v="Mark"/>
    <s v="AKCOVA"/>
    <s v="N"/>
  </r>
  <r>
    <n v="1188"/>
    <n v="134"/>
    <n v="89"/>
    <s v="Abby"/>
    <s v="Mark"/>
    <n v="2020"/>
    <n v="13"/>
    <n v="2.2000000000000002"/>
    <n v="122"/>
    <n v="39"/>
    <x v="0"/>
    <s v="Abby"/>
    <s v="AKCOVA"/>
    <s v="N"/>
  </r>
  <r>
    <n v="1189"/>
    <n v="1043"/>
    <n v="518"/>
    <s v="Charles"/>
    <s v="Michael"/>
    <n v="2020"/>
    <n v="13"/>
    <n v="3.1"/>
    <n v="95"/>
    <n v="-14"/>
    <x v="1"/>
    <s v="Charles"/>
    <s v="AKCOVA"/>
    <s v="N"/>
  </r>
  <r>
    <n v="1190"/>
    <n v="483"/>
    <n v="222"/>
    <s v="Michael"/>
    <s v="Charles"/>
    <n v="2020"/>
    <n v="13"/>
    <n v="3.2"/>
    <n v="109"/>
    <n v="14"/>
    <x v="0"/>
    <s v="Michael"/>
    <s v="AKCOVA"/>
    <s v="N"/>
  </r>
  <r>
    <n v="1191"/>
    <n v="723"/>
    <n v="1421"/>
    <s v="Brian"/>
    <s v="Brent"/>
    <n v="2020"/>
    <n v="13"/>
    <n v="4.0999999999999996"/>
    <n v="59"/>
    <n v="2"/>
    <x v="0"/>
    <s v="Brian"/>
    <s v="TEXAROK"/>
    <s v="N"/>
  </r>
  <r>
    <n v="1192"/>
    <n v="805"/>
    <n v="1452"/>
    <s v="Brent"/>
    <s v="Brian"/>
    <n v="2020"/>
    <n v="13"/>
    <n v="4.2"/>
    <n v="57"/>
    <n v="-2"/>
    <x v="1"/>
    <s v="Brent"/>
    <s v="TEXAROK"/>
    <s v="N"/>
  </r>
  <r>
    <n v="1193"/>
    <n v="324"/>
    <n v="78"/>
    <s v="Russell"/>
    <s v="David"/>
    <n v="2020"/>
    <n v="13"/>
    <n v="5.0999999999999996"/>
    <n v="124"/>
    <n v="23"/>
    <x v="0"/>
    <s v="Russell"/>
    <s v="TEXAROK"/>
    <s v="N"/>
  </r>
  <r>
    <n v="1194"/>
    <n v="1208"/>
    <n v="375"/>
    <s v="David"/>
    <s v="Russell"/>
    <n v="2020"/>
    <n v="13"/>
    <n v="5.2"/>
    <n v="101"/>
    <n v="-23"/>
    <x v="1"/>
    <s v="David"/>
    <s v="TEXAROK"/>
    <s v="N"/>
  </r>
  <r>
    <n v="1195"/>
    <n v="596"/>
    <n v="1288"/>
    <s v="Emily"/>
    <s v="Matt"/>
    <n v="2020"/>
    <n v="13"/>
    <n v="6.1"/>
    <n v="68"/>
    <n v="8"/>
    <x v="0"/>
    <s v="Emily"/>
    <s v="TEXAROK"/>
    <s v="N"/>
  </r>
  <r>
    <n v="1196"/>
    <n v="924"/>
    <n v="1406"/>
    <s v="Matt"/>
    <s v="Emily"/>
    <n v="2020"/>
    <n v="13"/>
    <n v="6.2"/>
    <n v="60"/>
    <n v="-8"/>
    <x v="1"/>
    <s v="Matt"/>
    <s v="TEXAROK"/>
    <s v="N"/>
  </r>
  <r>
    <n v="1197"/>
    <n v="1352"/>
    <n v="1198"/>
    <s v="Watty"/>
    <s v="Russell"/>
    <n v="2021"/>
    <n v="1"/>
    <n v="1.1000000000000001"/>
    <n v="72"/>
    <n v="-33"/>
    <x v="1"/>
    <s v="Watty"/>
    <s v="AKCOVA"/>
    <s v="Y"/>
  </r>
  <r>
    <n v="1198"/>
    <n v="184"/>
    <n v="288"/>
    <s v="Russell"/>
    <s v="Watty"/>
    <n v="2021"/>
    <n v="1"/>
    <n v="1.2"/>
    <n v="105"/>
    <n v="33"/>
    <x v="0"/>
    <s v="Russell"/>
    <s v="TEXAROK"/>
    <s v="Y"/>
  </r>
  <r>
    <n v="1199"/>
    <n v="924"/>
    <n v="461"/>
    <s v="Michael"/>
    <s v="Matt"/>
    <n v="2021"/>
    <n v="1"/>
    <n v="2.1"/>
    <n v="97"/>
    <n v="-8"/>
    <x v="1"/>
    <s v="Michael"/>
    <s v="AKCOVA"/>
    <s v="Y"/>
  </r>
  <r>
    <n v="1200"/>
    <n v="596"/>
    <n v="288"/>
    <s v="Matt"/>
    <s v="Michael"/>
    <n v="2021"/>
    <n v="1"/>
    <n v="2.2000000000000002"/>
    <n v="105"/>
    <n v="8"/>
    <x v="0"/>
    <s v="Matt"/>
    <s v="TEXAROK"/>
    <s v="Y"/>
  </r>
  <r>
    <n v="1201"/>
    <n v="194"/>
    <n v="461"/>
    <s v="BR"/>
    <s v="Emily"/>
    <n v="2021"/>
    <n v="1"/>
    <n v="3.1"/>
    <n v="97"/>
    <n v="32"/>
    <x v="0"/>
    <s v="BR"/>
    <s v="AKCOVA"/>
    <s v="Y"/>
  </r>
  <r>
    <n v="1202"/>
    <n v="1341"/>
    <n v="1333"/>
    <s v="Emily"/>
    <s v="BR"/>
    <n v="2021"/>
    <n v="1"/>
    <n v="3.2"/>
    <n v="65"/>
    <n v="-32"/>
    <x v="1"/>
    <s v="Emily"/>
    <s v="TEXAROK"/>
    <s v="Y"/>
  </r>
  <r>
    <n v="1203"/>
    <n v="1464"/>
    <n v="710"/>
    <s v="Mark"/>
    <s v="Arnold"/>
    <n v="2021"/>
    <n v="1"/>
    <n v="4.0999999999999996"/>
    <n v="88"/>
    <n v="-50"/>
    <x v="1"/>
    <s v="Mark"/>
    <s v="AKCOVA"/>
    <s v="N"/>
  </r>
  <r>
    <n v="1204"/>
    <n v="76"/>
    <n v="24"/>
    <s v="Arnold"/>
    <s v="Mark"/>
    <n v="2021"/>
    <n v="1"/>
    <n v="4.2"/>
    <n v="138"/>
    <n v="50"/>
    <x v="0"/>
    <s v="Arnold"/>
    <s v="AKCOVA"/>
    <s v="N"/>
  </r>
  <r>
    <n v="1205"/>
    <n v="563"/>
    <n v="544"/>
    <s v="Brent"/>
    <s v="Brian"/>
    <n v="2021"/>
    <n v="1"/>
    <n v="5.0999999999999996"/>
    <n v="94"/>
    <n v="10"/>
    <x v="0"/>
    <s v="Brent"/>
    <s v="TEXAROK"/>
    <s v="N"/>
  </r>
  <r>
    <n v="1206"/>
    <n v="966"/>
    <n v="819"/>
    <s v="Brian"/>
    <s v="Brent"/>
    <n v="2021"/>
    <n v="1"/>
    <n v="5.2"/>
    <n v="84"/>
    <n v="-10"/>
    <x v="1"/>
    <s v="Brian"/>
    <s v="TEXAROK"/>
    <s v="N"/>
  </r>
  <r>
    <n v="1207"/>
    <n v="950"/>
    <n v="883"/>
    <s v="David"/>
    <s v="Charles"/>
    <n v="2021"/>
    <n v="1"/>
    <n v="6.1"/>
    <n v="82"/>
    <n v="-9"/>
    <x v="1"/>
    <s v="David"/>
    <s v="TEXAROK"/>
    <s v="Y"/>
  </r>
  <r>
    <n v="1208"/>
    <n v="580"/>
    <n v="627"/>
    <s v="Charles"/>
    <s v="David"/>
    <n v="2021"/>
    <n v="1"/>
    <n v="6.2"/>
    <n v="91"/>
    <n v="9"/>
    <x v="0"/>
    <s v="Charles"/>
    <s v="AKCOVA"/>
    <s v="Y"/>
  </r>
  <r>
    <n v="1209"/>
    <n v="1506"/>
    <n v="852"/>
    <s v="Brian"/>
    <s v="Russell"/>
    <n v="2021"/>
    <n v="2"/>
    <n v="1.1000000000000001"/>
    <n v="83"/>
    <n v="-60"/>
    <x v="1"/>
    <s v="Brian"/>
    <s v="TEXAROK"/>
    <s v="N"/>
  </r>
  <r>
    <n v="1210"/>
    <n v="37"/>
    <n v="16"/>
    <s v="Russell"/>
    <s v="Brian"/>
    <n v="2021"/>
    <n v="2"/>
    <n v="1.2"/>
    <n v="143"/>
    <n v="60"/>
    <x v="0"/>
    <s v="Russell"/>
    <s v="TEXAROK"/>
    <s v="N"/>
  </r>
  <r>
    <n v="1211"/>
    <n v="983"/>
    <n v="461"/>
    <s v="Emily"/>
    <s v="Matt"/>
    <n v="2021"/>
    <n v="2"/>
    <n v="2.1"/>
    <n v="97"/>
    <n v="-11"/>
    <x v="1"/>
    <s v="Emily"/>
    <s v="TEXAROK"/>
    <s v="N"/>
  </r>
  <r>
    <n v="1212"/>
    <n v="544"/>
    <n v="239"/>
    <s v="Matt"/>
    <s v="Emily"/>
    <n v="2021"/>
    <n v="2"/>
    <n v="2.2000000000000002"/>
    <n v="108"/>
    <n v="11"/>
    <x v="0"/>
    <s v="Matt"/>
    <s v="TEXAROK"/>
    <s v="N"/>
  </r>
  <r>
    <n v="1213"/>
    <n v="1002"/>
    <n v="1243"/>
    <s v="David"/>
    <s v="Brent"/>
    <n v="2021"/>
    <n v="2"/>
    <n v="3.1"/>
    <n v="70"/>
    <n v="-12"/>
    <x v="1"/>
    <s v="David"/>
    <s v="TEXAROK"/>
    <s v="N"/>
  </r>
  <r>
    <n v="1214"/>
    <n v="525"/>
    <n v="883"/>
    <s v="Brent"/>
    <s v="David"/>
    <n v="2021"/>
    <n v="2"/>
    <n v="3.2"/>
    <n v="82"/>
    <n v="12"/>
    <x v="0"/>
    <s v="Brent"/>
    <s v="TEXAROK"/>
    <s v="N"/>
  </r>
  <r>
    <n v="1215"/>
    <n v="805"/>
    <n v="1306"/>
    <s v="Michael"/>
    <s v="BR"/>
    <n v="2021"/>
    <n v="2"/>
    <n v="4.0999999999999996"/>
    <n v="67"/>
    <n v="-2"/>
    <x v="1"/>
    <s v="Michael"/>
    <s v="AKCOVA"/>
    <s v="N"/>
  </r>
  <r>
    <n v="1216"/>
    <n v="723"/>
    <n v="1265"/>
    <s v="BR"/>
    <s v="Michael"/>
    <n v="2021"/>
    <n v="2"/>
    <n v="4.2"/>
    <n v="69"/>
    <n v="2"/>
    <x v="0"/>
    <s v="BR"/>
    <s v="AKCOVA"/>
    <s v="N"/>
  </r>
  <r>
    <n v="1217"/>
    <n v="205"/>
    <n v="67"/>
    <s v="Watty"/>
    <s v="Charles"/>
    <n v="2021"/>
    <n v="2"/>
    <n v="5.0999999999999996"/>
    <n v="126"/>
    <n v="31"/>
    <x v="0"/>
    <s v="Watty"/>
    <s v="AKCOVA"/>
    <s v="N"/>
  </r>
  <r>
    <n v="1218"/>
    <n v="1326"/>
    <n v="518"/>
    <s v="Charles"/>
    <s v="Watty"/>
    <n v="2021"/>
    <n v="2"/>
    <n v="5.2"/>
    <n v="95"/>
    <n v="-31"/>
    <x v="1"/>
    <s v="Charles"/>
    <s v="AKCOVA"/>
    <s v="N"/>
  </r>
  <r>
    <n v="1219"/>
    <n v="1079"/>
    <n v="544"/>
    <s v="Mark"/>
    <s v="Arnold"/>
    <n v="2021"/>
    <n v="2"/>
    <n v="6.1"/>
    <n v="94"/>
    <n v="-16"/>
    <x v="1"/>
    <s v="Mark"/>
    <s v="AKCOVA"/>
    <s v="N"/>
  </r>
  <r>
    <n v="1220"/>
    <n v="451"/>
    <n v="207"/>
    <s v="Arnold"/>
    <s v="Mark"/>
    <n v="2021"/>
    <n v="2"/>
    <n v="6.2"/>
    <n v="110"/>
    <n v="16"/>
    <x v="0"/>
    <s v="Arnold"/>
    <s v="AKCOVA"/>
    <s v="N"/>
  </r>
  <r>
    <n v="1221"/>
    <n v="924"/>
    <n v="518"/>
    <s v="Emily"/>
    <s v="Brian"/>
    <n v="2021"/>
    <n v="3"/>
    <n v="1.1000000000000001"/>
    <n v="95"/>
    <n v="-8"/>
    <x v="1"/>
    <s v="Emily"/>
    <s v="TEXAROK"/>
    <s v="N"/>
  </r>
  <r>
    <n v="1222"/>
    <n v="596"/>
    <n v="339"/>
    <s v="Brian"/>
    <s v="Emily"/>
    <n v="2021"/>
    <n v="3"/>
    <n v="1.2"/>
    <n v="103"/>
    <n v="8"/>
    <x v="0"/>
    <s v="Brian"/>
    <s v="TEXAROK"/>
    <s v="N"/>
  </r>
  <r>
    <n v="1223"/>
    <n v="703"/>
    <n v="768"/>
    <s v="Russell"/>
    <s v="David"/>
    <n v="2021"/>
    <n v="3"/>
    <n v="2.1"/>
    <n v="86"/>
    <n v="3"/>
    <x v="0"/>
    <s v="Russell"/>
    <s v="TEXAROK"/>
    <s v="N"/>
  </r>
  <r>
    <n v="1224"/>
    <n v="823"/>
    <n v="852"/>
    <s v="David"/>
    <s v="Russell"/>
    <n v="2021"/>
    <n v="3"/>
    <n v="2.2000000000000002"/>
    <n v="83"/>
    <n v="-3"/>
    <x v="1"/>
    <s v="David"/>
    <s v="TEXAROK"/>
    <s v="N"/>
  </r>
  <r>
    <n v="1225"/>
    <n v="1148"/>
    <n v="1288"/>
    <s v="Matt"/>
    <s v="Brent"/>
    <n v="2021"/>
    <n v="3"/>
    <n v="3.1"/>
    <n v="68"/>
    <n v="-20"/>
    <x v="1"/>
    <s v="Matt"/>
    <s v="TEXAROK"/>
    <s v="N"/>
  </r>
  <r>
    <n v="1226"/>
    <n v="373"/>
    <n v="710"/>
    <s v="Brent"/>
    <s v="Matt"/>
    <n v="2021"/>
    <n v="3"/>
    <n v="3.2"/>
    <n v="88"/>
    <n v="20"/>
    <x v="0"/>
    <s v="Brent"/>
    <s v="TEXAROK"/>
    <s v="N"/>
  </r>
  <r>
    <n v="1227"/>
    <n v="1427"/>
    <n v="1224"/>
    <s v="Watty"/>
    <s v="Michael"/>
    <n v="2021"/>
    <n v="3"/>
    <n v="4.0999999999999996"/>
    <n v="71"/>
    <n v="-42"/>
    <x v="1"/>
    <s v="Watty"/>
    <s v="AKCOVA"/>
    <s v="N"/>
  </r>
  <r>
    <n v="1228"/>
    <n v="112"/>
    <n v="163"/>
    <s v="Michael"/>
    <s v="Watty"/>
    <n v="2021"/>
    <n v="3"/>
    <n v="4.2"/>
    <n v="113"/>
    <n v="42"/>
    <x v="0"/>
    <s v="Michael"/>
    <s v="AKCOVA"/>
    <s v="N"/>
  </r>
  <r>
    <n v="1229"/>
    <n v="63"/>
    <n v="38"/>
    <s v="BR"/>
    <s v="Mark"/>
    <n v="2021"/>
    <n v="3"/>
    <n v="5.0999999999999996"/>
    <n v="133"/>
    <n v="53"/>
    <x v="0"/>
    <s v="BR"/>
    <s v="AKCOVA"/>
    <s v="N"/>
  </r>
  <r>
    <n v="1230"/>
    <n v="1478"/>
    <n v="956"/>
    <s v="Mark"/>
    <s v="BR"/>
    <n v="2021"/>
    <n v="3"/>
    <n v="5.2"/>
    <n v="80"/>
    <n v="-53"/>
    <x v="1"/>
    <s v="Mark"/>
    <s v="AKCOVA"/>
    <s v="N"/>
  </r>
  <r>
    <n v="1231"/>
    <n v="85"/>
    <n v="78"/>
    <s v="Charles"/>
    <s v="Arnold"/>
    <n v="2021"/>
    <n v="3"/>
    <n v="6.1"/>
    <n v="124"/>
    <n v="46"/>
    <x v="0"/>
    <s v="Charles"/>
    <s v="AKCOVA"/>
    <s v="N"/>
  </r>
  <r>
    <n v="1232"/>
    <n v="1455"/>
    <n v="1012"/>
    <s v="Arnold"/>
    <s v="Charles"/>
    <n v="2021"/>
    <n v="3"/>
    <n v="6.2"/>
    <n v="78"/>
    <n v="-46"/>
    <x v="1"/>
    <s v="Arnold"/>
    <s v="AKCOVA"/>
    <s v="N"/>
  </r>
  <r>
    <n v="1233"/>
    <n v="1485"/>
    <n v="1452"/>
    <s v="Brian"/>
    <s v="David"/>
    <n v="2021"/>
    <n v="4"/>
    <n v="1.1000000000000001"/>
    <n v="57"/>
    <n v="-55"/>
    <x v="1"/>
    <s v="Brian"/>
    <s v="TEXAROK"/>
    <s v="N"/>
  </r>
  <r>
    <n v="1234"/>
    <n v="55"/>
    <n v="180"/>
    <s v="David"/>
    <s v="Brian"/>
    <n v="2021"/>
    <n v="4"/>
    <n v="1.2"/>
    <n v="112"/>
    <n v="55"/>
    <x v="0"/>
    <s v="David"/>
    <s v="TEXAROK"/>
    <s v="N"/>
  </r>
  <r>
    <n v="1235"/>
    <n v="1021"/>
    <n v="1012"/>
    <s v="Brent"/>
    <s v="Emily"/>
    <n v="2021"/>
    <n v="4"/>
    <n v="2.1"/>
    <n v="78"/>
    <n v="-13"/>
    <x v="1"/>
    <s v="Brent"/>
    <s v="TEXAROK"/>
    <s v="N"/>
  </r>
  <r>
    <n v="1236"/>
    <n v="503"/>
    <n v="627"/>
    <s v="Emily"/>
    <s v="Brent"/>
    <n v="2021"/>
    <n v="4"/>
    <n v="2.2000000000000002"/>
    <n v="91"/>
    <n v="13"/>
    <x v="0"/>
    <s v="Emily"/>
    <s v="TEXAROK"/>
    <s v="N"/>
  </r>
  <r>
    <n v="1237"/>
    <n v="310"/>
    <n v="288"/>
    <s v="Matt"/>
    <s v="Russell"/>
    <n v="2021"/>
    <n v="4"/>
    <n v="3.1"/>
    <n v="105"/>
    <n v="24"/>
    <x v="0"/>
    <s v="Matt"/>
    <s v="TEXAROK"/>
    <s v="N"/>
  </r>
  <r>
    <n v="1238"/>
    <n v="1222"/>
    <n v="924"/>
    <s v="Russell"/>
    <s v="Matt"/>
    <n v="2021"/>
    <n v="4"/>
    <n v="3.2"/>
    <n v="81"/>
    <n v="-24"/>
    <x v="1"/>
    <s v="Russell"/>
    <s v="TEXAROK"/>
    <s v="N"/>
  </r>
  <r>
    <n v="1239"/>
    <n v="91"/>
    <n v="53"/>
    <s v="Michael"/>
    <s v="Mark"/>
    <n v="2021"/>
    <n v="4"/>
    <n v="4.0999999999999996"/>
    <n v="129"/>
    <n v="45"/>
    <x v="0"/>
    <s v="Michael"/>
    <s v="AKCOVA"/>
    <s v="N"/>
  </r>
  <r>
    <n v="1240"/>
    <n v="1451"/>
    <n v="819"/>
    <s v="Mark"/>
    <s v="Michael"/>
    <n v="2021"/>
    <n v="4"/>
    <n v="4.2"/>
    <n v="84"/>
    <n v="-45"/>
    <x v="1"/>
    <s v="Mark"/>
    <s v="AKCOVA"/>
    <s v="N"/>
  </r>
  <r>
    <n v="1241"/>
    <n v="1485"/>
    <n v="1498"/>
    <s v="Arnold"/>
    <s v="Watty"/>
    <n v="2021"/>
    <n v="4"/>
    <n v="5.0999999999999996"/>
    <n v="51"/>
    <n v="-55"/>
    <x v="1"/>
    <s v="Arnold"/>
    <s v="AKCOVA"/>
    <s v="N"/>
  </r>
  <r>
    <n v="1242"/>
    <n v="55"/>
    <n v="271"/>
    <s v="Watty"/>
    <s v="Arnold"/>
    <n v="2021"/>
    <n v="4"/>
    <n v="5.2"/>
    <n v="106"/>
    <n v="55"/>
    <x v="0"/>
    <s v="Watty"/>
    <s v="AKCOVA"/>
    <s v="N"/>
  </r>
  <r>
    <n v="1243"/>
    <n v="173"/>
    <n v="44"/>
    <s v="Charles"/>
    <s v="BR"/>
    <n v="2021"/>
    <n v="4"/>
    <n v="6.1"/>
    <n v="131"/>
    <n v="35"/>
    <x v="0"/>
    <s v="Charles"/>
    <s v="AKCOVA"/>
    <s v="N"/>
  </r>
  <r>
    <n v="1244"/>
    <n v="1368"/>
    <n v="493"/>
    <s v="BR"/>
    <s v="Charles"/>
    <n v="2021"/>
    <n v="4"/>
    <n v="6.2"/>
    <n v="96"/>
    <n v="-35"/>
    <x v="1"/>
    <s v="BR"/>
    <s v="AKCOVA"/>
    <s v="N"/>
  </r>
  <r>
    <n v="1245"/>
    <n v="1434"/>
    <n v="1198"/>
    <s v="Brent"/>
    <s v="Brian"/>
    <n v="2021"/>
    <n v="5"/>
    <n v="1.1000000000000001"/>
    <n v="72"/>
    <n v="-43"/>
    <x v="1"/>
    <s v="Brent"/>
    <s v="TEXAROK"/>
    <s v="N"/>
  </r>
  <r>
    <n v="1246"/>
    <n v="103"/>
    <n v="146"/>
    <s v="Brian"/>
    <s v="Brent"/>
    <n v="2021"/>
    <n v="5"/>
    <n v="1.2"/>
    <n v="115"/>
    <n v="43"/>
    <x v="0"/>
    <s v="Brian"/>
    <s v="TEXAROK"/>
    <s v="N"/>
  </r>
  <r>
    <n v="1247"/>
    <n v="7"/>
    <n v="42"/>
    <s v="David"/>
    <s v="Matt"/>
    <n v="2021"/>
    <n v="5"/>
    <n v="2.1"/>
    <n v="132"/>
    <n v="82"/>
    <x v="0"/>
    <s v="David"/>
    <s v="TEXAROK"/>
    <s v="N"/>
  </r>
  <r>
    <n v="1248"/>
    <n v="1538"/>
    <n v="1505"/>
    <s v="Matt"/>
    <s v="David"/>
    <n v="2021"/>
    <n v="5"/>
    <n v="2.2000000000000002"/>
    <n v="50"/>
    <n v="-82"/>
    <x v="1"/>
    <s v="Matt"/>
    <s v="TEXAROK"/>
    <s v="N"/>
  </r>
  <r>
    <n v="1249"/>
    <n v="398"/>
    <n v="339"/>
    <s v="Emily"/>
    <s v="Russell"/>
    <n v="2021"/>
    <n v="5"/>
    <n v="3.1"/>
    <n v="103"/>
    <n v="19"/>
    <x v="0"/>
    <s v="Emily"/>
    <s v="TEXAROK"/>
    <s v="N"/>
  </r>
  <r>
    <n v="1250"/>
    <n v="1133"/>
    <n v="819"/>
    <s v="Russell"/>
    <s v="Emily"/>
    <n v="2021"/>
    <n v="5"/>
    <n v="3.2"/>
    <n v="84"/>
    <n v="-19"/>
    <x v="1"/>
    <s v="Russell"/>
    <s v="TEXAROK"/>
    <s v="N"/>
  </r>
  <r>
    <n v="1251"/>
    <n v="1113"/>
    <n v="852"/>
    <s v="Arnold"/>
    <s v="Michael"/>
    <n v="2021"/>
    <n v="5"/>
    <n v="4.0999999999999996"/>
    <n v="83"/>
    <n v="-18"/>
    <x v="1"/>
    <s v="Arnold"/>
    <s v="AKCOVA"/>
    <s v="N"/>
  </r>
  <r>
    <n v="1252"/>
    <n v="413"/>
    <n v="375"/>
    <s v="Michael"/>
    <s v="Arnold"/>
    <n v="2021"/>
    <n v="5"/>
    <n v="4.2"/>
    <n v="101"/>
    <n v="18"/>
    <x v="0"/>
    <s v="Michael"/>
    <s v="AKCOVA"/>
    <s v="N"/>
  </r>
  <r>
    <n v="1253"/>
    <n v="1443"/>
    <n v="599"/>
    <s v="Mark"/>
    <s v="Charles"/>
    <n v="2021"/>
    <n v="5"/>
    <n v="5.0999999999999996"/>
    <n v="92"/>
    <n v="-44"/>
    <x v="1"/>
    <s v="Mark"/>
    <s v="AKCOVA"/>
    <s v="N"/>
  </r>
  <r>
    <n v="1254"/>
    <n v="95"/>
    <n v="29"/>
    <s v="Charles"/>
    <s v="Mark"/>
    <n v="2021"/>
    <n v="5"/>
    <n v="5.2"/>
    <n v="136"/>
    <n v="44"/>
    <x v="0"/>
    <s v="Charles"/>
    <s v="AKCOVA"/>
    <s v="N"/>
  </r>
  <r>
    <n v="1255"/>
    <n v="1519"/>
    <n v="239"/>
    <s v="Watty"/>
    <s v="BR"/>
    <n v="2021"/>
    <n v="5"/>
    <n v="6.1"/>
    <n v="108"/>
    <n v="-66"/>
    <x v="1"/>
    <s v="Watty"/>
    <s v="AKCOVA"/>
    <s v="N"/>
  </r>
  <r>
    <n v="1256"/>
    <n v="24"/>
    <n v="1"/>
    <s v="BR"/>
    <s v="Watty"/>
    <n v="2021"/>
    <n v="5"/>
    <n v="6.2"/>
    <n v="174"/>
    <n v="66"/>
    <x v="0"/>
    <s v="BR"/>
    <s v="AKCOVA"/>
    <s v="N"/>
  </r>
  <r>
    <n v="1257"/>
    <n v="580"/>
    <n v="239"/>
    <s v="Brian"/>
    <s v="Michael"/>
    <n v="2021"/>
    <n v="6"/>
    <n v="1.1000000000000001"/>
    <n v="108"/>
    <n v="9"/>
    <x v="0"/>
    <s v="Brian"/>
    <s v="TEXAROK"/>
    <s v="Y"/>
  </r>
  <r>
    <n v="1258"/>
    <n v="950"/>
    <n v="414"/>
    <s v="Michael"/>
    <s v="Brian"/>
    <n v="2021"/>
    <n v="6"/>
    <n v="1.2"/>
    <n v="99"/>
    <n v="-9"/>
    <x v="1"/>
    <s v="Michael"/>
    <s v="AKCOVA"/>
    <s v="Y"/>
  </r>
  <r>
    <n v="1259"/>
    <n v="643"/>
    <n v="339"/>
    <s v="Matt"/>
    <s v="Charles"/>
    <n v="2021"/>
    <n v="6"/>
    <n v="2.1"/>
    <n v="103"/>
    <n v="6"/>
    <x v="0"/>
    <s v="Matt"/>
    <s v="TEXAROK"/>
    <s v="Y"/>
  </r>
  <r>
    <n v="1260"/>
    <n v="882"/>
    <n v="461"/>
    <s v="Charles"/>
    <s v="Matt"/>
    <n v="2021"/>
    <n v="6"/>
    <n v="2.2000000000000002"/>
    <n v="97"/>
    <n v="-6"/>
    <x v="1"/>
    <s v="Charles"/>
    <s v="AKCOVA"/>
    <s v="Y"/>
  </r>
  <r>
    <n v="1261"/>
    <n v="164"/>
    <n v="222"/>
    <s v="Russell"/>
    <s v="BR"/>
    <n v="2021"/>
    <n v="6"/>
    <n v="3.1"/>
    <n v="109"/>
    <n v="36"/>
    <x v="0"/>
    <s v="Russell"/>
    <s v="TEXAROK"/>
    <s v="Y"/>
  </r>
  <r>
    <n v="1262"/>
    <n v="1373"/>
    <n v="1162"/>
    <s v="BR"/>
    <s v="Russell"/>
    <n v="2021"/>
    <n v="6"/>
    <n v="3.2"/>
    <n v="73"/>
    <n v="-36"/>
    <x v="1"/>
    <s v="BR"/>
    <s v="AKCOVA"/>
    <s v="Y"/>
  </r>
  <r>
    <n v="1263"/>
    <n v="1539"/>
    <n v="1383"/>
    <s v="Emily"/>
    <s v="Watty"/>
    <n v="2021"/>
    <n v="6"/>
    <n v="4.0999999999999996"/>
    <n v="62"/>
    <n v="-84"/>
    <x v="1"/>
    <s v="Emily"/>
    <s v="TEXAROK"/>
    <s v="Y"/>
  </r>
  <r>
    <n v="1264"/>
    <n v="6"/>
    <n v="12"/>
    <s v="Watty"/>
    <s v="Emily"/>
    <n v="2021"/>
    <n v="6"/>
    <n v="4.2"/>
    <n v="146"/>
    <n v="84"/>
    <x v="0"/>
    <s v="Watty"/>
    <s v="AKCOVA"/>
    <s v="Y"/>
  </r>
  <r>
    <n v="1265"/>
    <n v="278"/>
    <n v="311"/>
    <s v="David"/>
    <s v="Mark"/>
    <n v="2021"/>
    <n v="6"/>
    <n v="5.0999999999999996"/>
    <n v="104"/>
    <n v="26"/>
    <x v="0"/>
    <s v="David"/>
    <s v="TEXAROK"/>
    <s v="Y"/>
  </r>
  <r>
    <n v="1266"/>
    <n v="1255"/>
    <n v="1012"/>
    <s v="Mark"/>
    <s v="David"/>
    <n v="2021"/>
    <n v="6"/>
    <n v="5.2"/>
    <n v="78"/>
    <n v="-26"/>
    <x v="1"/>
    <s v="Mark"/>
    <s v="AKCOVA"/>
    <s v="Y"/>
  </r>
  <r>
    <n v="1267"/>
    <n v="983"/>
    <n v="1319"/>
    <s v="Brent"/>
    <s v="Arnold"/>
    <n v="2021"/>
    <n v="6"/>
    <n v="6.1"/>
    <n v="66"/>
    <n v="-11"/>
    <x v="1"/>
    <s v="Brent"/>
    <s v="TEXAROK"/>
    <s v="Y"/>
  </r>
  <r>
    <n v="1268"/>
    <n v="544"/>
    <n v="1044"/>
    <s v="Arnold"/>
    <s v="Brent"/>
    <n v="2021"/>
    <n v="6"/>
    <n v="6.2"/>
    <n v="77"/>
    <n v="11"/>
    <x v="0"/>
    <s v="Arnold"/>
    <s v="AKCOVA"/>
    <s v="Y"/>
  </r>
  <r>
    <n v="1269"/>
    <n v="124"/>
    <n v="493"/>
    <s v="Michael"/>
    <s v="Matt"/>
    <n v="2021"/>
    <n v="7"/>
    <n v="1.1000000000000001"/>
    <n v="96"/>
    <n v="40"/>
    <x v="0"/>
    <s v="Michael"/>
    <s v="AKCOVA"/>
    <s v="Y"/>
  </r>
  <r>
    <n v="1270"/>
    <n v="1412"/>
    <n v="1465"/>
    <s v="Matt"/>
    <s v="Michael"/>
    <n v="2021"/>
    <n v="7"/>
    <n v="1.2"/>
    <n v="56"/>
    <n v="-40"/>
    <x v="1"/>
    <s v="Matt"/>
    <s v="TEXAROK"/>
    <s v="Y"/>
  </r>
  <r>
    <n v="1271"/>
    <n v="703"/>
    <n v="414"/>
    <s v="Charles"/>
    <s v="Russell"/>
    <n v="2021"/>
    <n v="7"/>
    <n v="2.1"/>
    <n v="99"/>
    <n v="3"/>
    <x v="0"/>
    <s v="Charles"/>
    <s v="AKCOVA"/>
    <s v="Y"/>
  </r>
  <r>
    <n v="1272"/>
    <n v="823"/>
    <n v="493"/>
    <s v="Russell"/>
    <s v="Charles"/>
    <n v="2021"/>
    <n v="7"/>
    <n v="2.2000000000000002"/>
    <n v="96"/>
    <n v="-3"/>
    <x v="1"/>
    <s v="Russell"/>
    <s v="TEXAROK"/>
    <s v="Y"/>
  </r>
  <r>
    <n v="1273"/>
    <n v="622"/>
    <n v="741"/>
    <s v="BR"/>
    <s v="Emily"/>
    <n v="2021"/>
    <n v="7"/>
    <n v="3.1"/>
    <n v="87"/>
    <n v="7"/>
    <x v="0"/>
    <s v="BR"/>
    <s v="AKCOVA"/>
    <s v="Y"/>
  </r>
  <r>
    <n v="1274"/>
    <n v="903"/>
    <n v="956"/>
    <s v="Emily"/>
    <s v="BR"/>
    <n v="2021"/>
    <n v="7"/>
    <n v="3.2"/>
    <n v="80"/>
    <n v="-7"/>
    <x v="1"/>
    <s v="Emily"/>
    <s v="TEXAROK"/>
    <s v="Y"/>
  </r>
  <r>
    <n v="1275"/>
    <n v="867"/>
    <n v="741"/>
    <s v="Watty"/>
    <s v="David"/>
    <n v="2021"/>
    <n v="7"/>
    <n v="4.0999999999999996"/>
    <n v="87"/>
    <n v="-5"/>
    <x v="1"/>
    <s v="Watty"/>
    <s v="AKCOVA"/>
    <s v="Y"/>
  </r>
  <r>
    <n v="1276"/>
    <n v="664"/>
    <n v="599"/>
    <s v="David"/>
    <s v="Watty"/>
    <n v="2021"/>
    <n v="7"/>
    <n v="4.2"/>
    <n v="92"/>
    <n v="5"/>
    <x v="0"/>
    <s v="David"/>
    <s v="TEXAROK"/>
    <s v="Y"/>
  </r>
  <r>
    <n v="1277"/>
    <n v="1063"/>
    <n v="651"/>
    <s v="Mark"/>
    <s v="Brent"/>
    <n v="2021"/>
    <n v="7"/>
    <n v="5.0999999999999996"/>
    <n v="90"/>
    <n v="-15"/>
    <x v="1"/>
    <s v="Mark"/>
    <s v="AKCOVA"/>
    <s v="Y"/>
  </r>
  <r>
    <n v="1278"/>
    <n v="467"/>
    <n v="288"/>
    <s v="Brent"/>
    <s v="Mark"/>
    <n v="2021"/>
    <n v="7"/>
    <n v="5.2"/>
    <n v="105"/>
    <n v="15"/>
    <x v="0"/>
    <s v="Brent"/>
    <s v="TEXAROK"/>
    <s v="Y"/>
  </r>
  <r>
    <n v="1279"/>
    <n v="1478"/>
    <n v="1162"/>
    <s v="Arnold"/>
    <s v="Brian"/>
    <n v="2021"/>
    <n v="7"/>
    <n v="6.1"/>
    <n v="73"/>
    <n v="-53"/>
    <x v="1"/>
    <s v="Arnold"/>
    <s v="AKCOVA"/>
    <s v="Y"/>
  </r>
  <r>
    <n v="1280"/>
    <n v="63"/>
    <n v="67"/>
    <s v="Brian"/>
    <s v="Arnold"/>
    <n v="2021"/>
    <n v="7"/>
    <n v="6.2"/>
    <n v="126"/>
    <n v="53"/>
    <x v="0"/>
    <s v="Brian"/>
    <s v="TEXAROK"/>
    <s v="Y"/>
  </r>
  <r>
    <n v="1281"/>
    <n v="1412"/>
    <n v="924"/>
    <s v="Russell"/>
    <s v="Michael"/>
    <n v="2021"/>
    <n v="8"/>
    <n v="1.1000000000000001"/>
    <n v="81"/>
    <n v="-40"/>
    <x v="1"/>
    <s v="Russell"/>
    <s v="TEXAROK"/>
    <s v="Y"/>
  </r>
  <r>
    <n v="1282"/>
    <n v="124"/>
    <n v="98"/>
    <s v="Michael"/>
    <s v="Russell"/>
    <n v="2021"/>
    <n v="8"/>
    <n v="1.2"/>
    <n v="121"/>
    <n v="40"/>
    <x v="0"/>
    <s v="Michael"/>
    <s v="AKCOVA"/>
    <s v="Y"/>
  </r>
  <r>
    <n v="1283"/>
    <n v="1148"/>
    <n v="1012"/>
    <s v="Emily"/>
    <s v="Charles"/>
    <n v="2021"/>
    <n v="8"/>
    <n v="2.1"/>
    <n v="78"/>
    <n v="-20"/>
    <x v="1"/>
    <s v="Emily"/>
    <s v="TEXAROK"/>
    <s v="Y"/>
  </r>
  <r>
    <n v="1284"/>
    <n v="373"/>
    <n v="439"/>
    <s v="Charles"/>
    <s v="Emily"/>
    <n v="2021"/>
    <n v="8"/>
    <n v="2.2000000000000002"/>
    <n v="98"/>
    <n v="20"/>
    <x v="0"/>
    <s v="Charles"/>
    <s v="AKCOVA"/>
    <s v="Y"/>
  </r>
  <r>
    <n v="1285"/>
    <n v="1021"/>
    <n v="741"/>
    <s v="David"/>
    <s v="BR"/>
    <n v="2021"/>
    <n v="8"/>
    <n v="3.1"/>
    <n v="87"/>
    <n v="-13"/>
    <x v="1"/>
    <s v="David"/>
    <s v="TEXAROK"/>
    <s v="Y"/>
  </r>
  <r>
    <n v="1286"/>
    <n v="503"/>
    <n v="391"/>
    <s v="BR"/>
    <s v="David"/>
    <n v="2021"/>
    <n v="8"/>
    <n v="3.2"/>
    <n v="100"/>
    <n v="13"/>
    <x v="0"/>
    <s v="BR"/>
    <s v="AKCOVA"/>
    <s v="Y"/>
  </r>
  <r>
    <n v="1287"/>
    <n v="349"/>
    <n v="883"/>
    <s v="Brent"/>
    <s v="Watty"/>
    <n v="2021"/>
    <n v="8"/>
    <n v="4.0999999999999996"/>
    <n v="82"/>
    <n v="21"/>
    <x v="0"/>
    <s v="Brent"/>
    <s v="TEXAROK"/>
    <s v="Y"/>
  </r>
  <r>
    <n v="1288"/>
    <n v="1173"/>
    <n v="1398"/>
    <s v="Watty"/>
    <s v="Brent"/>
    <n v="2021"/>
    <n v="8"/>
    <n v="4.2"/>
    <n v="61"/>
    <n v="-21"/>
    <x v="1"/>
    <s v="Watty"/>
    <s v="AKCOVA"/>
    <s v="Y"/>
  </r>
  <r>
    <n v="1289"/>
    <n v="398"/>
    <n v="924"/>
    <s v="Brian"/>
    <s v="Mark"/>
    <n v="2021"/>
    <n v="8"/>
    <n v="5.0999999999999996"/>
    <n v="81"/>
    <n v="19"/>
    <x v="0"/>
    <s v="Brian"/>
    <s v="TEXAROK"/>
    <s v="Y"/>
  </r>
  <r>
    <n v="1290"/>
    <n v="1133"/>
    <n v="1383"/>
    <s v="Mark"/>
    <s v="Brian"/>
    <n v="2021"/>
    <n v="8"/>
    <n v="5.2"/>
    <n v="62"/>
    <n v="-19"/>
    <x v="1"/>
    <s v="Mark"/>
    <s v="AKCOVA"/>
    <s v="Y"/>
  </r>
  <r>
    <n v="1291"/>
    <n v="596"/>
    <n v="924"/>
    <s v="Matt"/>
    <s v="Arnold"/>
    <n v="2021"/>
    <n v="8"/>
    <n v="6.1"/>
    <n v="81"/>
    <n v="8"/>
    <x v="0"/>
    <s v="Matt"/>
    <s v="TEXAROK"/>
    <s v="Y"/>
  </r>
  <r>
    <n v="1292"/>
    <n v="924"/>
    <n v="1162"/>
    <s v="Arnold"/>
    <s v="Matt"/>
    <n v="2021"/>
    <n v="8"/>
    <n v="6.2"/>
    <n v="73"/>
    <n v="-8"/>
    <x v="1"/>
    <s v="Arnold"/>
    <s v="AKCOVA"/>
    <s v="Y"/>
  </r>
  <r>
    <n v="1293"/>
    <n v="703"/>
    <n v="1486"/>
    <s v="Michael"/>
    <s v="Emily"/>
    <n v="2021"/>
    <n v="9"/>
    <n v="1.1000000000000001"/>
    <n v="53"/>
    <n v="3"/>
    <x v="0"/>
    <s v="Michael"/>
    <s v="AKCOVA"/>
    <s v="Y"/>
  </r>
  <r>
    <n v="1294"/>
    <n v="823"/>
    <n v="1505"/>
    <s v="Emily"/>
    <s v="Michael"/>
    <n v="2021"/>
    <n v="9"/>
    <n v="1.2"/>
    <n v="50"/>
    <n v="-3"/>
    <x v="1"/>
    <s v="Emily"/>
    <s v="TEXAROK"/>
    <s v="Y"/>
  </r>
  <r>
    <n v="1295"/>
    <n v="1133"/>
    <n v="651"/>
    <s v="Charles"/>
    <s v="David"/>
    <n v="2021"/>
    <n v="9"/>
    <n v="2.1"/>
    <n v="90"/>
    <n v="-19"/>
    <x v="1"/>
    <s v="Charles"/>
    <s v="AKCOVA"/>
    <s v="Y"/>
  </r>
  <r>
    <n v="1296"/>
    <n v="398"/>
    <n v="222"/>
    <s v="David"/>
    <s v="Charles"/>
    <n v="2021"/>
    <n v="9"/>
    <n v="2.2000000000000002"/>
    <n v="109"/>
    <n v="19"/>
    <x v="0"/>
    <s v="David"/>
    <s v="TEXAROK"/>
    <s v="Y"/>
  </r>
  <r>
    <n v="1297"/>
    <n v="766"/>
    <n v="819"/>
    <s v="BR"/>
    <s v="Brent"/>
    <n v="2021"/>
    <n v="9"/>
    <n v="3.1"/>
    <n v="84"/>
    <n v="0"/>
    <x v="2"/>
    <s v="BR"/>
    <s v="AKCOVA"/>
    <s v="Y"/>
  </r>
  <r>
    <n v="1298"/>
    <n v="766"/>
    <n v="819"/>
    <s v="Brent"/>
    <s v="BR"/>
    <n v="2021"/>
    <n v="9"/>
    <n v="3.2"/>
    <n v="84"/>
    <n v="0"/>
    <x v="2"/>
    <s v="Brent"/>
    <s v="TEXAROK"/>
    <s v="Y"/>
  </r>
  <r>
    <n v="1299"/>
    <n v="1113"/>
    <n v="1319"/>
    <s v="Watty"/>
    <s v="Brian"/>
    <n v="2021"/>
    <n v="9"/>
    <n v="4.0999999999999996"/>
    <n v="66"/>
    <n v="-18"/>
    <x v="1"/>
    <s v="Watty"/>
    <s v="AKCOVA"/>
    <s v="Y"/>
  </r>
  <r>
    <n v="1300"/>
    <n v="413"/>
    <n v="819"/>
    <s v="Brian"/>
    <s v="Watty"/>
    <n v="2021"/>
    <n v="9"/>
    <n v="4.2"/>
    <n v="84"/>
    <n v="18"/>
    <x v="0"/>
    <s v="Brian"/>
    <s v="TEXAROK"/>
    <s v="Y"/>
  </r>
  <r>
    <n v="1301"/>
    <n v="643"/>
    <n v="852"/>
    <s v="Mark"/>
    <s v="Matt"/>
    <n v="2021"/>
    <n v="9"/>
    <n v="5.0999999999999996"/>
    <n v="83"/>
    <n v="6"/>
    <x v="0"/>
    <s v="Mark"/>
    <s v="AKCOVA"/>
    <s v="Y"/>
  </r>
  <r>
    <n v="1302"/>
    <n v="882"/>
    <n v="1044"/>
    <s v="Matt"/>
    <s v="Mark"/>
    <n v="2021"/>
    <n v="9"/>
    <n v="5.2"/>
    <n v="77"/>
    <n v="-6"/>
    <x v="1"/>
    <s v="Matt"/>
    <s v="TEXAROK"/>
    <s v="Y"/>
  </r>
  <r>
    <n v="1303"/>
    <n v="544"/>
    <n v="1288"/>
    <s v="Arnold"/>
    <s v="Russell"/>
    <n v="2021"/>
    <n v="9"/>
    <n v="6.1"/>
    <n v="68"/>
    <n v="11"/>
    <x v="0"/>
    <s v="Arnold"/>
    <s v="AKCOVA"/>
    <s v="Y"/>
  </r>
  <r>
    <n v="1304"/>
    <n v="983"/>
    <n v="1452"/>
    <s v="Russell"/>
    <s v="Arnold"/>
    <n v="2021"/>
    <n v="9"/>
    <n v="6.2"/>
    <n v="57"/>
    <n v="-11"/>
    <x v="1"/>
    <s v="Russell"/>
    <s v="TEXAROK"/>
    <s v="Y"/>
  </r>
  <r>
    <n v="1305"/>
    <n v="1148"/>
    <n v="1243"/>
    <s v="David"/>
    <s v="Michael"/>
    <n v="2021"/>
    <n v="10"/>
    <n v="1.1000000000000001"/>
    <n v="70"/>
    <n v="-20"/>
    <x v="1"/>
    <s v="David"/>
    <s v="TEXAROK"/>
    <s v="Y"/>
  </r>
  <r>
    <n v="1306"/>
    <n v="373"/>
    <n v="651"/>
    <s v="Michael"/>
    <s v="David"/>
    <n v="2021"/>
    <n v="10"/>
    <n v="1.2"/>
    <n v="90"/>
    <n v="20"/>
    <x v="0"/>
    <s v="Michael"/>
    <s v="AKCOVA"/>
    <s v="Y"/>
  </r>
  <r>
    <n v="1307"/>
    <n v="1393"/>
    <n v="1465"/>
    <s v="Brent"/>
    <s v="Charles"/>
    <n v="2021"/>
    <n v="10"/>
    <n v="2.1"/>
    <n v="56"/>
    <n v="-38"/>
    <x v="1"/>
    <s v="Brent"/>
    <s v="TEXAROK"/>
    <s v="Y"/>
  </r>
  <r>
    <n v="1308"/>
    <n v="141"/>
    <n v="544"/>
    <s v="Charles"/>
    <s v="Brent"/>
    <n v="2021"/>
    <n v="10"/>
    <n v="2.2000000000000002"/>
    <n v="94"/>
    <n v="38"/>
    <x v="0"/>
    <s v="Charles"/>
    <s v="AKCOVA"/>
    <s v="Y"/>
  </r>
  <r>
    <n v="1309"/>
    <n v="1208"/>
    <n v="1224"/>
    <s v="Brian"/>
    <s v="BR"/>
    <n v="2021"/>
    <n v="10"/>
    <n v="3.1"/>
    <n v="71"/>
    <n v="-23"/>
    <x v="1"/>
    <s v="Brian"/>
    <s v="TEXAROK"/>
    <s v="Y"/>
  </r>
  <r>
    <n v="1310"/>
    <n v="324"/>
    <n v="544"/>
    <s v="BR"/>
    <s v="Brian"/>
    <n v="2021"/>
    <n v="10"/>
    <n v="3.2"/>
    <n v="94"/>
    <n v="23"/>
    <x v="0"/>
    <s v="BR"/>
    <s v="AKCOVA"/>
    <s v="Y"/>
  </r>
  <r>
    <n v="1311"/>
    <n v="310"/>
    <n v="439"/>
    <s v="Matt"/>
    <s v="Watty"/>
    <n v="2021"/>
    <n v="10"/>
    <n v="4.0999999999999996"/>
    <n v="98"/>
    <n v="24"/>
    <x v="0"/>
    <s v="Matt"/>
    <s v="TEXAROK"/>
    <s v="Y"/>
  </r>
  <r>
    <n v="1312"/>
    <n v="1222"/>
    <n v="1135"/>
    <s v="Watty"/>
    <s v="Matt"/>
    <n v="2021"/>
    <n v="10"/>
    <n v="4.2"/>
    <n v="74"/>
    <n v="-24"/>
    <x v="1"/>
    <s v="Watty"/>
    <s v="AKCOVA"/>
    <s v="Y"/>
  </r>
  <r>
    <n v="1313"/>
    <n v="1043"/>
    <n v="1243"/>
    <s v="Russell"/>
    <s v="Mark"/>
    <n v="2021"/>
    <n v="10"/>
    <n v="5.0999999999999996"/>
    <n v="70"/>
    <n v="-14"/>
    <x v="1"/>
    <s v="Russell"/>
    <s v="TEXAROK"/>
    <s v="Y"/>
  </r>
  <r>
    <n v="1314"/>
    <n v="483"/>
    <n v="819"/>
    <s v="Mark"/>
    <s v="Russell"/>
    <n v="2021"/>
    <n v="10"/>
    <n v="5.2"/>
    <n v="84"/>
    <n v="14"/>
    <x v="0"/>
    <s v="Mark"/>
    <s v="AKCOVA"/>
    <s v="Y"/>
  </r>
  <r>
    <n v="1315"/>
    <n v="596"/>
    <n v="651"/>
    <s v="Emily"/>
    <s v="Arnold"/>
    <n v="2021"/>
    <n v="10"/>
    <n v="6.1"/>
    <n v="90"/>
    <n v="8"/>
    <x v="0"/>
    <s v="Emily"/>
    <s v="TEXAROK"/>
    <s v="Y"/>
  </r>
  <r>
    <n v="1316"/>
    <n v="924"/>
    <n v="883"/>
    <s v="Arnold"/>
    <s v="Emily"/>
    <n v="2021"/>
    <n v="10"/>
    <n v="6.2"/>
    <n v="82"/>
    <n v="-8"/>
    <x v="1"/>
    <s v="Arnold"/>
    <s v="AKCOVA"/>
    <s v="Y"/>
  </r>
  <r>
    <n v="1317"/>
    <n v="1021"/>
    <n v="984"/>
    <s v="Michael"/>
    <s v="Brent"/>
    <n v="2021"/>
    <n v="11"/>
    <n v="1.1000000000000001"/>
    <n v="79"/>
    <n v="-13"/>
    <x v="1"/>
    <s v="Michael"/>
    <s v="AKCOVA"/>
    <s v="Y"/>
  </r>
  <r>
    <n v="1318"/>
    <n v="503"/>
    <n v="599"/>
    <s v="Brent"/>
    <s v="Michael"/>
    <n v="2021"/>
    <n v="11"/>
    <n v="1.2"/>
    <n v="92"/>
    <n v="13"/>
    <x v="0"/>
    <s v="Brent"/>
    <s v="TEXAROK"/>
    <s v="Y"/>
  </r>
  <r>
    <n v="1319"/>
    <n v="983"/>
    <n v="207"/>
    <s v="Charles"/>
    <s v="Brian"/>
    <n v="2021"/>
    <n v="11"/>
    <n v="2.1"/>
    <n v="110"/>
    <n v="-11"/>
    <x v="1"/>
    <s v="Charles"/>
    <s v="AKCOVA"/>
    <s v="Y"/>
  </r>
  <r>
    <n v="1320"/>
    <n v="544"/>
    <n v="98"/>
    <s v="Brian"/>
    <s v="Charles"/>
    <n v="2021"/>
    <n v="11"/>
    <n v="2.2000000000000002"/>
    <n v="121"/>
    <n v="11"/>
    <x v="0"/>
    <s v="Brian"/>
    <s v="TEXAROK"/>
    <s v="Y"/>
  </r>
  <r>
    <n v="1321"/>
    <n v="278"/>
    <n v="544"/>
    <s v="BR"/>
    <s v="Matt"/>
    <n v="2021"/>
    <n v="11"/>
    <n v="3.1"/>
    <n v="94"/>
    <n v="26"/>
    <x v="0"/>
    <s v="BR"/>
    <s v="AKCOVA"/>
    <s v="Y"/>
  </r>
  <r>
    <n v="1322"/>
    <n v="1255"/>
    <n v="1288"/>
    <s v="Matt"/>
    <s v="BR"/>
    <n v="2021"/>
    <n v="11"/>
    <n v="3.2"/>
    <n v="68"/>
    <n v="-26"/>
    <x v="1"/>
    <s v="Matt"/>
    <s v="TEXAROK"/>
    <s v="Y"/>
  </r>
  <r>
    <n v="1323"/>
    <n v="580"/>
    <n v="1306"/>
    <s v="Watty"/>
    <s v="Russell"/>
    <n v="2021"/>
    <n v="11"/>
    <n v="4.0999999999999996"/>
    <n v="67"/>
    <n v="9"/>
    <x v="0"/>
    <s v="Watty"/>
    <s v="AKCOVA"/>
    <s v="Y"/>
  </r>
  <r>
    <n v="1324"/>
    <n v="950"/>
    <n v="1441"/>
    <s v="Russell"/>
    <s v="Watty"/>
    <n v="2021"/>
    <n v="11"/>
    <n v="4.2"/>
    <n v="58"/>
    <n v="-9"/>
    <x v="1"/>
    <s v="Russell"/>
    <s v="TEXAROK"/>
    <s v="Y"/>
  </r>
  <r>
    <n v="1325"/>
    <n v="51"/>
    <n v="414"/>
    <s v="Mark"/>
    <s v="Emily"/>
    <n v="2021"/>
    <n v="11"/>
    <n v="5.0999999999999996"/>
    <n v="99"/>
    <n v="57"/>
    <x v="0"/>
    <s v="Mark"/>
    <s v="AKCOVA"/>
    <s v="Y"/>
  </r>
  <r>
    <n v="1326"/>
    <n v="1492"/>
    <n v="1534"/>
    <s v="Emily"/>
    <s v="Mark"/>
    <n v="2021"/>
    <n v="11"/>
    <n v="5.2"/>
    <n v="42"/>
    <n v="-57"/>
    <x v="1"/>
    <s v="Emily"/>
    <s v="TEXAROK"/>
    <s v="Y"/>
  </r>
  <r>
    <n v="1327"/>
    <n v="1455"/>
    <n v="1319"/>
    <s v="Arnold"/>
    <s v="David"/>
    <n v="2021"/>
    <n v="11"/>
    <n v="6.1"/>
    <n v="66"/>
    <n v="-46"/>
    <x v="1"/>
    <s v="Arnold"/>
    <s v="AKCOVA"/>
    <s v="Y"/>
  </r>
  <r>
    <n v="1328"/>
    <n v="85"/>
    <n v="180"/>
    <s v="David"/>
    <s v="Arnold"/>
    <n v="2021"/>
    <n v="11"/>
    <n v="6.2"/>
    <n v="112"/>
    <n v="46"/>
    <x v="0"/>
    <s v="David"/>
    <s v="TEXAROK"/>
    <s v="Y"/>
  </r>
  <r>
    <n v="1329"/>
    <n v="1310"/>
    <n v="819"/>
    <s v="Matt"/>
    <s v="Brian"/>
    <n v="2021"/>
    <n v="12"/>
    <n v="1.1000000000000001"/>
    <n v="84"/>
    <n v="-30"/>
    <x v="1"/>
    <s v="Matt"/>
    <s v="TEXAROK"/>
    <s v="N"/>
  </r>
  <r>
    <n v="1330"/>
    <n v="220"/>
    <n v="155"/>
    <s v="Brian"/>
    <s v="Matt"/>
    <n v="2021"/>
    <n v="12"/>
    <n v="1.2"/>
    <n v="114"/>
    <n v="30"/>
    <x v="0"/>
    <s v="Brian"/>
    <s v="TEXAROK"/>
    <s v="N"/>
  </r>
  <r>
    <n v="1331"/>
    <n v="596"/>
    <n v="819"/>
    <s v="Brent"/>
    <s v="Russell"/>
    <n v="2021"/>
    <n v="12"/>
    <n v="2.1"/>
    <n v="84"/>
    <n v="8"/>
    <x v="0"/>
    <s v="Brent"/>
    <s v="TEXAROK"/>
    <s v="N"/>
  </r>
  <r>
    <n v="1332"/>
    <n v="924"/>
    <n v="1076"/>
    <s v="Russell"/>
    <s v="Brent"/>
    <n v="2021"/>
    <n v="12"/>
    <n v="2.2000000000000002"/>
    <n v="76"/>
    <n v="-8"/>
    <x v="1"/>
    <s v="Russell"/>
    <s v="TEXAROK"/>
    <s v="N"/>
  </r>
  <r>
    <n v="1333"/>
    <n v="580"/>
    <n v="852"/>
    <s v="David"/>
    <s v="Emily"/>
    <n v="2021"/>
    <n v="12"/>
    <n v="3.1"/>
    <n v="83"/>
    <n v="9"/>
    <x v="0"/>
    <s v="David"/>
    <s v="TEXAROK"/>
    <s v="N"/>
  </r>
  <r>
    <n v="1334"/>
    <n v="950"/>
    <n v="1135"/>
    <s v="Emily"/>
    <s v="David"/>
    <n v="2021"/>
    <n v="12"/>
    <n v="3.2"/>
    <n v="74"/>
    <n v="-9"/>
    <x v="1"/>
    <s v="Emily"/>
    <s v="TEXAROK"/>
    <s v="N"/>
  </r>
  <r>
    <n v="1335"/>
    <n v="1373"/>
    <n v="1362"/>
    <s v="Charles"/>
    <s v="Michael"/>
    <n v="2021"/>
    <n v="12"/>
    <n v="4.0999999999999996"/>
    <n v="63"/>
    <n v="-36"/>
    <x v="1"/>
    <s v="Charles"/>
    <s v="AKCOVA"/>
    <s v="N"/>
  </r>
  <r>
    <n v="1336"/>
    <n v="164"/>
    <n v="414"/>
    <s v="Michael"/>
    <s v="Charles"/>
    <n v="2021"/>
    <n v="12"/>
    <n v="4.2"/>
    <n v="99"/>
    <n v="36"/>
    <x v="0"/>
    <s v="Michael"/>
    <s v="AKCOVA"/>
    <s v="N"/>
  </r>
  <r>
    <n v="1337"/>
    <n v="1173"/>
    <n v="956"/>
    <s v="Arnold"/>
    <s v="BR"/>
    <n v="2021"/>
    <n v="12"/>
    <n v="5.0999999999999996"/>
    <n v="80"/>
    <n v="-21"/>
    <x v="1"/>
    <s v="Arnold"/>
    <s v="AKCOVA"/>
    <s v="N"/>
  </r>
  <r>
    <n v="1338"/>
    <n v="349"/>
    <n v="375"/>
    <s v="BR"/>
    <s v="Arnold"/>
    <n v="2021"/>
    <n v="12"/>
    <n v="5.2"/>
    <n v="101"/>
    <n v="21"/>
    <x v="0"/>
    <s v="BR"/>
    <s v="AKCOVA"/>
    <s v="N"/>
  </r>
  <r>
    <n v="1339"/>
    <n v="1470"/>
    <n v="1492"/>
    <s v="Mark"/>
    <s v="Watty"/>
    <n v="2021"/>
    <n v="12"/>
    <n v="6.1"/>
    <n v="52"/>
    <n v="-51"/>
    <x v="1"/>
    <s v="Mark"/>
    <s v="AKCOVA"/>
    <s v="N"/>
  </r>
  <r>
    <n v="1340"/>
    <n v="72"/>
    <n v="339"/>
    <s v="Watty"/>
    <s v="Mark"/>
    <n v="2021"/>
    <n v="12"/>
    <n v="6.2"/>
    <n v="103"/>
    <n v="51"/>
    <x v="0"/>
    <s v="Watty"/>
    <s v="AKCOVA"/>
    <s v="N"/>
  </r>
  <r>
    <n v="1341"/>
    <n v="679"/>
    <n v="796"/>
    <s v="Brian"/>
    <s v="David"/>
    <n v="2021"/>
    <n v="13"/>
    <n v="1.1000000000000001"/>
    <n v="85"/>
    <n v="4"/>
    <x v="0"/>
    <s v="Brian"/>
    <s v="TEXAROK"/>
    <s v="N"/>
  </r>
  <r>
    <n v="1342"/>
    <n v="843"/>
    <n v="924"/>
    <s v="David"/>
    <s v="Brian"/>
    <n v="2021"/>
    <n v="13"/>
    <n v="1.2"/>
    <n v="81"/>
    <n v="-4"/>
    <x v="1"/>
    <s v="David"/>
    <s v="TEXAROK"/>
    <s v="N"/>
  </r>
  <r>
    <n v="1343"/>
    <n v="1427"/>
    <n v="1012"/>
    <s v="Emily"/>
    <s v="Russell"/>
    <n v="2021"/>
    <n v="13"/>
    <n v="2.1"/>
    <n v="78"/>
    <n v="-42"/>
    <x v="1"/>
    <s v="Emily"/>
    <s v="TEXAROK"/>
    <s v="N"/>
  </r>
  <r>
    <n v="1344"/>
    <n v="112"/>
    <n v="107"/>
    <s v="Russell"/>
    <s v="Emily"/>
    <n v="2021"/>
    <n v="13"/>
    <n v="2.2000000000000002"/>
    <n v="120"/>
    <n v="42"/>
    <x v="0"/>
    <s v="Russell"/>
    <s v="TEXAROK"/>
    <s v="N"/>
  </r>
  <r>
    <n v="1345"/>
    <n v="950"/>
    <n v="956"/>
    <s v="Matt"/>
    <s v="Brent"/>
    <n v="2021"/>
    <n v="13"/>
    <n v="3.1"/>
    <n v="80"/>
    <n v="-9"/>
    <x v="1"/>
    <s v="Matt"/>
    <s v="TEXAROK"/>
    <s v="N"/>
  </r>
  <r>
    <n v="1346"/>
    <n v="580"/>
    <n v="673"/>
    <s v="Brent"/>
    <s v="Matt"/>
    <n v="2021"/>
    <n v="13"/>
    <n v="3.2"/>
    <n v="89"/>
    <n v="9"/>
    <x v="0"/>
    <s v="Brent"/>
    <s v="TEXAROK"/>
    <s v="N"/>
  </r>
  <r>
    <n v="1347"/>
    <n v="173"/>
    <n v="375"/>
    <s v="Charles"/>
    <s v="BR"/>
    <n v="2021"/>
    <n v="13"/>
    <n v="4.0999999999999996"/>
    <n v="101"/>
    <n v="35"/>
    <x v="0"/>
    <s v="Charles"/>
    <s v="AKCOVA"/>
    <s v="N"/>
  </r>
  <r>
    <n v="1348"/>
    <n v="1368"/>
    <n v="1319"/>
    <s v="BR"/>
    <s v="Charles"/>
    <n v="2021"/>
    <n v="13"/>
    <n v="4.2"/>
    <n v="66"/>
    <n v="-35"/>
    <x v="1"/>
    <s v="BR"/>
    <s v="AKCOVA"/>
    <s v="N"/>
  </r>
  <r>
    <n v="1349"/>
    <n v="40"/>
    <n v="239"/>
    <s v="Michael"/>
    <s v="Watty"/>
    <n v="2021"/>
    <n v="13"/>
    <n v="5.0999999999999996"/>
    <n v="108"/>
    <n v="59"/>
    <x v="0"/>
    <s v="Michael"/>
    <s v="AKCOVA"/>
    <s v="N"/>
  </r>
  <r>
    <n v="1350"/>
    <n v="1503"/>
    <n v="1513"/>
    <s v="Watty"/>
    <s v="Michael"/>
    <n v="2021"/>
    <n v="13"/>
    <n v="5.2"/>
    <n v="49"/>
    <n v="-59"/>
    <x v="1"/>
    <s v="Watty"/>
    <s v="AKCOVA"/>
    <s v="N"/>
  </r>
  <r>
    <n v="1351"/>
    <n v="220"/>
    <n v="439"/>
    <s v="Arnold"/>
    <s v="Mark"/>
    <n v="2021"/>
    <n v="13"/>
    <n v="6.1"/>
    <n v="98"/>
    <n v="30"/>
    <x v="0"/>
    <s v="Arnold"/>
    <s v="AKCOVA"/>
    <s v="N"/>
  </r>
  <r>
    <n v="1352"/>
    <n v="1310"/>
    <n v="1288"/>
    <s v="Mark"/>
    <s v="Arnold"/>
    <n v="2021"/>
    <n v="13"/>
    <n v="6.2"/>
    <n v="68"/>
    <n v="-30"/>
    <x v="1"/>
    <s v="Mark"/>
    <s v="AKCOVA"/>
    <s v="N"/>
  </r>
  <r>
    <n v="1353"/>
    <n v="14"/>
    <n v="239"/>
    <s v="Matt"/>
    <s v="David"/>
    <n v="2021"/>
    <n v="14"/>
    <n v="1.1000000000000001"/>
    <n v="108"/>
    <n v="74"/>
    <x v="0"/>
    <s v="Matt"/>
    <s v="TEXAROK"/>
    <s v="N"/>
  </r>
  <r>
    <n v="1354"/>
    <n v="1531"/>
    <n v="1542"/>
    <s v="David"/>
    <s v="Matt"/>
    <n v="2021"/>
    <n v="14"/>
    <n v="1.2"/>
    <n v="34"/>
    <n v="-74"/>
    <x v="1"/>
    <s v="David"/>
    <s v="TEXAROK"/>
    <s v="N"/>
  </r>
  <r>
    <n v="1355"/>
    <n v="950"/>
    <n v="192"/>
    <s v="Michael"/>
    <s v="BR"/>
    <n v="2021"/>
    <n v="14"/>
    <n v="2.1"/>
    <n v="111"/>
    <n v="-9"/>
    <x v="1"/>
    <s v="Michael"/>
    <s v="AKCOVA"/>
    <s v="N"/>
  </r>
  <r>
    <n v="1356"/>
    <n v="580"/>
    <n v="107"/>
    <s v="BR"/>
    <s v="Michael"/>
    <n v="2021"/>
    <n v="14"/>
    <n v="2.2000000000000002"/>
    <n v="120"/>
    <n v="9"/>
    <x v="0"/>
    <s v="BR"/>
    <s v="AKCOVA"/>
    <s v="N"/>
  </r>
  <r>
    <n v="1357"/>
    <n v="544"/>
    <n v="357"/>
    <s v="Brian"/>
    <s v="Brent"/>
    <n v="2021"/>
    <n v="14"/>
    <n v="3.1"/>
    <n v="102"/>
    <n v="11"/>
    <x v="0"/>
    <s v="Brian"/>
    <s v="TEXAROK"/>
    <s v="N"/>
  </r>
  <r>
    <n v="1358"/>
    <n v="983"/>
    <n v="627"/>
    <s v="Brent"/>
    <s v="Brian"/>
    <n v="2021"/>
    <n v="14"/>
    <n v="3.2"/>
    <n v="91"/>
    <n v="-11"/>
    <x v="1"/>
    <s v="Brent"/>
    <s v="TEXAROK"/>
    <s v="N"/>
  </r>
  <r>
    <n v="1359"/>
    <n v="843"/>
    <n v="439"/>
    <s v="Charles"/>
    <s v="Russell"/>
    <n v="2021"/>
    <n v="14"/>
    <n v="4.0999999999999996"/>
    <n v="98"/>
    <n v="-4"/>
    <x v="1"/>
    <s v="Charles"/>
    <s v="AKCOVA"/>
    <s v="Y"/>
  </r>
  <r>
    <n v="1360"/>
    <n v="679"/>
    <n v="357"/>
    <s v="Russell"/>
    <s v="Charles"/>
    <n v="2021"/>
    <n v="14"/>
    <n v="4.2"/>
    <n v="102"/>
    <n v="4"/>
    <x v="0"/>
    <s v="Russell"/>
    <s v="TEXAROK"/>
    <s v="Y"/>
  </r>
  <r>
    <n v="1361"/>
    <n v="664"/>
    <n v="461"/>
    <s v="Arnold"/>
    <s v="Watty"/>
    <n v="2021"/>
    <n v="14"/>
    <n v="5.0999999999999996"/>
    <n v="97"/>
    <n v="5"/>
    <x v="0"/>
    <s v="Arnold"/>
    <s v="AKCOVA"/>
    <s v="N"/>
  </r>
  <r>
    <n v="1362"/>
    <n v="867"/>
    <n v="599"/>
    <s v="Watty"/>
    <s v="Arnold"/>
    <n v="2021"/>
    <n v="14"/>
    <n v="5.2"/>
    <n v="92"/>
    <n v="-5"/>
    <x v="1"/>
    <s v="Watty"/>
    <s v="AKCOVA"/>
    <s v="N"/>
  </r>
  <r>
    <n v="1363"/>
    <n v="966"/>
    <n v="1319"/>
    <s v="Mark"/>
    <s v="Emily"/>
    <n v="2021"/>
    <n v="14"/>
    <n v="6.1"/>
    <n v="66"/>
    <n v="-10"/>
    <x v="1"/>
    <s v="Mark"/>
    <s v="AKCOVA"/>
    <s v="Y"/>
  </r>
  <r>
    <n v="1364"/>
    <n v="563"/>
    <n v="1076"/>
    <s v="Emily"/>
    <s v="Mark"/>
    <n v="2021"/>
    <n v="14"/>
    <n v="6.2"/>
    <n v="76"/>
    <n v="10"/>
    <x v="0"/>
    <s v="Emily"/>
    <s v="TEXAROK"/>
    <s v="Y"/>
  </r>
  <r>
    <n v="1365"/>
    <n v="679"/>
    <n v="924"/>
    <s v="BR"/>
    <s v="Matt"/>
    <n v="2022"/>
    <n v="1"/>
    <n v="1.1000000000000001"/>
    <n v="81"/>
    <n v="4"/>
    <x v="0"/>
    <s v="BR"/>
    <s v="AKCOVA"/>
    <s v="Y"/>
  </r>
  <r>
    <n v="1366"/>
    <n v="843"/>
    <n v="1044"/>
    <s v="Matt"/>
    <s v="BR"/>
    <n v="2022"/>
    <n v="1"/>
    <n v="1.2"/>
    <n v="77"/>
    <n v="-4"/>
    <x v="1"/>
    <s v="Matt"/>
    <s v="TEXAROK"/>
    <s v="Y"/>
  </r>
  <r>
    <n v="1367"/>
    <n v="1173"/>
    <n v="1306"/>
    <s v="Watty"/>
    <s v="Russell"/>
    <n v="2022"/>
    <n v="1"/>
    <n v="2.1"/>
    <n v="67"/>
    <n v="-21"/>
    <x v="1"/>
    <s v="Watty"/>
    <s v="AKCOVA"/>
    <s v="Y"/>
  </r>
  <r>
    <n v="1368"/>
    <n v="349"/>
    <n v="710"/>
    <s v="Russell"/>
    <s v="Watty"/>
    <n v="2022"/>
    <n v="1"/>
    <n v="2.2000000000000002"/>
    <n v="88"/>
    <n v="21"/>
    <x v="0"/>
    <s v="Russell"/>
    <s v="TEXAROK"/>
    <s v="Y"/>
  </r>
  <r>
    <n v="1369"/>
    <n v="76"/>
    <n v="222"/>
    <s v="Mark"/>
    <s v="Emily"/>
    <n v="2022"/>
    <n v="1"/>
    <n v="3.1"/>
    <n v="109"/>
    <n v="50"/>
    <x v="0"/>
    <s v="Mark"/>
    <s v="AKCOVA"/>
    <s v="Y"/>
  </r>
  <r>
    <n v="1370"/>
    <n v="1464"/>
    <n v="1421"/>
    <s v="Emily"/>
    <s v="Mark"/>
    <n v="2022"/>
    <n v="1"/>
    <n v="3.2"/>
    <n v="59"/>
    <n v="-50"/>
    <x v="1"/>
    <s v="Emily"/>
    <s v="TEXAROK"/>
    <s v="Y"/>
  </r>
  <r>
    <n v="1371"/>
    <n v="220"/>
    <n v="493"/>
    <s v="Brent"/>
    <s v="Arnold"/>
    <n v="2022"/>
    <n v="1"/>
    <n v="4.0999999999999996"/>
    <n v="96"/>
    <n v="30"/>
    <x v="0"/>
    <s v="Brent"/>
    <s v="TEXAROK"/>
    <s v="Y"/>
  </r>
  <r>
    <n v="1372"/>
    <n v="1310"/>
    <n v="1319"/>
    <s v="Arnold"/>
    <s v="Brent"/>
    <n v="2022"/>
    <n v="1"/>
    <n v="4.2"/>
    <n v="66"/>
    <n v="-30"/>
    <x v="1"/>
    <s v="Arnold"/>
    <s v="AKCOVA"/>
    <s v="Y"/>
  </r>
  <r>
    <n v="1373"/>
    <n v="236"/>
    <n v="288"/>
    <s v="Michael"/>
    <s v="Brian"/>
    <n v="2022"/>
    <n v="1"/>
    <n v="5.0999999999999996"/>
    <n v="105"/>
    <n v="29"/>
    <x v="0"/>
    <s v="Michael"/>
    <s v="AKCOVA"/>
    <s v="Y"/>
  </r>
  <r>
    <n v="1374"/>
    <n v="1299"/>
    <n v="1076"/>
    <s v="Brian"/>
    <s v="Michael"/>
    <n v="2022"/>
    <n v="1"/>
    <n v="5.2"/>
    <n v="76"/>
    <n v="-29"/>
    <x v="1"/>
    <s v="Brian"/>
    <s v="TEXAROK"/>
    <s v="Y"/>
  </r>
  <r>
    <n v="1375"/>
    <n v="291"/>
    <n v="180"/>
    <s v="David"/>
    <s v="Charles"/>
    <n v="2022"/>
    <n v="1"/>
    <n v="6.1"/>
    <n v="112"/>
    <n v="25"/>
    <x v="0"/>
    <s v="David"/>
    <s v="TEXAROK"/>
    <s v="Y"/>
  </r>
  <r>
    <n v="1376"/>
    <n v="1236"/>
    <n v="741"/>
    <s v="Charles"/>
    <s v="David"/>
    <n v="2022"/>
    <n v="1"/>
    <n v="6.2"/>
    <n v="87"/>
    <n v="-25"/>
    <x v="1"/>
    <s v="Charles"/>
    <s v="AKCOVA"/>
    <s v="Y"/>
  </r>
  <r>
    <n v="1377"/>
    <n v="679"/>
    <n v="572"/>
    <s v="David"/>
    <s v="Russell"/>
    <n v="2022"/>
    <n v="2"/>
    <n v="1.1000000000000001"/>
    <n v="93"/>
    <n v="4"/>
    <x v="0"/>
    <s v="David"/>
    <s v="TEXAROK"/>
    <s v="N"/>
  </r>
  <r>
    <n v="1378"/>
    <n v="843"/>
    <n v="673"/>
    <s v="Russell"/>
    <s v="David"/>
    <n v="2022"/>
    <n v="2"/>
    <n v="1.2"/>
    <n v="89"/>
    <n v="-4"/>
    <x v="1"/>
    <s v="Russell"/>
    <s v="TEXAROK"/>
    <s v="N"/>
  </r>
  <r>
    <n v="1379"/>
    <n v="1063"/>
    <n v="984"/>
    <s v="Brian"/>
    <s v="Emily"/>
    <n v="2022"/>
    <n v="2"/>
    <n v="2.1"/>
    <n v="79"/>
    <n v="-15"/>
    <x v="1"/>
    <s v="Brian"/>
    <s v="TEXAROK"/>
    <s v="N"/>
  </r>
  <r>
    <n v="1380"/>
    <n v="467"/>
    <n v="544"/>
    <s v="Emily"/>
    <s v="Brian"/>
    <n v="2022"/>
    <n v="2"/>
    <n v="2.2000000000000002"/>
    <n v="94"/>
    <n v="15"/>
    <x v="0"/>
    <s v="Emily"/>
    <s v="TEXAROK"/>
    <s v="N"/>
  </r>
  <r>
    <n v="1381"/>
    <n v="32"/>
    <n v="239"/>
    <s v="Brent"/>
    <s v="Matt"/>
    <n v="2022"/>
    <n v="2"/>
    <n v="3.1"/>
    <n v="108"/>
    <n v="63"/>
    <x v="0"/>
    <s v="Brent"/>
    <s v="TEXAROK"/>
    <s v="N"/>
  </r>
  <r>
    <n v="1382"/>
    <n v="1512"/>
    <n v="1527"/>
    <s v="Matt"/>
    <s v="Brent"/>
    <n v="2022"/>
    <n v="2"/>
    <n v="3.2"/>
    <n v="45"/>
    <n v="-63"/>
    <x v="1"/>
    <s v="Matt"/>
    <s v="TEXAROK"/>
    <s v="N"/>
  </r>
  <r>
    <n v="1383"/>
    <n v="398"/>
    <n v="461"/>
    <s v="Mark"/>
    <s v="Watty"/>
    <n v="2022"/>
    <n v="2"/>
    <n v="4.0999999999999996"/>
    <n v="97"/>
    <n v="19"/>
    <x v="0"/>
    <s v="Mark"/>
    <s v="AKCOVA"/>
    <s v="N"/>
  </r>
  <r>
    <n v="1384"/>
    <n v="1133"/>
    <n v="1012"/>
    <s v="Watty"/>
    <s v="Mark"/>
    <n v="2022"/>
    <n v="2"/>
    <n v="4.2"/>
    <n v="78"/>
    <n v="-19"/>
    <x v="1"/>
    <s v="Watty"/>
    <s v="AKCOVA"/>
    <s v="N"/>
  </r>
  <r>
    <n v="1385"/>
    <n v="184"/>
    <n v="572"/>
    <s v="BR"/>
    <s v="Michael"/>
    <n v="2022"/>
    <n v="2"/>
    <n v="5.0999999999999996"/>
    <n v="93"/>
    <n v="33"/>
    <x v="0"/>
    <s v="BR"/>
    <s v="AKCOVA"/>
    <s v="N"/>
  </r>
  <r>
    <n v="1386"/>
    <n v="1352"/>
    <n v="1406"/>
    <s v="Michael"/>
    <s v="BR"/>
    <n v="2022"/>
    <n v="2"/>
    <n v="5.2"/>
    <n v="60"/>
    <n v="-33"/>
    <x v="1"/>
    <s v="Michael"/>
    <s v="AKCOVA"/>
    <s v="N"/>
  </r>
  <r>
    <n v="1387"/>
    <n v="103"/>
    <n v="107"/>
    <s v="Arnold"/>
    <s v="Charles"/>
    <n v="2022"/>
    <n v="2"/>
    <n v="6.1"/>
    <n v="120"/>
    <n v="43"/>
    <x v="0"/>
    <s v="Arnold"/>
    <s v="AKCOVA"/>
    <s v="N"/>
  </r>
  <r>
    <n v="1388"/>
    <n v="1434"/>
    <n v="1044"/>
    <s v="Charles"/>
    <s v="Arnold"/>
    <n v="2022"/>
    <n v="2"/>
    <n v="6.2"/>
    <n v="77"/>
    <n v="-43"/>
    <x v="1"/>
    <s v="Charles"/>
    <s v="AKCOVA"/>
    <s v="N"/>
  </r>
  <r>
    <n v="1389"/>
    <n v="950"/>
    <n v="627"/>
    <s v="Russell"/>
    <s v="Emily"/>
    <n v="2022"/>
    <n v="3"/>
    <n v="1.1000000000000001"/>
    <n v="91"/>
    <n v="-9"/>
    <x v="1"/>
    <s v="Russell"/>
    <s v="TEXAROK"/>
    <s v="N"/>
  </r>
  <r>
    <n v="1390"/>
    <n v="580"/>
    <n v="391"/>
    <s v="Emily"/>
    <s v="Russell"/>
    <n v="2022"/>
    <n v="3"/>
    <n v="1.2"/>
    <n v="100"/>
    <n v="9"/>
    <x v="0"/>
    <s v="Emily"/>
    <s v="TEXAROK"/>
    <s v="N"/>
  </r>
  <r>
    <n v="1391"/>
    <n v="823"/>
    <n v="1243"/>
    <s v="Matt"/>
    <s v="David"/>
    <n v="2022"/>
    <n v="3"/>
    <n v="2.1"/>
    <n v="70"/>
    <n v="-3"/>
    <x v="1"/>
    <s v="Matt"/>
    <s v="TEXAROK"/>
    <s v="N"/>
  </r>
  <r>
    <n v="1392"/>
    <n v="703"/>
    <n v="1162"/>
    <s v="David"/>
    <s v="Matt"/>
    <n v="2022"/>
    <n v="3"/>
    <n v="2.2000000000000002"/>
    <n v="73"/>
    <n v="3"/>
    <x v="0"/>
    <s v="David"/>
    <s v="TEXAROK"/>
    <s v="N"/>
  </r>
  <r>
    <n v="1393"/>
    <n v="983"/>
    <n v="883"/>
    <s v="Brian"/>
    <s v="Brent"/>
    <n v="2022"/>
    <n v="3"/>
    <n v="3.1"/>
    <n v="82"/>
    <n v="-11"/>
    <x v="1"/>
    <s v="Brian"/>
    <s v="TEXAROK"/>
    <s v="N"/>
  </r>
  <r>
    <n v="1394"/>
    <n v="544"/>
    <n v="572"/>
    <s v="Brent"/>
    <s v="Brian"/>
    <n v="2022"/>
    <n v="3"/>
    <n v="3.2"/>
    <n v="93"/>
    <n v="11"/>
    <x v="0"/>
    <s v="Brent"/>
    <s v="TEXAROK"/>
    <s v="N"/>
  </r>
  <r>
    <n v="1395"/>
    <n v="278"/>
    <n v="673"/>
    <s v="Watty"/>
    <s v="Michael"/>
    <n v="2022"/>
    <n v="3"/>
    <n v="4.0999999999999996"/>
    <n v="89"/>
    <n v="26"/>
    <x v="0"/>
    <s v="Watty"/>
    <s v="AKCOVA"/>
    <s v="N"/>
  </r>
  <r>
    <n v="1396"/>
    <n v="1255"/>
    <n v="1362"/>
    <s v="Michael"/>
    <s v="Watty"/>
    <n v="2022"/>
    <n v="3"/>
    <n v="4.2"/>
    <n v="63"/>
    <n v="-26"/>
    <x v="1"/>
    <s v="Michael"/>
    <s v="AKCOVA"/>
    <s v="N"/>
  </r>
  <r>
    <n v="1397"/>
    <n v="1478"/>
    <n v="1531"/>
    <s v="Arnold"/>
    <s v="Mark"/>
    <n v="2022"/>
    <n v="3"/>
    <n v="5.0999999999999996"/>
    <n v="43"/>
    <n v="-53"/>
    <x v="1"/>
    <s v="Arnold"/>
    <s v="AKCOVA"/>
    <s v="N"/>
  </r>
  <r>
    <n v="1398"/>
    <n v="63"/>
    <n v="493"/>
    <s v="Mark"/>
    <s v="Arnold"/>
    <n v="2022"/>
    <n v="3"/>
    <n v="5.2"/>
    <n v="96"/>
    <n v="53"/>
    <x v="0"/>
    <s v="Mark"/>
    <s v="AKCOVA"/>
    <s v="N"/>
  </r>
  <r>
    <n v="1399"/>
    <n v="451"/>
    <n v="710"/>
    <s v="Charles"/>
    <s v="BR"/>
    <n v="2022"/>
    <n v="3"/>
    <n v="6.1"/>
    <n v="88"/>
    <n v="16"/>
    <x v="0"/>
    <s v="Charles"/>
    <s v="AKCOVA"/>
    <s v="N"/>
  </r>
  <r>
    <n v="1400"/>
    <n v="1079"/>
    <n v="1198"/>
    <s v="BR"/>
    <s v="Charles"/>
    <n v="2022"/>
    <n v="3"/>
    <n v="6.2"/>
    <n v="72"/>
    <n v="-16"/>
    <x v="1"/>
    <s v="BR"/>
    <s v="AKCOVA"/>
    <s v="N"/>
  </r>
  <r>
    <n v="1401"/>
    <n v="134"/>
    <n v="493"/>
    <s v="Brian"/>
    <s v="Russell"/>
    <n v="2022"/>
    <n v="4"/>
    <n v="1.1000000000000001"/>
    <n v="96"/>
    <n v="39"/>
    <x v="0"/>
    <s v="Brian"/>
    <s v="TEXAROK"/>
    <s v="N"/>
  </r>
  <r>
    <n v="1402"/>
    <n v="1405"/>
    <n v="1452"/>
    <s v="Russell"/>
    <s v="Brian"/>
    <n v="2022"/>
    <n v="4"/>
    <n v="1.2"/>
    <n v="57"/>
    <n v="-39"/>
    <x v="1"/>
    <s v="Russell"/>
    <s v="TEXAROK"/>
    <s v="N"/>
  </r>
  <r>
    <n v="1403"/>
    <n v="966"/>
    <n v="271"/>
    <s v="Brent"/>
    <s v="David"/>
    <n v="2022"/>
    <n v="4"/>
    <n v="2.1"/>
    <n v="106"/>
    <n v="-10"/>
    <x v="1"/>
    <s v="Brent"/>
    <s v="TEXAROK"/>
    <s v="N"/>
  </r>
  <r>
    <n v="1404"/>
    <n v="563"/>
    <n v="138"/>
    <s v="David"/>
    <s v="Brent"/>
    <n v="2022"/>
    <n v="4"/>
    <n v="2.2000000000000002"/>
    <n v="116"/>
    <n v="10"/>
    <x v="0"/>
    <s v="David"/>
    <s v="TEXAROK"/>
    <s v="N"/>
  </r>
  <r>
    <n v="1405"/>
    <n v="260"/>
    <n v="391"/>
    <s v="Matt"/>
    <s v="Emily"/>
    <n v="2022"/>
    <n v="4"/>
    <n v="3.1"/>
    <n v="100"/>
    <n v="27"/>
    <x v="0"/>
    <s v="Matt"/>
    <s v="TEXAROK"/>
    <s v="N"/>
  </r>
  <r>
    <n v="1406"/>
    <n v="1268"/>
    <n v="1162"/>
    <s v="Emily"/>
    <s v="Matt"/>
    <n v="2022"/>
    <n v="4"/>
    <n v="3.2"/>
    <n v="73"/>
    <n v="-27"/>
    <x v="1"/>
    <s v="Emily"/>
    <s v="TEXAROK"/>
    <s v="N"/>
  </r>
  <r>
    <n v="1407"/>
    <n v="1222"/>
    <n v="1198"/>
    <s v="BR"/>
    <s v="Watty"/>
    <n v="2022"/>
    <n v="4"/>
    <n v="4.0999999999999996"/>
    <n v="72"/>
    <n v="-24"/>
    <x v="1"/>
    <s v="BR"/>
    <s v="AKCOVA"/>
    <s v="N"/>
  </r>
  <r>
    <n v="1408"/>
    <n v="310"/>
    <n v="493"/>
    <s v="Watty"/>
    <s v="BR"/>
    <n v="2022"/>
    <n v="4"/>
    <n v="4.2"/>
    <n v="96"/>
    <n v="24"/>
    <x v="0"/>
    <s v="Watty"/>
    <s v="AKCOVA"/>
    <s v="N"/>
  </r>
  <r>
    <n v="1409"/>
    <n v="503"/>
    <n v="651"/>
    <s v="Charles"/>
    <s v="Mark"/>
    <n v="2022"/>
    <n v="4"/>
    <n v="5.0999999999999996"/>
    <n v="90"/>
    <n v="13"/>
    <x v="0"/>
    <s v="Charles"/>
    <s v="AKCOVA"/>
    <s v="N"/>
  </r>
  <r>
    <n v="1410"/>
    <n v="1021"/>
    <n v="1044"/>
    <s v="Mark"/>
    <s v="Charles"/>
    <n v="2022"/>
    <n v="4"/>
    <n v="5.2"/>
    <n v="77"/>
    <n v="-13"/>
    <x v="1"/>
    <s v="Mark"/>
    <s v="AKCOVA"/>
    <s v="N"/>
  </r>
  <r>
    <n v="1411"/>
    <n v="236"/>
    <n v="44"/>
    <s v="Michael"/>
    <s v="Arnold"/>
    <n v="2022"/>
    <n v="4"/>
    <n v="6.1"/>
    <n v="131"/>
    <n v="29"/>
    <x v="0"/>
    <s v="Michael"/>
    <s v="AKCOVA"/>
    <s v="N"/>
  </r>
  <r>
    <n v="1412"/>
    <n v="1299"/>
    <n v="357"/>
    <s v="Arnold"/>
    <s v="Michael"/>
    <n v="2022"/>
    <n v="4"/>
    <n v="6.2"/>
    <n v="102"/>
    <n v="-29"/>
    <x v="1"/>
    <s v="Arnold"/>
    <s v="AKCOVA"/>
    <s v="N"/>
  </r>
  <r>
    <n v="1413"/>
    <n v="1382"/>
    <n v="1306"/>
    <s v="Russell"/>
    <s v="Matt"/>
    <n v="2022"/>
    <n v="5"/>
    <n v="1.1000000000000001"/>
    <n v="67"/>
    <n v="-37"/>
    <x v="1"/>
    <s v="Russell"/>
    <s v="TEXAROK"/>
    <s v="N"/>
  </r>
  <r>
    <n v="1414"/>
    <n v="153"/>
    <n v="311"/>
    <s v="Matt"/>
    <s v="Russell"/>
    <n v="2022"/>
    <n v="5"/>
    <n v="1.2"/>
    <n v="104"/>
    <n v="37"/>
    <x v="0"/>
    <s v="Matt"/>
    <s v="TEXAROK"/>
    <s v="N"/>
  </r>
  <r>
    <n v="1415"/>
    <n v="27"/>
    <n v="78"/>
    <s v="Brian"/>
    <s v="David"/>
    <n v="2022"/>
    <n v="5"/>
    <n v="2.1"/>
    <n v="124"/>
    <n v="65"/>
    <x v="0"/>
    <s v="Brian"/>
    <s v="TEXAROK"/>
    <s v="N"/>
  </r>
  <r>
    <n v="1416"/>
    <n v="1518"/>
    <n v="1421"/>
    <s v="David"/>
    <s v="Brian"/>
    <n v="2022"/>
    <n v="5"/>
    <n v="2.2000000000000002"/>
    <n v="59"/>
    <n v="-65"/>
    <x v="1"/>
    <s v="David"/>
    <s v="TEXAROK"/>
    <s v="N"/>
  </r>
  <r>
    <n v="1417"/>
    <n v="966"/>
    <n v="984"/>
    <s v="Emily"/>
    <s v="Brent"/>
    <n v="2022"/>
    <n v="5"/>
    <n v="3.1"/>
    <n v="79"/>
    <n v="-10"/>
    <x v="1"/>
    <s v="Emily"/>
    <s v="TEXAROK"/>
    <s v="N"/>
  </r>
  <r>
    <n v="1418"/>
    <n v="563"/>
    <n v="673"/>
    <s v="Brent"/>
    <s v="Emily"/>
    <n v="2022"/>
    <n v="5"/>
    <n v="3.2"/>
    <n v="89"/>
    <n v="10"/>
    <x v="0"/>
    <s v="Brent"/>
    <s v="TEXAROK"/>
    <s v="N"/>
  </r>
  <r>
    <n v="1419"/>
    <n v="1079"/>
    <n v="1162"/>
    <s v="Arnold"/>
    <s v="Watty"/>
    <n v="2022"/>
    <n v="5"/>
    <n v="4.0999999999999996"/>
    <n v="73"/>
    <n v="-16"/>
    <x v="1"/>
    <s v="Arnold"/>
    <s v="AKCOVA"/>
    <s v="N"/>
  </r>
  <r>
    <n v="1420"/>
    <n v="451"/>
    <n v="673"/>
    <s v="Watty"/>
    <s v="Arnold"/>
    <n v="2022"/>
    <n v="5"/>
    <n v="4.2"/>
    <n v="89"/>
    <n v="16"/>
    <x v="0"/>
    <s v="Watty"/>
    <s v="AKCOVA"/>
    <s v="N"/>
  </r>
  <r>
    <n v="1421"/>
    <n v="1197"/>
    <n v="391"/>
    <s v="Mark"/>
    <s v="BR"/>
    <n v="2022"/>
    <n v="5"/>
    <n v="5.0999999999999996"/>
    <n v="100"/>
    <n v="-22"/>
    <x v="1"/>
    <s v="Mark"/>
    <s v="AKCOVA"/>
    <s v="N"/>
  </r>
  <r>
    <n v="1422"/>
    <n v="338"/>
    <n v="89"/>
    <s v="BR"/>
    <s v="Mark"/>
    <n v="2022"/>
    <n v="5"/>
    <n v="5.2"/>
    <n v="122"/>
    <n v="22"/>
    <x v="0"/>
    <s v="BR"/>
    <s v="AKCOVA"/>
    <s v="N"/>
  </r>
  <r>
    <n v="1423"/>
    <n v="483"/>
    <n v="461"/>
    <s v="Michael"/>
    <s v="Charles"/>
    <n v="2022"/>
    <n v="5"/>
    <n v="6.1"/>
    <n v="97"/>
    <n v="14"/>
    <x v="0"/>
    <s v="Michael"/>
    <s v="AKCOVA"/>
    <s v="N"/>
  </r>
  <r>
    <n v="1424"/>
    <n v="1043"/>
    <n v="852"/>
    <s v="Charles"/>
    <s v="Michael"/>
    <n v="2022"/>
    <n v="5"/>
    <n v="6.2"/>
    <n v="83"/>
    <n v="-14"/>
    <x v="1"/>
    <s v="Charles"/>
    <s v="AKCOVA"/>
    <s v="N"/>
  </r>
  <r>
    <n v="1425"/>
    <n v="596"/>
    <n v="1044"/>
    <s v="Russell"/>
    <s v="Brent"/>
    <n v="2022"/>
    <n v="6"/>
    <n v="1.1000000000000001"/>
    <n v="77"/>
    <n v="8"/>
    <x v="0"/>
    <s v="Russell"/>
    <s v="TEXAROK"/>
    <s v="N"/>
  </r>
  <r>
    <n v="1426"/>
    <n v="924"/>
    <n v="1265"/>
    <s v="Brent"/>
    <s v="Russell"/>
    <n v="2022"/>
    <n v="6"/>
    <n v="1.2"/>
    <n v="69"/>
    <n v="-8"/>
    <x v="1"/>
    <s v="Brent"/>
    <s v="TEXAROK"/>
    <s v="N"/>
  </r>
  <r>
    <n v="1427"/>
    <n v="278"/>
    <n v="1076"/>
    <s v="Emily"/>
    <s v="David"/>
    <n v="2022"/>
    <n v="6"/>
    <n v="2.1"/>
    <n v="76"/>
    <n v="26"/>
    <x v="0"/>
    <s v="Emily"/>
    <s v="TEXAROK"/>
    <s v="N"/>
  </r>
  <r>
    <n v="1428"/>
    <n v="1255"/>
    <n v="1505"/>
    <s v="David"/>
    <s v="Emily"/>
    <n v="2022"/>
    <n v="6"/>
    <n v="2.2000000000000002"/>
    <n v="50"/>
    <n v="-26"/>
    <x v="1"/>
    <s v="David"/>
    <s v="TEXAROK"/>
    <s v="N"/>
  </r>
  <r>
    <n v="1429"/>
    <n v="1197"/>
    <n v="1406"/>
    <s v="Matt"/>
    <s v="Brian"/>
    <n v="2022"/>
    <n v="6"/>
    <n v="3.1"/>
    <n v="60"/>
    <n v="-22"/>
    <x v="1"/>
    <s v="Matt"/>
    <s v="TEXAROK"/>
    <s v="N"/>
  </r>
  <r>
    <n v="1430"/>
    <n v="338"/>
    <n v="883"/>
    <s v="Brian"/>
    <s v="Matt"/>
    <n v="2022"/>
    <n v="6"/>
    <n v="3.2"/>
    <n v="82"/>
    <n v="22"/>
    <x v="0"/>
    <s v="Brian"/>
    <s v="TEXAROK"/>
    <s v="N"/>
  </r>
  <r>
    <n v="1431"/>
    <n v="503"/>
    <n v="1333"/>
    <s v="Charles"/>
    <s v="Watty"/>
    <n v="2022"/>
    <n v="6"/>
    <n v="4.0999999999999996"/>
    <n v="65"/>
    <n v="13"/>
    <x v="0"/>
    <s v="Charles"/>
    <s v="AKCOVA"/>
    <s v="N"/>
  </r>
  <r>
    <n v="1432"/>
    <n v="1021"/>
    <n v="1492"/>
    <s v="Watty"/>
    <s v="Charles"/>
    <n v="2022"/>
    <n v="6"/>
    <n v="4.2"/>
    <n v="52"/>
    <n v="-13"/>
    <x v="1"/>
    <s v="Watty"/>
    <s v="AKCOVA"/>
    <s v="N"/>
  </r>
  <r>
    <n v="1433"/>
    <n v="1197"/>
    <n v="375"/>
    <s v="Michael"/>
    <s v="Mark"/>
    <n v="2022"/>
    <n v="6"/>
    <n v="5.0999999999999996"/>
    <n v="101"/>
    <n v="-22"/>
    <x v="1"/>
    <s v="Michael"/>
    <s v="AKCOVA"/>
    <s v="N"/>
  </r>
  <r>
    <n v="1434"/>
    <n v="338"/>
    <n v="88"/>
    <s v="Mark"/>
    <s v="Michael"/>
    <n v="2022"/>
    <n v="6"/>
    <n v="5.2"/>
    <n v="123"/>
    <n v="22"/>
    <x v="0"/>
    <s v="Mark"/>
    <s v="AKCOVA"/>
    <s v="N"/>
  </r>
  <r>
    <n v="1435"/>
    <n v="178"/>
    <n v="414"/>
    <s v="BR"/>
    <s v="Arnold"/>
    <n v="2022"/>
    <n v="6"/>
    <n v="6.1"/>
    <n v="99"/>
    <n v="34"/>
    <x v="0"/>
    <s v="BR"/>
    <s v="AKCOVA"/>
    <s v="N"/>
  </r>
  <r>
    <n v="1436"/>
    <n v="1362"/>
    <n v="1333"/>
    <s v="Arnold"/>
    <s v="BR"/>
    <n v="2022"/>
    <n v="6"/>
    <n v="6.2"/>
    <n v="65"/>
    <n v="-34"/>
    <x v="1"/>
    <s v="Arnold"/>
    <s v="AKCOVA"/>
    <s v="N"/>
  </r>
  <r>
    <n v="1437"/>
    <n v="178"/>
    <n v="461"/>
    <s v="Watty"/>
    <s v="Russell"/>
    <n v="2022"/>
    <n v="7"/>
    <n v="1.1000000000000001"/>
    <n v="97"/>
    <n v="34"/>
    <x v="0"/>
    <s v="Watty"/>
    <s v="AKCOVA"/>
    <s v="Y"/>
  </r>
  <r>
    <n v="1438"/>
    <n v="1362"/>
    <n v="1362"/>
    <s v="Russell"/>
    <s v="Watty"/>
    <n v="2022"/>
    <n v="7"/>
    <n v="1.2"/>
    <n v="63"/>
    <n v="-34"/>
    <x v="1"/>
    <s v="Russell"/>
    <s v="TEXAROK"/>
    <s v="Y"/>
  </r>
  <r>
    <n v="1439"/>
    <n v="596"/>
    <n v="796"/>
    <s v="Mark"/>
    <s v="David"/>
    <n v="2022"/>
    <n v="7"/>
    <n v="2.1"/>
    <n v="85"/>
    <n v="8"/>
    <x v="0"/>
    <s v="Mark"/>
    <s v="AKCOVA"/>
    <s v="Y"/>
  </r>
  <r>
    <n v="1440"/>
    <n v="924"/>
    <n v="1044"/>
    <s v="David"/>
    <s v="Mark"/>
    <n v="2022"/>
    <n v="7"/>
    <n v="2.2000000000000002"/>
    <n v="77"/>
    <n v="-8"/>
    <x v="1"/>
    <s v="David"/>
    <s v="TEXAROK"/>
    <s v="Y"/>
  </r>
  <r>
    <n v="1441"/>
    <n v="112"/>
    <n v="288"/>
    <s v="Michael"/>
    <s v="Emily"/>
    <n v="2022"/>
    <n v="7"/>
    <n v="3.1"/>
    <n v="105"/>
    <n v="42"/>
    <x v="0"/>
    <s v="Michael"/>
    <s v="AKCOVA"/>
    <s v="Y"/>
  </r>
  <r>
    <n v="1442"/>
    <n v="1427"/>
    <n v="1362"/>
    <s v="Emily"/>
    <s v="Michael"/>
    <n v="2022"/>
    <n v="7"/>
    <n v="3.2"/>
    <n v="63"/>
    <n v="-42"/>
    <x v="1"/>
    <s v="Emily"/>
    <s v="TEXAROK"/>
    <s v="Y"/>
  </r>
  <r>
    <n v="1443"/>
    <n v="1412"/>
    <n v="1265"/>
    <s v="BR"/>
    <s v="Brian"/>
    <n v="2022"/>
    <n v="7"/>
    <n v="4.0999999999999996"/>
    <n v="69"/>
    <n v="-40"/>
    <x v="1"/>
    <s v="BR"/>
    <s v="AKCOVA"/>
    <s v="Y"/>
  </r>
  <r>
    <n v="1444"/>
    <n v="124"/>
    <n v="222"/>
    <s v="Brian"/>
    <s v="BR"/>
    <n v="2022"/>
    <n v="7"/>
    <n v="4.2"/>
    <n v="109"/>
    <n v="40"/>
    <x v="0"/>
    <s v="Brian"/>
    <s v="TEXAROK"/>
    <s v="Y"/>
  </r>
  <r>
    <n v="1445"/>
    <n v="247"/>
    <n v="819"/>
    <s v="Arnold"/>
    <s v="Matt"/>
    <n v="2022"/>
    <n v="7"/>
    <n v="5.0999999999999996"/>
    <n v="84"/>
    <n v="28"/>
    <x v="0"/>
    <s v="Arnold"/>
    <s v="AKCOVA"/>
    <s v="Y"/>
  </r>
  <r>
    <n v="1446"/>
    <n v="1286"/>
    <n v="1465"/>
    <s v="Matt"/>
    <s v="Arnold"/>
    <n v="2022"/>
    <n v="7"/>
    <n v="5.2"/>
    <n v="56"/>
    <n v="-28"/>
    <x v="1"/>
    <s v="Matt"/>
    <s v="TEXAROK"/>
    <s v="Y"/>
  </r>
  <r>
    <n v="1447"/>
    <n v="1393"/>
    <n v="1478"/>
    <s v="Charles"/>
    <s v="Brent"/>
    <n v="2022"/>
    <n v="7"/>
    <n v="6.1"/>
    <n v="54"/>
    <n v="-38"/>
    <x v="1"/>
    <s v="Charles"/>
    <s v="AKCOVA"/>
    <s v="Y"/>
  </r>
  <r>
    <n v="1448"/>
    <n v="141"/>
    <n v="599"/>
    <s v="Brent"/>
    <s v="Charles"/>
    <n v="2022"/>
    <n v="7"/>
    <n v="6.2"/>
    <n v="92"/>
    <n v="38"/>
    <x v="0"/>
    <s v="Brent"/>
    <s v="TEXAROK"/>
    <s v="Y"/>
  </r>
  <r>
    <n v="1449"/>
    <n v="194"/>
    <n v="311"/>
    <s v="Russell"/>
    <s v="Mark"/>
    <n v="2022"/>
    <n v="8"/>
    <n v="1.1000000000000001"/>
    <n v="104"/>
    <n v="32"/>
    <x v="0"/>
    <s v="Russell"/>
    <s v="TEXAROK"/>
    <s v="Y"/>
  </r>
  <r>
    <n v="1450"/>
    <n v="1341"/>
    <n v="1198"/>
    <s v="Mark"/>
    <s v="Russell"/>
    <n v="2022"/>
    <n v="8"/>
    <n v="1.2"/>
    <n v="72"/>
    <n v="-32"/>
    <x v="1"/>
    <s v="Mark"/>
    <s v="AKCOVA"/>
    <s v="Y"/>
  </r>
  <r>
    <n v="1451"/>
    <n v="723"/>
    <n v="239"/>
    <s v="David"/>
    <s v="Watty"/>
    <n v="2022"/>
    <n v="8"/>
    <n v="2.1"/>
    <n v="108"/>
    <n v="2"/>
    <x v="0"/>
    <s v="David"/>
    <s v="TEXAROK"/>
    <s v="Y"/>
  </r>
  <r>
    <n v="1452"/>
    <n v="805"/>
    <n v="271"/>
    <s v="Watty"/>
    <s v="David"/>
    <n v="2022"/>
    <n v="8"/>
    <n v="2.2000000000000002"/>
    <n v="106"/>
    <n v="-2"/>
    <x v="1"/>
    <s v="Watty"/>
    <s v="AKCOVA"/>
    <s v="Y"/>
  </r>
  <r>
    <n v="1453"/>
    <n v="373"/>
    <n v="357"/>
    <s v="Emily"/>
    <s v="BR"/>
    <n v="2022"/>
    <n v="8"/>
    <n v="3.1"/>
    <n v="102"/>
    <n v="20"/>
    <x v="0"/>
    <s v="Emily"/>
    <s v="TEXAROK"/>
    <s v="Y"/>
  </r>
  <r>
    <n v="1454"/>
    <n v="1148"/>
    <n v="883"/>
    <s v="BR"/>
    <s v="Emily"/>
    <n v="2022"/>
    <n v="8"/>
    <n v="3.2"/>
    <n v="82"/>
    <n v="-20"/>
    <x v="1"/>
    <s v="BR"/>
    <s v="AKCOVA"/>
    <s v="Y"/>
  </r>
  <r>
    <n v="1455"/>
    <n v="1043"/>
    <n v="627"/>
    <s v="Brian"/>
    <s v="Arnold"/>
    <n v="2022"/>
    <n v="8"/>
    <n v="4.0999999999999996"/>
    <n v="91"/>
    <n v="-14"/>
    <x v="1"/>
    <s v="Brian"/>
    <s v="TEXAROK"/>
    <s v="Y"/>
  </r>
  <r>
    <n v="1456"/>
    <n v="483"/>
    <n v="288"/>
    <s v="Arnold"/>
    <s v="Brian"/>
    <n v="2022"/>
    <n v="8"/>
    <n v="4.2"/>
    <n v="105"/>
    <n v="14"/>
    <x v="0"/>
    <s v="Arnold"/>
    <s v="AKCOVA"/>
    <s v="Y"/>
  </r>
  <r>
    <n v="1457"/>
    <n v="643"/>
    <n v="357"/>
    <s v="Matt"/>
    <s v="Charles"/>
    <n v="2022"/>
    <n v="8"/>
    <n v="5.0999999999999996"/>
    <n v="102"/>
    <n v="6"/>
    <x v="0"/>
    <s v="Matt"/>
    <s v="TEXAROK"/>
    <s v="Y"/>
  </r>
  <r>
    <n v="1458"/>
    <n v="882"/>
    <n v="493"/>
    <s v="Charles"/>
    <s v="Matt"/>
    <n v="2022"/>
    <n v="8"/>
    <n v="5.2"/>
    <n v="96"/>
    <n v="-6"/>
    <x v="1"/>
    <s v="Charles"/>
    <s v="AKCOVA"/>
    <s v="Y"/>
  </r>
  <r>
    <n v="1459"/>
    <n v="34"/>
    <n v="17"/>
    <s v="Brent"/>
    <s v="Michael"/>
    <n v="2022"/>
    <n v="8"/>
    <n v="6.1"/>
    <n v="142"/>
    <n v="62"/>
    <x v="0"/>
    <s v="Brent"/>
    <s v="TEXAROK"/>
    <s v="Y"/>
  </r>
  <r>
    <n v="1460"/>
    <n v="1511"/>
    <n v="956"/>
    <s v="Michael"/>
    <s v="Brent"/>
    <n v="2022"/>
    <n v="8"/>
    <n v="6.2"/>
    <n v="80"/>
    <n v="-62"/>
    <x v="1"/>
    <s v="Michael"/>
    <s v="AKCOVA"/>
    <s v="Y"/>
  </r>
  <r>
    <n v="1461"/>
    <n v="324"/>
    <n v="414"/>
    <s v="Michael"/>
    <s v="Russell"/>
    <n v="2022"/>
    <n v="9"/>
    <n v="1.1000000000000001"/>
    <n v="99"/>
    <n v="23"/>
    <x v="0"/>
    <s v="Michael"/>
    <s v="AKCOVA"/>
    <s v="Y"/>
  </r>
  <r>
    <n v="1462"/>
    <n v="1208"/>
    <n v="1076"/>
    <s v="Russell"/>
    <s v="Michael"/>
    <n v="2022"/>
    <n v="9"/>
    <n v="1.2"/>
    <n v="76"/>
    <n v="-23"/>
    <x v="1"/>
    <s v="Russell"/>
    <s v="TEXAROK"/>
    <s v="Y"/>
  </r>
  <r>
    <n v="1463"/>
    <n v="1063"/>
    <n v="1421"/>
    <s v="BR"/>
    <s v="David"/>
    <n v="2022"/>
    <n v="9"/>
    <n v="2.1"/>
    <n v="59"/>
    <n v="-15"/>
    <x v="1"/>
    <s v="BR"/>
    <s v="AKCOVA"/>
    <s v="Y"/>
  </r>
  <r>
    <n v="1464"/>
    <n v="467"/>
    <n v="1135"/>
    <s v="David"/>
    <s v="BR"/>
    <n v="2022"/>
    <n v="9"/>
    <n v="2.2000000000000002"/>
    <n v="74"/>
    <n v="15"/>
    <x v="0"/>
    <s v="David"/>
    <s v="TEXAROK"/>
    <s v="Y"/>
  </r>
  <r>
    <n v="1465"/>
    <n v="467"/>
    <n v="796"/>
    <s v="Arnold"/>
    <s v="Emily"/>
    <n v="2022"/>
    <n v="9"/>
    <n v="3.1"/>
    <n v="85"/>
    <n v="15"/>
    <x v="0"/>
    <s v="Arnold"/>
    <s v="AKCOVA"/>
    <s v="Y"/>
  </r>
  <r>
    <n v="1466"/>
    <n v="1063"/>
    <n v="1243"/>
    <s v="Emily"/>
    <s v="Arnold"/>
    <n v="2022"/>
    <n v="9"/>
    <n v="3.2"/>
    <n v="70"/>
    <n v="-15"/>
    <x v="1"/>
    <s v="Emily"/>
    <s v="TEXAROK"/>
    <s v="Y"/>
  </r>
  <r>
    <n v="1467"/>
    <n v="1495"/>
    <n v="819"/>
    <s v="Charles"/>
    <s v="Brian"/>
    <n v="2022"/>
    <n v="9"/>
    <n v="4.0999999999999996"/>
    <n v="84"/>
    <n v="-58"/>
    <x v="1"/>
    <s v="Charles"/>
    <s v="AKCOVA"/>
    <s v="Y"/>
  </r>
  <r>
    <n v="1468"/>
    <n v="43"/>
    <n v="17"/>
    <s v="Brian"/>
    <s v="Charles"/>
    <n v="2022"/>
    <n v="9"/>
    <n v="4.2"/>
    <n v="142"/>
    <n v="58"/>
    <x v="0"/>
    <s v="Brian"/>
    <s v="TEXAROK"/>
    <s v="Y"/>
  </r>
  <r>
    <n v="1469"/>
    <n v="173"/>
    <n v="461"/>
    <s v="Watty"/>
    <s v="Matt"/>
    <n v="2022"/>
    <n v="9"/>
    <n v="5.0999999999999996"/>
    <n v="97"/>
    <n v="35"/>
    <x v="0"/>
    <s v="Watty"/>
    <s v="AKCOVA"/>
    <s v="Y"/>
  </r>
  <r>
    <n v="1470"/>
    <n v="1368"/>
    <n v="1383"/>
    <s v="Matt"/>
    <s v="Watty"/>
    <n v="2022"/>
    <n v="9"/>
    <n v="5.2"/>
    <n v="62"/>
    <n v="-35"/>
    <x v="1"/>
    <s v="Matt"/>
    <s v="TEXAROK"/>
    <s v="Y"/>
  </r>
  <r>
    <n v="1471"/>
    <n v="1326"/>
    <n v="883"/>
    <s v="Mark"/>
    <s v="Brent"/>
    <n v="2022"/>
    <n v="9"/>
    <n v="6.1"/>
    <n v="82"/>
    <n v="-31"/>
    <x v="1"/>
    <s v="Mark"/>
    <s v="AKCOVA"/>
    <s v="Y"/>
  </r>
  <r>
    <n v="1472"/>
    <n v="205"/>
    <n v="163"/>
    <s v="Brent"/>
    <s v="Mark"/>
    <n v="2022"/>
    <n v="9"/>
    <n v="6.2"/>
    <n v="113"/>
    <n v="31"/>
    <x v="0"/>
    <s v="Brent"/>
    <s v="TEXAROK"/>
    <s v="Y"/>
  </r>
  <r>
    <n v="1473"/>
    <n v="164"/>
    <n v="288"/>
    <s v="Russell"/>
    <s v="BR"/>
    <n v="2022"/>
    <n v="10"/>
    <n v="1.1000000000000001"/>
    <n v="105"/>
    <n v="36"/>
    <x v="0"/>
    <s v="Russell"/>
    <s v="TEXAROK"/>
    <s v="Y"/>
  </r>
  <r>
    <n v="1474"/>
    <n v="1373"/>
    <n v="1265"/>
    <s v="BR"/>
    <s v="Russell"/>
    <n v="2022"/>
    <n v="10"/>
    <n v="1.2"/>
    <n v="69"/>
    <n v="-36"/>
    <x v="1"/>
    <s v="BR"/>
    <s v="AKCOVA"/>
    <s v="Y"/>
  </r>
  <r>
    <n v="1475"/>
    <n v="622"/>
    <n v="1076"/>
    <s v="David"/>
    <s v="Michael"/>
    <n v="2022"/>
    <n v="10"/>
    <n v="2.1"/>
    <n v="76"/>
    <n v="7"/>
    <x v="0"/>
    <s v="David"/>
    <s v="TEXAROK"/>
    <s v="Y"/>
  </r>
  <r>
    <n v="1476"/>
    <n v="903"/>
    <n v="1265"/>
    <s v="Michael"/>
    <s v="David"/>
    <n v="2022"/>
    <n v="10"/>
    <n v="2.2000000000000002"/>
    <n v="69"/>
    <n v="-7"/>
    <x v="1"/>
    <s v="Michael"/>
    <s v="AKCOVA"/>
    <s v="Y"/>
  </r>
  <r>
    <n v="1477"/>
    <n v="924"/>
    <n v="1117"/>
    <s v="Emily"/>
    <s v="Charles"/>
    <n v="2022"/>
    <n v="10"/>
    <n v="3.1"/>
    <n v="75"/>
    <n v="-8"/>
    <x v="1"/>
    <s v="Emily"/>
    <s v="TEXAROK"/>
    <s v="Y"/>
  </r>
  <r>
    <n v="1478"/>
    <n v="596"/>
    <n v="852"/>
    <s v="Charles"/>
    <s v="Emily"/>
    <n v="2022"/>
    <n v="10"/>
    <n v="3.2"/>
    <n v="83"/>
    <n v="8"/>
    <x v="0"/>
    <s v="Charles"/>
    <s v="AKCOVA"/>
    <s v="Y"/>
  </r>
  <r>
    <n v="1479"/>
    <n v="882"/>
    <n v="627"/>
    <s v="Brian"/>
    <s v="Watty"/>
    <n v="2022"/>
    <n v="10"/>
    <n v="4.0999999999999996"/>
    <n v="91"/>
    <n v="-6"/>
    <x v="1"/>
    <s v="Brian"/>
    <s v="TEXAROK"/>
    <s v="Y"/>
  </r>
  <r>
    <n v="1480"/>
    <n v="643"/>
    <n v="461"/>
    <s v="Watty"/>
    <s v="Brian"/>
    <n v="2022"/>
    <n v="10"/>
    <n v="4.2"/>
    <n v="97"/>
    <n v="6"/>
    <x v="0"/>
    <s v="Watty"/>
    <s v="AKCOVA"/>
    <s v="Y"/>
  </r>
  <r>
    <n v="1481"/>
    <n v="780"/>
    <n v="1162"/>
    <s v="Matt"/>
    <s v="Mark"/>
    <n v="2022"/>
    <n v="10"/>
    <n v="5.0999999999999996"/>
    <n v="73"/>
    <n v="-1"/>
    <x v="1"/>
    <s v="Matt"/>
    <s v="TEXAROK"/>
    <s v="Y"/>
  </r>
  <r>
    <n v="1482"/>
    <n v="741"/>
    <n v="1135"/>
    <s v="Mark"/>
    <s v="Matt"/>
    <n v="2022"/>
    <n v="10"/>
    <n v="5.2"/>
    <n v="74"/>
    <n v="1"/>
    <x v="0"/>
    <s v="Mark"/>
    <s v="AKCOVA"/>
    <s v="Y"/>
  </r>
  <r>
    <n v="1483"/>
    <n v="324"/>
    <n v="146"/>
    <s v="Brent"/>
    <s v="Arnold"/>
    <n v="2022"/>
    <n v="10"/>
    <n v="6.1"/>
    <n v="115"/>
    <n v="23"/>
    <x v="0"/>
    <s v="Brent"/>
    <s v="TEXAROK"/>
    <s v="Y"/>
  </r>
  <r>
    <n v="1484"/>
    <n v="1208"/>
    <n v="599"/>
    <s v="Arnold"/>
    <s v="Brent"/>
    <n v="2022"/>
    <n v="10"/>
    <n v="6.2"/>
    <n v="92"/>
    <n v="-23"/>
    <x v="1"/>
    <s v="Arnold"/>
    <s v="AKCOVA"/>
    <s v="Y"/>
  </r>
  <r>
    <n v="1485"/>
    <n v="236"/>
    <n v="130"/>
    <s v="Arnold"/>
    <s v="Russell"/>
    <n v="2022"/>
    <n v="11"/>
    <n v="1.1000000000000001"/>
    <n v="117"/>
    <n v="29"/>
    <x v="0"/>
    <s v="Arnold"/>
    <s v="AKCOVA"/>
    <s v="Y"/>
  </r>
  <r>
    <n v="1486"/>
    <n v="1299"/>
    <n v="710"/>
    <s v="Russell"/>
    <s v="Arnold"/>
    <n v="2022"/>
    <n v="11"/>
    <n v="1.2"/>
    <n v="88"/>
    <n v="-29"/>
    <x v="1"/>
    <s v="Russell"/>
    <s v="TEXAROK"/>
    <s v="Y"/>
  </r>
  <r>
    <n v="1487"/>
    <n v="205"/>
    <n v="311"/>
    <s v="Charles"/>
    <s v="David"/>
    <n v="2022"/>
    <n v="11"/>
    <n v="2.1"/>
    <n v="104"/>
    <n v="31"/>
    <x v="0"/>
    <s v="Charles"/>
    <s v="AKCOVA"/>
    <s v="Y"/>
  </r>
  <r>
    <n v="1488"/>
    <n v="1326"/>
    <n v="1162"/>
    <s v="David"/>
    <s v="Charles"/>
    <n v="2022"/>
    <n v="11"/>
    <n v="2.2000000000000002"/>
    <n v="73"/>
    <n v="-31"/>
    <x v="1"/>
    <s v="David"/>
    <s v="TEXAROK"/>
    <s v="Y"/>
  </r>
  <r>
    <n v="1489"/>
    <n v="310"/>
    <n v="357"/>
    <s v="Watty"/>
    <s v="Emily"/>
    <n v="2022"/>
    <n v="11"/>
    <n v="3.1"/>
    <n v="102"/>
    <n v="24"/>
    <x v="0"/>
    <s v="Watty"/>
    <s v="AKCOVA"/>
    <s v="Y"/>
  </r>
  <r>
    <n v="1490"/>
    <n v="1222"/>
    <n v="1012"/>
    <s v="Emily"/>
    <s v="Watty"/>
    <n v="2022"/>
    <n v="11"/>
    <n v="3.2"/>
    <n v="78"/>
    <n v="-24"/>
    <x v="1"/>
    <s v="Emily"/>
    <s v="TEXAROK"/>
    <s v="Y"/>
  </r>
  <r>
    <n v="1491"/>
    <n v="324"/>
    <n v="357"/>
    <s v="Mark"/>
    <s v="Brian"/>
    <n v="2022"/>
    <n v="11"/>
    <n v="4.0999999999999996"/>
    <n v="102"/>
    <n v="23"/>
    <x v="0"/>
    <s v="Mark"/>
    <s v="AKCOVA"/>
    <s v="Y"/>
  </r>
  <r>
    <n v="1492"/>
    <n v="1208"/>
    <n v="984"/>
    <s v="Brian"/>
    <s v="Mark"/>
    <n v="2022"/>
    <n v="11"/>
    <n v="4.2"/>
    <n v="79"/>
    <n v="-23"/>
    <x v="1"/>
    <s v="Brian"/>
    <s v="TEXAROK"/>
    <s v="Y"/>
  </r>
  <r>
    <n v="1493"/>
    <n v="1021"/>
    <n v="1224"/>
    <s v="Michael"/>
    <s v="Matt"/>
    <n v="2022"/>
    <n v="11"/>
    <n v="5.0999999999999996"/>
    <n v="71"/>
    <n v="-13"/>
    <x v="1"/>
    <s v="Michael"/>
    <s v="AKCOVA"/>
    <s v="Y"/>
  </r>
  <r>
    <n v="1494"/>
    <n v="503"/>
    <n v="819"/>
    <s v="Matt"/>
    <s v="Michael"/>
    <n v="2022"/>
    <n v="11"/>
    <n v="5.2"/>
    <n v="84"/>
    <n v="13"/>
    <x v="0"/>
    <s v="Matt"/>
    <s v="TEXAROK"/>
    <s v="Y"/>
  </r>
  <r>
    <n v="1495"/>
    <n v="924"/>
    <n v="1162"/>
    <s v="BR"/>
    <s v="Brent"/>
    <n v="2022"/>
    <n v="11"/>
    <n v="6.1"/>
    <n v="73"/>
    <n v="-8"/>
    <x v="1"/>
    <s v="BR"/>
    <s v="AKCOVA"/>
    <s v="Y"/>
  </r>
  <r>
    <n v="1496"/>
    <n v="596"/>
    <n v="924"/>
    <s v="Brent"/>
    <s v="BR"/>
    <n v="2022"/>
    <n v="11"/>
    <n v="6.2"/>
    <n v="81"/>
    <n v="8"/>
    <x v="0"/>
    <s v="Brent"/>
    <s v="TEXAROK"/>
    <s v="Y"/>
  </r>
  <r>
    <n v="1497"/>
    <n v="843"/>
    <n v="710"/>
    <s v="Russell"/>
    <s v="Charles"/>
    <n v="2022"/>
    <n v="12"/>
    <n v="1.1000000000000001"/>
    <n v="88"/>
    <n v="-4"/>
    <x v="1"/>
    <s v="Russell"/>
    <s v="TEXAROK"/>
    <s v="Y"/>
  </r>
  <r>
    <n v="1498"/>
    <n v="679"/>
    <n v="599"/>
    <s v="Charles"/>
    <s v="Russell"/>
    <n v="2022"/>
    <n v="12"/>
    <n v="1.2"/>
    <n v="92"/>
    <n v="4"/>
    <x v="0"/>
    <s v="Charles"/>
    <s v="AKCOVA"/>
    <s v="Y"/>
  </r>
  <r>
    <n v="1499"/>
    <n v="780"/>
    <n v="518"/>
    <s v="David"/>
    <s v="Arnold"/>
    <n v="2022"/>
    <n v="12"/>
    <n v="2.1"/>
    <n v="95"/>
    <n v="-1"/>
    <x v="1"/>
    <s v="David"/>
    <s v="TEXAROK"/>
    <s v="Y"/>
  </r>
  <r>
    <n v="1500"/>
    <n v="741"/>
    <n v="493"/>
    <s v="Arnold"/>
    <s v="David"/>
    <n v="2022"/>
    <n v="12"/>
    <n v="2.2000000000000002"/>
    <n v="96"/>
    <n v="1"/>
    <x v="0"/>
    <s v="Arnold"/>
    <s v="AKCOVA"/>
    <s v="Y"/>
  </r>
  <r>
    <n v="1501"/>
    <n v="580"/>
    <n v="288"/>
    <s v="Emily"/>
    <s v="Mark"/>
    <n v="2022"/>
    <n v="12"/>
    <n v="3.1"/>
    <n v="105"/>
    <n v="9"/>
    <x v="0"/>
    <s v="Emily"/>
    <s v="TEXAROK"/>
    <s v="Y"/>
  </r>
  <r>
    <n v="1502"/>
    <n v="950"/>
    <n v="493"/>
    <s v="Mark"/>
    <s v="Emily"/>
    <n v="2022"/>
    <n v="12"/>
    <n v="3.2"/>
    <n v="96"/>
    <n v="-9"/>
    <x v="1"/>
    <s v="Mark"/>
    <s v="AKCOVA"/>
    <s v="Y"/>
  </r>
  <r>
    <n v="1503"/>
    <n v="580"/>
    <n v="357"/>
    <s v="Brian"/>
    <s v="Michael"/>
    <n v="2022"/>
    <n v="12"/>
    <n v="4.0999999999999996"/>
    <n v="102"/>
    <n v="9"/>
    <x v="0"/>
    <s v="Brian"/>
    <s v="TEXAROK"/>
    <s v="Y"/>
  </r>
  <r>
    <n v="1504"/>
    <n v="950"/>
    <n v="572"/>
    <s v="Michael"/>
    <s v="Brian"/>
    <n v="2022"/>
    <n v="12"/>
    <n v="4.2"/>
    <n v="93"/>
    <n v="-9"/>
    <x v="1"/>
    <s v="Michael"/>
    <s v="AKCOVA"/>
    <s v="Y"/>
  </r>
  <r>
    <n v="1505"/>
    <n v="1173"/>
    <n v="1406"/>
    <s v="Matt"/>
    <s v="BR"/>
    <n v="2022"/>
    <n v="12"/>
    <n v="5.0999999999999996"/>
    <n v="60"/>
    <n v="-21"/>
    <x v="1"/>
    <s v="Matt"/>
    <s v="TEXAROK"/>
    <s v="Y"/>
  </r>
  <r>
    <n v="1506"/>
    <n v="349"/>
    <n v="924"/>
    <s v="BR"/>
    <s v="Matt"/>
    <n v="2022"/>
    <n v="12"/>
    <n v="5.2"/>
    <n v="81"/>
    <n v="21"/>
    <x v="0"/>
    <s v="BR"/>
    <s v="AKCOVA"/>
    <s v="Y"/>
  </r>
  <r>
    <n v="1507"/>
    <n v="260"/>
    <n v="572"/>
    <s v="Brent"/>
    <s v="Watty"/>
    <n v="2022"/>
    <n v="12"/>
    <n v="6.1"/>
    <n v="93"/>
    <n v="27"/>
    <x v="0"/>
    <s v="Brent"/>
    <s v="TEXAROK"/>
    <s v="Y"/>
  </r>
  <r>
    <n v="1508"/>
    <n v="1268"/>
    <n v="1319"/>
    <s v="Watty"/>
    <s v="Brent"/>
    <n v="2022"/>
    <n v="12"/>
    <n v="6.2"/>
    <n v="66"/>
    <n v="-27"/>
    <x v="1"/>
    <s v="Watty"/>
    <s v="AKCOVA"/>
    <s v="Y"/>
  </r>
  <r>
    <n v="1509"/>
    <n v="95"/>
    <n v="48"/>
    <s v="Brian"/>
    <s v="David"/>
    <n v="2022"/>
    <n v="13"/>
    <n v="1.1000000000000001"/>
    <n v="130"/>
    <n v="44"/>
    <x v="0"/>
    <s v="Brian"/>
    <s v="TEXAROK"/>
    <s v="N"/>
  </r>
  <r>
    <n v="1510"/>
    <n v="1443"/>
    <n v="768"/>
    <s v="David"/>
    <s v="Brian"/>
    <n v="2022"/>
    <n v="13"/>
    <n v="1.2"/>
    <n v="86"/>
    <n v="-44"/>
    <x v="1"/>
    <s v="David"/>
    <s v="TEXAROK"/>
    <s v="N"/>
  </r>
  <r>
    <n v="1511"/>
    <n v="1286"/>
    <n v="1406"/>
    <s v="Emily"/>
    <s v="Russell"/>
    <n v="2022"/>
    <n v="13"/>
    <n v="2.1"/>
    <n v="60"/>
    <n v="-28"/>
    <x v="1"/>
    <s v="Emily"/>
    <s v="TEXAROK"/>
    <s v="N"/>
  </r>
  <r>
    <n v="1512"/>
    <n v="247"/>
    <n v="710"/>
    <s v="Russell"/>
    <s v="Emily"/>
    <n v="2022"/>
    <n v="13"/>
    <n v="2.2000000000000002"/>
    <n v="88"/>
    <n v="28"/>
    <x v="0"/>
    <s v="Russell"/>
    <s v="TEXAROK"/>
    <s v="N"/>
  </r>
  <r>
    <n v="1513"/>
    <n v="1286"/>
    <n v="1265"/>
    <s v="Matt"/>
    <s v="Brent"/>
    <n v="2022"/>
    <n v="13"/>
    <n v="3.1"/>
    <n v="69"/>
    <n v="-28"/>
    <x v="1"/>
    <s v="Matt"/>
    <s v="TEXAROK"/>
    <s v="N"/>
  </r>
  <r>
    <n v="1514"/>
    <n v="247"/>
    <n v="461"/>
    <s v="Brent"/>
    <s v="Matt"/>
    <n v="2022"/>
    <n v="13"/>
    <n v="3.2"/>
    <n v="97"/>
    <n v="28"/>
    <x v="0"/>
    <s v="Brent"/>
    <s v="TEXAROK"/>
    <s v="N"/>
  </r>
  <r>
    <n v="1515"/>
    <n v="324"/>
    <n v="130"/>
    <s v="Charles"/>
    <s v="BR"/>
    <n v="2022"/>
    <n v="13"/>
    <n v="4.0999999999999996"/>
    <n v="117"/>
    <n v="23"/>
    <x v="0"/>
    <s v="Charles"/>
    <s v="AKCOVA"/>
    <s v="N"/>
  </r>
  <r>
    <n v="1516"/>
    <n v="1208"/>
    <n v="544"/>
    <s v="BR"/>
    <s v="Charles"/>
    <n v="2022"/>
    <n v="13"/>
    <n v="4.2"/>
    <n v="94"/>
    <n v="-23"/>
    <x v="1"/>
    <s v="BR"/>
    <s v="AKCOVA"/>
    <s v="N"/>
  </r>
  <r>
    <n v="1517"/>
    <n v="741"/>
    <n v="1243"/>
    <s v="Michael"/>
    <s v="Watty"/>
    <n v="2022"/>
    <n v="13"/>
    <n v="5.0999999999999996"/>
    <n v="70"/>
    <n v="1"/>
    <x v="0"/>
    <s v="Michael"/>
    <s v="AKCOVA"/>
    <s v="N"/>
  </r>
  <r>
    <n v="1518"/>
    <n v="780"/>
    <n v="1265"/>
    <s v="Watty"/>
    <s v="Michael"/>
    <n v="2022"/>
    <n v="13"/>
    <n v="5.2"/>
    <n v="69"/>
    <n v="-1"/>
    <x v="1"/>
    <s v="Watty"/>
    <s v="AKCOVA"/>
    <s v="N"/>
  </r>
  <r>
    <n v="1519"/>
    <n v="1236"/>
    <n v="1346"/>
    <s v="Arnold"/>
    <s v="Mark"/>
    <n v="2022"/>
    <n v="13"/>
    <n v="6.1"/>
    <n v="64"/>
    <n v="-25"/>
    <x v="1"/>
    <s v="Arnold"/>
    <s v="AKCOVA"/>
    <s v="N"/>
  </r>
  <r>
    <n v="1520"/>
    <n v="291"/>
    <n v="673"/>
    <s v="Mark"/>
    <s v="Arnold"/>
    <n v="2022"/>
    <n v="13"/>
    <n v="6.2"/>
    <n v="89"/>
    <n v="25"/>
    <x v="0"/>
    <s v="Mark"/>
    <s v="AKCOVA"/>
    <s v="N"/>
  </r>
  <r>
    <n v="1521"/>
    <n v="54"/>
    <n v="357"/>
    <s v="Russell"/>
    <s v="David"/>
    <n v="2022"/>
    <n v="14"/>
    <n v="1.1000000000000001"/>
    <n v="102"/>
    <n v="56"/>
    <x v="0"/>
    <s v="Russell"/>
    <s v="TEXAROK"/>
    <s v="N"/>
  </r>
  <r>
    <n v="1522"/>
    <n v="1491"/>
    <n v="1522"/>
    <s v="David"/>
    <s v="Russell"/>
    <n v="2022"/>
    <n v="14"/>
    <n v="1.2"/>
    <n v="46"/>
    <n v="-56"/>
    <x v="1"/>
    <s v="David"/>
    <s v="TEXAROK"/>
    <s v="N"/>
  </r>
  <r>
    <n v="1523"/>
    <n v="1208"/>
    <n v="1198"/>
    <s v="Matt"/>
    <s v="Brian"/>
    <n v="2022"/>
    <n v="14"/>
    <n v="2.1"/>
    <n v="72"/>
    <n v="-23"/>
    <x v="1"/>
    <s v="Matt"/>
    <s v="TEXAROK"/>
    <s v="N"/>
  </r>
  <r>
    <n v="1524"/>
    <n v="324"/>
    <n v="518"/>
    <s v="Brian"/>
    <s v="Matt"/>
    <n v="2022"/>
    <n v="14"/>
    <n v="2.2000000000000002"/>
    <n v="95"/>
    <n v="23"/>
    <x v="0"/>
    <s v="Brian"/>
    <s v="TEXAROK"/>
    <s v="N"/>
  </r>
  <r>
    <n v="1525"/>
    <n v="723"/>
    <n v="1076"/>
    <s v="Emily"/>
    <s v="Brent"/>
    <n v="2022"/>
    <n v="14"/>
    <n v="3.1"/>
    <n v="76"/>
    <n v="2"/>
    <x v="0"/>
    <s v="Emily"/>
    <s v="TEXAROK"/>
    <s v="N"/>
  </r>
  <r>
    <n v="1526"/>
    <n v="805"/>
    <n v="1135"/>
    <s v="Brent"/>
    <s v="Emily"/>
    <n v="2022"/>
    <n v="14"/>
    <n v="3.2"/>
    <n v="74"/>
    <n v="-2"/>
    <x v="1"/>
    <s v="Brent"/>
    <s v="TEXAROK"/>
    <s v="N"/>
  </r>
  <r>
    <n v="1527"/>
    <n v="780"/>
    <n v="518"/>
    <s v="Charles"/>
    <s v="Watty"/>
    <n v="2022"/>
    <n v="14"/>
    <n v="4.0999999999999996"/>
    <n v="95"/>
    <n v="-1"/>
    <x v="1"/>
    <s v="Charles"/>
    <s v="AKCOVA"/>
    <s v="N"/>
  </r>
  <r>
    <n v="1528"/>
    <n v="741"/>
    <n v="493"/>
    <s v="Watty"/>
    <s v="Charles"/>
    <n v="2022"/>
    <n v="14"/>
    <n v="4.2"/>
    <n v="96"/>
    <n v="1"/>
    <x v="0"/>
    <s v="Watty"/>
    <s v="AKCOVA"/>
    <s v="N"/>
  </r>
  <r>
    <n v="1529"/>
    <n v="1063"/>
    <n v="192"/>
    <s v="Arnold"/>
    <s v="Michael"/>
    <n v="2022"/>
    <n v="14"/>
    <n v="5.0999999999999996"/>
    <n v="111"/>
    <n v="-15"/>
    <x v="1"/>
    <s v="Arnold"/>
    <s v="AKCOVA"/>
    <s v="N"/>
  </r>
  <r>
    <n v="1530"/>
    <n v="467"/>
    <n v="67"/>
    <s v="Michael"/>
    <s v="Arnold"/>
    <n v="2022"/>
    <n v="14"/>
    <n v="5.2"/>
    <n v="126"/>
    <n v="15"/>
    <x v="0"/>
    <s v="Michael"/>
    <s v="AKCOVA"/>
    <s v="N"/>
  </r>
  <r>
    <n v="1531"/>
    <n v="1043"/>
    <n v="1383"/>
    <s v="Mark"/>
    <s v="BR"/>
    <n v="2022"/>
    <n v="14"/>
    <n v="6.1"/>
    <n v="62"/>
    <n v="-14"/>
    <x v="1"/>
    <s v="Mark"/>
    <s v="AKCOVA"/>
    <s v="N"/>
  </r>
  <r>
    <n v="1532"/>
    <n v="483"/>
    <n v="1076"/>
    <s v="BR"/>
    <s v="Mark"/>
    <n v="2022"/>
    <n v="14"/>
    <n v="6.2"/>
    <n v="76"/>
    <n v="14"/>
    <x v="0"/>
    <s v="BR"/>
    <s v="AKCOVA"/>
    <s v="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strickland_26"/>
    <s v="BRS"/>
    <x v="0"/>
    <s v="Strickland"/>
    <s v="BRS"/>
    <s v="Team"/>
    <s v="BrianStrickland"/>
    <n v="1"/>
    <n v="1"/>
    <n v="9"/>
    <n v="4"/>
    <n v="0"/>
    <n v="1413"/>
    <n v="1219"/>
    <n v="108.69230769230769"/>
    <s v="Y"/>
    <s v="Y"/>
    <x v="0"/>
  </r>
  <r>
    <s v="WattyStrick"/>
    <s v="T4QB"/>
    <x v="1"/>
    <s v="Strickland"/>
    <s v="T4QB"/>
    <s v="Tebow"/>
    <s v="4QB"/>
    <n v="2"/>
    <n v="3"/>
    <n v="8"/>
    <n v="5"/>
    <n v="0"/>
    <n v="1254"/>
    <n v="1183"/>
    <n v="96.461538461538467"/>
    <s v="Y"/>
    <s v="Y"/>
    <x v="0"/>
  </r>
  <r>
    <s v="Abby64475"/>
    <s v="BALL"/>
    <x v="2"/>
    <s v="Ballard"/>
    <s v="BALL"/>
    <s v="Team"/>
    <s v="Ballard"/>
    <n v="3"/>
    <n v="4"/>
    <n v="7"/>
    <n v="6"/>
    <n v="0"/>
    <n v="1172"/>
    <n v="1138"/>
    <n v="90.15384615384616"/>
    <s v="Y"/>
    <m/>
    <x v="0"/>
  </r>
  <r>
    <s v="strickrb"/>
    <s v="EZOU"/>
    <x v="3"/>
    <s v="Strickland"/>
    <s v="EZOU"/>
    <s v="Johnny Foot"/>
    <s v="Ball Autograph$"/>
    <n v="4"/>
    <n v="2"/>
    <n v="6"/>
    <n v="6"/>
    <n v="1"/>
    <n v="1228"/>
    <n v="1171"/>
    <n v="94.461538461538467"/>
    <s v="Y"/>
    <m/>
    <x v="0"/>
  </r>
  <r>
    <s v="ComeOnYouSpurs12"/>
    <s v="MIKE"/>
    <x v="4"/>
    <s v="Strickland"/>
    <s v="MIKE"/>
    <s v="Brady Quinn,"/>
    <s v="Medicine Woman"/>
    <n v="5"/>
    <n v="7"/>
    <n v="6"/>
    <n v="7"/>
    <n v="0"/>
    <n v="1180"/>
    <n v="1257"/>
    <n v="90.769230769230774"/>
    <m/>
    <m/>
    <x v="0"/>
  </r>
  <r>
    <s v="seldonballard"/>
    <s v="NDSX"/>
    <x v="5"/>
    <s v="Ballard"/>
    <s v="NDSX"/>
    <s v="Manti Teo's"/>
    <s v="Girlfriend"/>
    <n v="6"/>
    <n v="6"/>
    <n v="6"/>
    <n v="7"/>
    <n v="0"/>
    <n v="1139"/>
    <n v="1148"/>
    <n v="87.615384615384613"/>
    <m/>
    <m/>
    <x v="0"/>
  </r>
  <r>
    <s v="ottostrickland"/>
    <s v="Gato"/>
    <x v="6"/>
    <s v="Strickland"/>
    <s v="Gato"/>
    <s v="Gatos"/>
    <s v="Gordos"/>
    <n v="7"/>
    <n v="5"/>
    <n v="6"/>
    <n v="7"/>
    <n v="0"/>
    <n v="1136"/>
    <n v="1136"/>
    <n v="87.384615384615387"/>
    <m/>
    <m/>
    <x v="0"/>
  </r>
  <r>
    <s v="Chabecca"/>
    <s v="BR"/>
    <x v="7"/>
    <s v="Strickland"/>
    <s v="BR"/>
    <s v="Northern"/>
    <s v="Duck Slayers"/>
    <n v="8"/>
    <n v="10"/>
    <n v="6"/>
    <n v="7"/>
    <n v="0"/>
    <n v="1064"/>
    <n v="1218"/>
    <n v="81.84615384615384"/>
    <m/>
    <m/>
    <x v="0"/>
  </r>
  <r>
    <s v="sstrickland@sbcglobal.net"/>
    <s v="STRI"/>
    <x v="8"/>
    <s v="Strickland"/>
    <s v="STRI"/>
    <s v="Team"/>
    <s v="Super Heroes"/>
    <n v="9"/>
    <n v="9"/>
    <n v="6"/>
    <n v="7"/>
    <n v="0"/>
    <n v="1017"/>
    <n v="1087"/>
    <n v="78.230769230769226"/>
    <m/>
    <m/>
    <x v="0"/>
  </r>
  <r>
    <s v="mtfreela"/>
    <s v="FREE"/>
    <x v="9"/>
    <s v="Freeland"/>
    <s v="FREE"/>
    <s v="Bielema"/>
    <s v="Disorder"/>
    <n v="10"/>
    <n v="8"/>
    <n v="4"/>
    <n v="8"/>
    <n v="1"/>
    <n v="1148"/>
    <n v="1194"/>
    <n v="88.307692307692307"/>
    <m/>
    <m/>
    <x v="0"/>
  </r>
  <r>
    <s v="ottostrickland"/>
    <s v="Gato"/>
    <x v="6"/>
    <s v="Strickland"/>
    <s v="Gato"/>
    <s v="Gatos"/>
    <s v="Gordos"/>
    <n v="1"/>
    <n v="4"/>
    <n v="9"/>
    <n v="4"/>
    <n v="0"/>
    <n v="1369"/>
    <n v="1188"/>
    <n v="105.30769230769231"/>
    <s v="Y"/>
    <s v="Y"/>
    <x v="1"/>
  </r>
  <r>
    <s v="seldonballard"/>
    <s v="CLR"/>
    <x v="5"/>
    <s v="Ballard"/>
    <s v="CLR"/>
    <s v="America's Oil"/>
    <s v="Champion"/>
    <n v="2"/>
    <n v="2"/>
    <n v="9"/>
    <n v="4"/>
    <n v="0"/>
    <n v="1247"/>
    <n v="1148"/>
    <n v="95.92307692307692"/>
    <s v="Y"/>
    <s v="Y"/>
    <x v="1"/>
  </r>
  <r>
    <s v="Abby64475"/>
    <s v="BALL"/>
    <x v="2"/>
    <s v="Ballard"/>
    <s v="BALL"/>
    <s v="Team"/>
    <s v="Ballard"/>
    <n v="3"/>
    <n v="6"/>
    <n v="8"/>
    <n v="5"/>
    <n v="0"/>
    <n v="1081"/>
    <n v="977"/>
    <n v="83.15384615384616"/>
    <s v="Y"/>
    <m/>
    <x v="1"/>
  </r>
  <r>
    <s v="strickland_26"/>
    <s v="BRS"/>
    <x v="0"/>
    <s v="Strickland"/>
    <s v="BRS"/>
    <s v="Team"/>
    <s v="BrianStrickland"/>
    <n v="4"/>
    <n v="5"/>
    <n v="7"/>
    <n v="6"/>
    <n v="0"/>
    <n v="1224"/>
    <n v="1226"/>
    <n v="94.15384615384616"/>
    <s v="Y"/>
    <m/>
    <x v="1"/>
  </r>
  <r>
    <s v="strickrb"/>
    <s v="LVEG"/>
    <x v="3"/>
    <s v="Strickland"/>
    <s v="LVEG"/>
    <s v="Time for some"/>
    <s v="Manziel Mania"/>
    <n v="5"/>
    <n v="1"/>
    <n v="6"/>
    <n v="6"/>
    <n v="1"/>
    <n v="1233"/>
    <n v="1189"/>
    <n v="94.84615384615384"/>
    <s v="Y"/>
    <m/>
    <x v="1"/>
  </r>
  <r>
    <s v="CStrick14"/>
    <s v="AKCO"/>
    <x v="7"/>
    <s v="Strickland"/>
    <s v="AKCO"/>
    <s v="AKCO"/>
    <s v="Gingervitis"/>
    <n v="6"/>
    <n v="3"/>
    <n v="6"/>
    <n v="6"/>
    <n v="1"/>
    <n v="1070"/>
    <n v="1094"/>
    <n v="82.307692307692307"/>
    <s v="Y"/>
    <m/>
    <x v="1"/>
  </r>
  <r>
    <s v="mtfreela"/>
    <s v="FREE"/>
    <x v="9"/>
    <s v="Freeland"/>
    <s v="FREE"/>
    <s v="Bielema"/>
    <s v="Disorder"/>
    <n v="7"/>
    <n v="7"/>
    <n v="6"/>
    <n v="7"/>
    <n v="0"/>
    <n v="1190"/>
    <n v="1208"/>
    <n v="91.538461538461533"/>
    <m/>
    <m/>
    <x v="1"/>
  </r>
  <r>
    <s v="WattyStrick"/>
    <s v="5280"/>
    <x v="1"/>
    <s v="Strickland"/>
    <s v="5280"/>
    <s v="Manning Revenge"/>
    <s v="SBORBUST"/>
    <n v="8"/>
    <n v="9"/>
    <n v="5"/>
    <n v="8"/>
    <n v="0"/>
    <n v="1182"/>
    <n v="1159"/>
    <n v="90.92307692307692"/>
    <m/>
    <m/>
    <x v="1"/>
  </r>
  <r>
    <s v="Arkadoo71923"/>
    <s v="STRI"/>
    <x v="8"/>
    <s v="Strickland"/>
    <s v="STRI"/>
    <s v="Team"/>
    <s v="Super Heroes"/>
    <n v="9"/>
    <n v="10"/>
    <n v="4"/>
    <n v="8"/>
    <n v="1"/>
    <n v="985"/>
    <n v="1228"/>
    <n v="75.769230769230774"/>
    <m/>
    <m/>
    <x v="1"/>
  </r>
  <r>
    <s v="ComeOnYouSpurs12"/>
    <s v="MIKE"/>
    <x v="4"/>
    <s v="Strickland"/>
    <s v="MIKE"/>
    <s v="Brady Quinn,"/>
    <s v="Medicine Woman"/>
    <n v="10"/>
    <n v="8"/>
    <n v="3"/>
    <n v="9"/>
    <n v="1"/>
    <n v="1053"/>
    <n v="1217"/>
    <n v="81"/>
    <m/>
    <m/>
    <x v="1"/>
  </r>
  <r>
    <s v="CStrick14"/>
    <s v="AKCO"/>
    <x v="10"/>
    <s v="Strickland"/>
    <s v="AKCO"/>
    <s v="AKCO"/>
    <s v="Gingervitis"/>
    <n v="8"/>
    <n v="8"/>
    <n v="6"/>
    <n v="7"/>
    <n v="0"/>
    <n v="1152"/>
    <n v="1038"/>
    <n v="88.615384615384613"/>
    <m/>
    <m/>
    <x v="2"/>
  </r>
  <r>
    <s v="Mattfreela"/>
    <s v="WPS"/>
    <x v="11"/>
    <s v="Freeland"/>
    <s v="WPS"/>
    <s v="Whoo Pig"/>
    <s v="Sooie"/>
    <n v="3"/>
    <n v="5"/>
    <n v="8"/>
    <n v="5"/>
    <n v="0"/>
    <n v="1178"/>
    <n v="1056"/>
    <n v="90.615384615384613"/>
    <s v="Y"/>
    <m/>
    <x v="2"/>
  </r>
  <r>
    <s v="Chabecca"/>
    <s v="AK"/>
    <x v="7"/>
    <s v="Strickland"/>
    <s v="AK"/>
    <s v="AK"/>
    <s v="Be the 1"/>
    <n v="5"/>
    <n v="3"/>
    <n v="7"/>
    <n v="6"/>
    <n v="0"/>
    <n v="1091"/>
    <n v="1153"/>
    <n v="83.92307692307692"/>
    <s v="Y"/>
    <m/>
    <x v="2"/>
  </r>
  <r>
    <s v="ComeOnYouSpurs12"/>
    <s v="MIKE"/>
    <x v="4"/>
    <s v="Strickland"/>
    <s v="MIKE"/>
    <s v="Brady Quinn,"/>
    <s v="Medicine Woman"/>
    <n v="2"/>
    <n v="1"/>
    <n v="7"/>
    <n v="6"/>
    <n v="0"/>
    <n v="1249"/>
    <n v="1153"/>
    <n v="96.07692307692308"/>
    <s v="Y"/>
    <s v="Y"/>
    <x v="2"/>
  </r>
  <r>
    <s v="mtfreela1"/>
    <s v="FREE"/>
    <x v="9"/>
    <s v="Freeland"/>
    <s v="FREE"/>
    <s v="Holy"/>
    <s v="Toledo"/>
    <n v="7"/>
    <n v="7"/>
    <n v="6"/>
    <n v="7"/>
    <n v="0"/>
    <n v="1183"/>
    <n v="1065"/>
    <n v="91"/>
    <m/>
    <m/>
    <x v="2"/>
  </r>
  <r>
    <s v="strickland_26"/>
    <s v="BRS"/>
    <x v="0"/>
    <s v="Strickland"/>
    <s v="BRS"/>
    <s v="Team"/>
    <s v="BrianStrickland"/>
    <n v="9"/>
    <n v="9"/>
    <n v="6"/>
    <n v="7"/>
    <n v="0"/>
    <n v="1098"/>
    <n v="1021"/>
    <n v="84.461538461538467"/>
    <m/>
    <m/>
    <x v="2"/>
  </r>
  <r>
    <s v="Brent1083"/>
    <s v="WALL"/>
    <x v="12"/>
    <s v="Wallace"/>
    <s v="WALL"/>
    <s v="North"/>
    <s v="Dallas 40"/>
    <n v="1"/>
    <n v="2"/>
    <n v="10"/>
    <n v="3"/>
    <n v="0"/>
    <n v="1237"/>
    <n v="1174"/>
    <n v="95.15384615384616"/>
    <s v="Y"/>
    <s v="Y"/>
    <x v="2"/>
  </r>
  <r>
    <s v="strickrb"/>
    <s v="CRAB"/>
    <x v="3"/>
    <s v="Strickland"/>
    <s v="CRAB"/>
    <s v="Time for some"/>
    <s v="Crab Legs"/>
    <n v="4"/>
    <n v="6"/>
    <n v="7"/>
    <n v="6"/>
    <n v="0"/>
    <n v="1109"/>
    <n v="1197"/>
    <n v="85.307692307692307"/>
    <s v="Y"/>
    <m/>
    <x v="2"/>
  </r>
  <r>
    <s v="Abby64475"/>
    <s v="BALL"/>
    <x v="2"/>
    <s v="Ballard"/>
    <s v="BALL"/>
    <s v="Team"/>
    <s v="Ballard"/>
    <n v="11"/>
    <n v="11"/>
    <n v="5"/>
    <n v="8"/>
    <n v="0"/>
    <n v="896"/>
    <n v="1047"/>
    <n v="68.92307692307692"/>
    <m/>
    <m/>
    <x v="2"/>
  </r>
  <r>
    <s v="ottostrickland"/>
    <s v="Gato"/>
    <x v="6"/>
    <s v="Strickland"/>
    <s v="Gato"/>
    <s v="Gatos"/>
    <s v="Gordos"/>
    <n v="6"/>
    <n v="4"/>
    <n v="7"/>
    <n v="6"/>
    <n v="0"/>
    <n v="989"/>
    <n v="1007"/>
    <n v="76.07692307692308"/>
    <s v="Y"/>
    <m/>
    <x v="2"/>
  </r>
  <r>
    <s v="WattyStrick"/>
    <s v="5280"/>
    <x v="1"/>
    <s v="Strickland"/>
    <s v="5280"/>
    <s v="Manning Revenge"/>
    <s v="SBORBUST"/>
    <n v="10"/>
    <n v="10"/>
    <n v="5"/>
    <n v="8"/>
    <n v="0"/>
    <n v="906"/>
    <n v="1069"/>
    <n v="69.692307692307693"/>
    <m/>
    <m/>
    <x v="2"/>
  </r>
  <r>
    <s v="seldonballard"/>
    <s v="DenD"/>
    <x v="5"/>
    <s v="Ballard"/>
    <s v="DenD"/>
    <s v="Brocket"/>
    <s v="Launcher"/>
    <n v="12"/>
    <n v="12"/>
    <n v="4"/>
    <n v="9"/>
    <n v="0"/>
    <n v="997"/>
    <n v="1105"/>
    <n v="76.692307692307693"/>
    <m/>
    <m/>
    <x v="2"/>
  </r>
  <r>
    <s v="Brent1083"/>
    <s v="WALL"/>
    <x v="12"/>
    <s v="Wallace"/>
    <s v="WALL"/>
    <s v="I'm Your"/>
    <s v="Huckleberry"/>
    <n v="1"/>
    <n v="1"/>
    <n v="12"/>
    <n v="1"/>
    <n v="0"/>
    <n v="1384"/>
    <n v="1052"/>
    <n v="106.46153846153847"/>
    <s v="Y"/>
    <s v="Y"/>
    <x v="3"/>
  </r>
  <r>
    <s v="CStrick14"/>
    <s v="3000"/>
    <x v="10"/>
    <s v="Strickland"/>
    <s v="3000"/>
    <s v="Antonio Browns"/>
    <s v="Sparta Kick"/>
    <n v="2"/>
    <n v="4"/>
    <n v="8"/>
    <n v="5"/>
    <n v="0"/>
    <n v="1272"/>
    <n v="1102"/>
    <n v="97.84615384615384"/>
    <s v="Y"/>
    <s v="Y"/>
    <x v="3"/>
  </r>
  <r>
    <s v="mtfreela1"/>
    <s v="FREE"/>
    <x v="9"/>
    <s v="Freeland"/>
    <s v="FREE"/>
    <s v="Make America"/>
    <s v="Gronk Again!"/>
    <n v="3"/>
    <n v="5"/>
    <n v="8"/>
    <n v="5"/>
    <n v="0"/>
    <n v="1224"/>
    <n v="1044"/>
    <n v="94.15384615384616"/>
    <s v="Y"/>
    <m/>
    <x v="3"/>
  </r>
  <r>
    <s v="strickrb"/>
    <s v="Ru$$"/>
    <x v="3"/>
    <s v="Strickland"/>
    <s v="Ru$$"/>
    <s v="Luckness"/>
    <s v="Monster"/>
    <n v="4"/>
    <n v="6"/>
    <n v="8"/>
    <n v="5"/>
    <n v="0"/>
    <n v="1173"/>
    <n v="1129"/>
    <n v="90.230769230769226"/>
    <s v="Y"/>
    <m/>
    <x v="3"/>
  </r>
  <r>
    <s v="ottostrickland"/>
    <s v="CATI"/>
    <x v="6"/>
    <s v="Strickland"/>
    <s v="CATI"/>
    <s v="TX"/>
    <s v="CATI"/>
    <n v="5"/>
    <n v="3"/>
    <n v="8"/>
    <n v="5"/>
    <n v="0"/>
    <n v="1082"/>
    <n v="1036"/>
    <n v="83.230769230769226"/>
    <s v="Y"/>
    <m/>
    <x v="3"/>
  </r>
  <r>
    <s v="Mattfreela"/>
    <s v="WPS"/>
    <x v="11"/>
    <s v="Freeland"/>
    <s v="WPS"/>
    <s v="Whoo Pig"/>
    <s v="Sooie"/>
    <n v="6"/>
    <n v="2"/>
    <n v="6"/>
    <n v="7"/>
    <n v="0"/>
    <n v="1139"/>
    <n v="1193"/>
    <n v="87.615384615384613"/>
    <s v="Y"/>
    <m/>
    <x v="3"/>
  </r>
  <r>
    <s v="Abby64475"/>
    <s v="BALL"/>
    <x v="2"/>
    <s v="Ballard"/>
    <s v="BALL"/>
    <s v="Team"/>
    <s v="Ballard"/>
    <n v="7"/>
    <n v="8"/>
    <n v="6"/>
    <n v="7"/>
    <n v="0"/>
    <n v="1125"/>
    <n v="1180"/>
    <n v="86.538461538461533"/>
    <m/>
    <m/>
    <x v="3"/>
  </r>
  <r>
    <s v="ComeOnYouSpurs12"/>
    <s v="BQMW"/>
    <x v="4"/>
    <s v="Strickland"/>
    <s v="BQMW"/>
    <s v="Brady Quinn"/>
    <s v="Medicine Woman"/>
    <n v="8"/>
    <n v="7"/>
    <n v="6"/>
    <n v="7"/>
    <n v="0"/>
    <n v="981"/>
    <n v="1123"/>
    <n v="75.461538461538467"/>
    <m/>
    <m/>
    <x v="3"/>
  </r>
  <r>
    <s v="Chabecca"/>
    <s v="AK"/>
    <x v="7"/>
    <s v="Strickland"/>
    <s v="AK"/>
    <s v="AK"/>
    <s v="Be the 10"/>
    <n v="9"/>
    <n v="10"/>
    <n v="4"/>
    <n v="9"/>
    <n v="0"/>
    <n v="1122"/>
    <n v="1248"/>
    <n v="86.307692307692307"/>
    <m/>
    <m/>
    <x v="3"/>
  </r>
  <r>
    <s v="WattyStrick"/>
    <s v="BLM"/>
    <x v="1"/>
    <s v="Strickland"/>
    <s v="BLM"/>
    <s v="Black Labs"/>
    <s v="Matter"/>
    <n v="10"/>
    <n v="12"/>
    <n v="4"/>
    <n v="9"/>
    <n v="0"/>
    <n v="1121"/>
    <n v="1210"/>
    <n v="86.230769230769226"/>
    <m/>
    <m/>
    <x v="3"/>
  </r>
  <r>
    <s v="seldonballard"/>
    <s v="Manz"/>
    <x v="5"/>
    <s v="Ballard"/>
    <s v="Manz"/>
    <s v="Cleveland"/>
    <s v="Browns"/>
    <n v="11"/>
    <n v="11"/>
    <n v="4"/>
    <n v="9"/>
    <n v="0"/>
    <n v="1031"/>
    <n v="1139"/>
    <n v="79.307692307692307"/>
    <m/>
    <m/>
    <x v="3"/>
  </r>
  <r>
    <s v="strickland_26"/>
    <s v="BRS"/>
    <x v="0"/>
    <s v="Strickland"/>
    <s v="BRS"/>
    <s v="Team"/>
    <s v="Boomer Sooner"/>
    <n v="12"/>
    <n v="9"/>
    <n v="4"/>
    <n v="9"/>
    <n v="0"/>
    <n v="1024"/>
    <n v="1222"/>
    <n v="78.769230769230774"/>
    <m/>
    <m/>
    <x v="3"/>
  </r>
  <r>
    <s v="CStrick14"/>
    <s v="UNCO"/>
    <x v="10"/>
    <s v="Strickland"/>
    <s v="UNCO"/>
    <s v="UNCO"/>
    <s v="SUPER FAN"/>
    <n v="1"/>
    <n v="3"/>
    <n v="10"/>
    <n v="3"/>
    <n v="0"/>
    <n v="1196"/>
    <n v="1035"/>
    <n v="92"/>
    <s v="Y"/>
    <s v="Y"/>
    <x v="4"/>
  </r>
  <r>
    <s v="mtfreela1"/>
    <s v="FREE"/>
    <x v="9"/>
    <s v="Freeland"/>
    <s v="FREE"/>
    <s v="Make America"/>
    <s v="Gronk Again!"/>
    <n v="2"/>
    <n v="4"/>
    <n v="7"/>
    <n v="6"/>
    <n v="0"/>
    <n v="1132"/>
    <n v="1057"/>
    <n v="87.07692307692308"/>
    <s v="Y"/>
    <s v="Y"/>
    <x v="4"/>
  </r>
  <r>
    <s v="Abby64475"/>
    <s v="BALL"/>
    <x v="2"/>
    <s v="Ballard"/>
    <s v="BALL"/>
    <s v="Team"/>
    <s v="Ballard"/>
    <n v="3"/>
    <n v="2"/>
    <n v="8"/>
    <n v="5"/>
    <n v="0"/>
    <n v="1215"/>
    <n v="1091"/>
    <n v="93.461538461538467"/>
    <s v="Y"/>
    <m/>
    <x v="4"/>
  </r>
  <r>
    <s v="strickrb"/>
    <s v="Ru$$"/>
    <x v="3"/>
    <s v="Strickland"/>
    <s v="Ru$$"/>
    <s v="Just the"/>
    <s v="facts ma'am"/>
    <n v="4"/>
    <n v="5"/>
    <n v="7"/>
    <n v="6"/>
    <n v="0"/>
    <n v="1099"/>
    <n v="1087"/>
    <n v="84.538461538461533"/>
    <s v="Y"/>
    <m/>
    <x v="4"/>
  </r>
  <r>
    <s v="WattyStrick"/>
    <s v="BLM"/>
    <x v="1"/>
    <s v="Strickland"/>
    <s v="BLM"/>
    <s v="Black Labs"/>
    <s v="Matter"/>
    <n v="5"/>
    <n v="1"/>
    <n v="7"/>
    <n v="6"/>
    <n v="0"/>
    <n v="1070"/>
    <n v="999"/>
    <n v="82.307692307692307"/>
    <s v="Y"/>
    <m/>
    <x v="4"/>
  </r>
  <r>
    <s v="ComeOnYouSpurs12"/>
    <s v="BQMW"/>
    <x v="4"/>
    <s v="Strickland"/>
    <s v="BQMW"/>
    <s v="Brady Quinn"/>
    <s v="Medicine Woman"/>
    <n v="6"/>
    <n v="6"/>
    <n v="7"/>
    <n v="6"/>
    <n v="0"/>
    <n v="1043"/>
    <n v="1021"/>
    <n v="80.230769230769226"/>
    <s v="Y"/>
    <m/>
    <x v="4"/>
  </r>
  <r>
    <s v="Brent1083"/>
    <s v="WALL"/>
    <x v="12"/>
    <s v="Wallace"/>
    <s v="WALL"/>
    <s v="Badger player"/>
    <s v="of the week!"/>
    <n v="7"/>
    <n v="8"/>
    <n v="6"/>
    <n v="7"/>
    <n v="0"/>
    <n v="1152"/>
    <n v="1182"/>
    <n v="88.615384615384613"/>
    <m/>
    <m/>
    <x v="4"/>
  </r>
  <r>
    <s v="Chabecca"/>
    <s v="AK"/>
    <x v="7"/>
    <s v="Strickland"/>
    <s v="AK"/>
    <s v="AK"/>
    <s v="Be the One"/>
    <n v="8"/>
    <n v="7"/>
    <n v="6"/>
    <n v="7"/>
    <n v="0"/>
    <n v="1093"/>
    <n v="1087"/>
    <n v="84.07692307692308"/>
    <m/>
    <m/>
    <x v="4"/>
  </r>
  <r>
    <s v="Mattfreela"/>
    <s v="WPS"/>
    <x v="11"/>
    <s v="Freeland"/>
    <s v="WPS"/>
    <s v="Whoo Pig"/>
    <s v="Sooie"/>
    <n v="9"/>
    <n v="10"/>
    <n v="6"/>
    <n v="7"/>
    <n v="0"/>
    <n v="1092"/>
    <n v="1083"/>
    <n v="84"/>
    <m/>
    <m/>
    <x v="4"/>
  </r>
  <r>
    <s v="strickland_26"/>
    <s v="BRS"/>
    <x v="0"/>
    <s v="Strickland"/>
    <s v="BRS"/>
    <s v="Black Sheep of"/>
    <s v="the family"/>
    <n v="10"/>
    <n v="12"/>
    <n v="6"/>
    <n v="7"/>
    <n v="0"/>
    <n v="1078"/>
    <n v="1086"/>
    <n v="82.92307692307692"/>
    <m/>
    <m/>
    <x v="4"/>
  </r>
  <r>
    <s v="ottostrickland"/>
    <s v="SLEE"/>
    <x v="6"/>
    <s v="Strickland"/>
    <s v="SLEE"/>
    <s v="Land of the"/>
    <s v="Lost Sleestaks"/>
    <n v="11"/>
    <n v="11"/>
    <n v="5"/>
    <n v="7"/>
    <n v="1"/>
    <n v="975"/>
    <n v="1135"/>
    <n v="75"/>
    <m/>
    <m/>
    <x v="4"/>
  </r>
  <r>
    <s v="seldonballard"/>
    <s v="COOK"/>
    <x v="5"/>
    <s v="Ballard"/>
    <s v="COOK"/>
    <s v="Dalvin and the"/>
    <s v="Chipmunks"/>
    <n v="12"/>
    <n v="9"/>
    <n v="2"/>
    <n v="10"/>
    <n v="1"/>
    <n v="922"/>
    <n v="1204"/>
    <n v="70.92307692307692"/>
    <m/>
    <m/>
    <x v="4"/>
  </r>
  <r>
    <s v="Chabecca"/>
    <s v="AK"/>
    <x v="7"/>
    <s v="Strickland"/>
    <s v="AK"/>
    <s v="AK"/>
    <s v="Be the One"/>
    <n v="1"/>
    <n v="1"/>
    <n v="9"/>
    <n v="3"/>
    <n v="1"/>
    <n v="1225"/>
    <n v="1127"/>
    <n v="94.230769230769226"/>
    <s v="Y"/>
    <s v="Y"/>
    <x v="5"/>
  </r>
  <r>
    <s v="Brent1083"/>
    <s v="WALL"/>
    <x v="12"/>
    <s v="Wallace"/>
    <s v="WALL"/>
    <s v="Go Badgers!"/>
    <s v="State Champs!"/>
    <n v="2"/>
    <n v="4"/>
    <n v="9"/>
    <n v="4"/>
    <n v="0"/>
    <n v="1316"/>
    <n v="1132"/>
    <n v="101.23076923076923"/>
    <s v="Y"/>
    <s v="Y"/>
    <x v="5"/>
  </r>
  <r>
    <s v="Mattfreela"/>
    <s v="WPS"/>
    <x v="11"/>
    <s v="Freeland"/>
    <s v="WPS"/>
    <s v="Whoo Pig"/>
    <s v="Sooie"/>
    <n v="3"/>
    <n v="2"/>
    <n v="9"/>
    <n v="4"/>
    <n v="0"/>
    <n v="1249"/>
    <n v="1175"/>
    <n v="96.07692307692308"/>
    <s v="Y"/>
    <m/>
    <x v="5"/>
  </r>
  <r>
    <s v="mariac8448744"/>
    <s v="BQMW"/>
    <x v="4"/>
    <s v="Strickland"/>
    <s v="BQMW"/>
    <s v="Brady Quinn"/>
    <s v="Medicine Woman"/>
    <n v="4"/>
    <n v="5"/>
    <n v="8"/>
    <n v="5"/>
    <n v="0"/>
    <n v="1274"/>
    <n v="1178"/>
    <n v="98"/>
    <s v="Y"/>
    <m/>
    <x v="5"/>
  </r>
  <r>
    <s v="strickrb"/>
    <s v="Ru$$"/>
    <x v="3"/>
    <s v="Strickland"/>
    <s v="Ru$$"/>
    <s v="Just the"/>
    <s v="facts ma'am"/>
    <n v="5"/>
    <n v="3"/>
    <n v="8"/>
    <n v="5"/>
    <n v="0"/>
    <n v="1224"/>
    <n v="1068"/>
    <n v="94.15384615384616"/>
    <s v="Y"/>
    <m/>
    <x v="5"/>
  </r>
  <r>
    <s v="mtfreela1"/>
    <s v="FREE"/>
    <x v="9"/>
    <s v="Freeland"/>
    <s v="FREE"/>
    <s v="Rollin' With"/>
    <s v="Mahomies"/>
    <n v="6"/>
    <n v="6"/>
    <n v="7"/>
    <n v="6"/>
    <n v="0"/>
    <n v="1236"/>
    <n v="1223"/>
    <n v="95.07692307692308"/>
    <s v="Y"/>
    <m/>
    <x v="5"/>
  </r>
  <r>
    <s v="seldonballard"/>
    <s v="0-16"/>
    <x v="5"/>
    <s v="Ballard"/>
    <s v="0-16"/>
    <s v="Big Gulps"/>
    <s v="Huh?"/>
    <n v="7"/>
    <n v="8"/>
    <n v="6"/>
    <n v="7"/>
    <n v="0"/>
    <n v="1182"/>
    <n v="1249"/>
    <n v="90.92307692307692"/>
    <m/>
    <m/>
    <x v="5"/>
  </r>
  <r>
    <s v="strickland_26"/>
    <s v="BRS"/>
    <x v="0"/>
    <s v="Strickland"/>
    <s v="BRS"/>
    <s v="Inaugural"/>
    <s v="Champion"/>
    <n v="8"/>
    <n v="7"/>
    <n v="5"/>
    <n v="7"/>
    <n v="1"/>
    <n v="1201"/>
    <n v="1263"/>
    <n v="92.384615384615387"/>
    <m/>
    <m/>
    <x v="5"/>
  </r>
  <r>
    <s v="CStrick14"/>
    <s v="KOJ"/>
    <x v="10"/>
    <s v="Strickland"/>
    <s v="KOJ"/>
    <s v="Trooper"/>
    <s v="Kojak"/>
    <n v="9"/>
    <n v="9"/>
    <n v="5"/>
    <n v="8"/>
    <n v="0"/>
    <n v="1219"/>
    <n v="1247"/>
    <n v="93.769230769230774"/>
    <m/>
    <m/>
    <x v="5"/>
  </r>
  <r>
    <s v="WattyStrick"/>
    <s v="BLM"/>
    <x v="1"/>
    <s v="Strickland"/>
    <s v="BLM"/>
    <s v="Black Labs"/>
    <s v="Matter"/>
    <n v="10"/>
    <n v="10"/>
    <n v="5"/>
    <n v="8"/>
    <n v="0"/>
    <n v="1165"/>
    <n v="1159"/>
    <n v="89.615384615384613"/>
    <m/>
    <m/>
    <x v="5"/>
  </r>
  <r>
    <s v="ottostrickland"/>
    <s v="SLEE"/>
    <x v="6"/>
    <s v="Strickland"/>
    <s v="SLEE"/>
    <s v="Land of the"/>
    <s v="Lost Sleestaks"/>
    <n v="11"/>
    <n v="11"/>
    <n v="3"/>
    <n v="10"/>
    <n v="0"/>
    <n v="1108"/>
    <n v="1287"/>
    <n v="85.230769230769226"/>
    <m/>
    <m/>
    <x v="5"/>
  </r>
  <r>
    <s v="Abby64475"/>
    <s v="BALL"/>
    <x v="2"/>
    <s v="Ballard"/>
    <s v="BALL"/>
    <s v="Team"/>
    <s v="Ballard"/>
    <n v="12"/>
    <n v="12"/>
    <n v="3"/>
    <n v="10"/>
    <n v="0"/>
    <n v="884"/>
    <n v="1175"/>
    <n v="68"/>
    <m/>
    <m/>
    <x v="5"/>
  </r>
  <r>
    <s v="mariac8448744"/>
    <s v="BQMW"/>
    <x v="4"/>
    <s v="Strickland"/>
    <s v="BQMW"/>
    <s v="Brady Quinn"/>
    <s v="Medicine Woman"/>
    <n v="1"/>
    <n v="1"/>
    <n v="9"/>
    <n v="4"/>
    <n v="0"/>
    <n v="1135"/>
    <n v="1119"/>
    <n v="87.307692307692307"/>
    <s v="Y"/>
    <s v="Y"/>
    <x v="6"/>
  </r>
  <r>
    <s v="mtfreela1"/>
    <s v="FREE"/>
    <x v="9"/>
    <s v="Freeland"/>
    <s v="FREE"/>
    <s v="Rollin' with"/>
    <s v="Mahomies"/>
    <n v="2"/>
    <n v="2"/>
    <n v="7"/>
    <n v="6"/>
    <n v="0"/>
    <n v="1164"/>
    <n v="1275"/>
    <n v="89.538461538461533"/>
    <s v="Y"/>
    <s v="Y"/>
    <x v="6"/>
  </r>
  <r>
    <s v="seldonballard"/>
    <s v="MAK"/>
    <x v="5"/>
    <s v="Ballard"/>
    <s v="MAK"/>
    <s v="Dude"/>
    <s v="Where’s Makar"/>
    <n v="3"/>
    <n v="6"/>
    <n v="8"/>
    <n v="5"/>
    <n v="0"/>
    <n v="1244"/>
    <n v="1196"/>
    <n v="95.692307692307693"/>
    <s v="Y"/>
    <m/>
    <x v="6"/>
  </r>
  <r>
    <s v="Abby64475"/>
    <s v="BALL"/>
    <x v="2"/>
    <s v="Ballard"/>
    <s v="BALL"/>
    <s v="Team"/>
    <s v="A. Ballard"/>
    <n v="4"/>
    <n v="4"/>
    <n v="8"/>
    <n v="5"/>
    <n v="0"/>
    <n v="1179"/>
    <n v="1061"/>
    <n v="90.692307692307693"/>
    <s v="Y"/>
    <m/>
    <x v="6"/>
  </r>
  <r>
    <s v="Chabecca"/>
    <s v="AK"/>
    <x v="7"/>
    <s v="Strickland"/>
    <s v="AK"/>
    <s v="AK Used To"/>
    <s v="Be the One"/>
    <n v="5"/>
    <n v="5"/>
    <n v="7"/>
    <n v="6"/>
    <n v="0"/>
    <n v="1152"/>
    <n v="1119"/>
    <n v="88.615384615384613"/>
    <s v="Y"/>
    <m/>
    <x v="6"/>
  </r>
  <r>
    <s v="ottostrickland"/>
    <s v="SLEE"/>
    <x v="6"/>
    <s v="Strickland"/>
    <s v="SLEE"/>
    <s v="Land of the"/>
    <s v="Lost Sleestaks"/>
    <n v="6"/>
    <n v="3"/>
    <n v="6"/>
    <n v="7"/>
    <n v="0"/>
    <n v="1251"/>
    <n v="1157"/>
    <n v="96.230769230769226"/>
    <s v="Y"/>
    <m/>
    <x v="6"/>
  </r>
  <r>
    <s v="WattyStrick"/>
    <s v="BLM"/>
    <x v="1"/>
    <s v="Strickland"/>
    <s v="BLM"/>
    <s v="Black Labs"/>
    <s v="Matter"/>
    <n v="7"/>
    <n v="10"/>
    <n v="6"/>
    <n v="7"/>
    <n v="0"/>
    <n v="1180"/>
    <n v="1092"/>
    <n v="90.769230769230774"/>
    <m/>
    <m/>
    <x v="6"/>
  </r>
  <r>
    <s v="CStrick14"/>
    <s v="CRS"/>
    <x v="10"/>
    <s v="Strickland"/>
    <s v="CRS"/>
    <s v="Frank Wills’"/>
    <s v="Ingenuity"/>
    <n v="8"/>
    <n v="12"/>
    <n v="6"/>
    <n v="7"/>
    <n v="0"/>
    <n v="1151"/>
    <n v="1239"/>
    <n v="88.538461538461533"/>
    <m/>
    <m/>
    <x v="6"/>
  </r>
  <r>
    <s v="strickland_26"/>
    <s v="BRS"/>
    <x v="0"/>
    <s v="Strickland"/>
    <s v="BRS"/>
    <s v="Inaugural"/>
    <s v="Champion"/>
    <n v="9"/>
    <n v="9"/>
    <n v="6"/>
    <n v="7"/>
    <n v="0"/>
    <n v="991"/>
    <n v="1041"/>
    <n v="76.230769230769226"/>
    <m/>
    <m/>
    <x v="6"/>
  </r>
  <r>
    <s v="Brent1083"/>
    <s v="WALL"/>
    <x v="12"/>
    <s v="Wallace"/>
    <s v="WALL"/>
    <s v="All My"/>
    <s v="Rowdy Friends"/>
    <n v="10"/>
    <n v="8"/>
    <n v="5"/>
    <n v="8"/>
    <n v="0"/>
    <n v="1205"/>
    <n v="1171"/>
    <n v="92.692307692307693"/>
    <m/>
    <m/>
    <x v="6"/>
  </r>
  <r>
    <s v="strickrb"/>
    <s v="Ru$$"/>
    <x v="3"/>
    <s v="Strickland"/>
    <s v="Ru$$"/>
    <s v="Just the"/>
    <s v="facts ma'am"/>
    <n v="11"/>
    <n v="7"/>
    <n v="5"/>
    <n v="8"/>
    <n v="0"/>
    <n v="1142"/>
    <n v="1158"/>
    <n v="87.84615384615384"/>
    <m/>
    <m/>
    <x v="6"/>
  </r>
  <r>
    <s v="Mattfreela"/>
    <s v="WPS"/>
    <x v="11"/>
    <s v="Freeland"/>
    <s v="WPS"/>
    <s v="No Way"/>
    <s v="San José"/>
    <n v="12"/>
    <n v="11"/>
    <n v="5"/>
    <n v="8"/>
    <n v="0"/>
    <n v="1043"/>
    <n v="1209"/>
    <n v="80.230769230769226"/>
    <m/>
    <m/>
    <x v="6"/>
  </r>
  <r>
    <s v="strickland_26"/>
    <s v="BRS"/>
    <x v="0"/>
    <s v="Strickland"/>
    <s v="BRS"/>
    <s v="Inaugural"/>
    <s v="Champion"/>
    <n v="1"/>
    <n v="4"/>
    <n v="11"/>
    <n v="2"/>
    <n v="0"/>
    <n v="1075"/>
    <n v="966"/>
    <n v="82.692307692307693"/>
    <s v="Y"/>
    <s v="Y"/>
    <x v="7"/>
  </r>
  <r>
    <s v="CStrick14"/>
    <s v="CRS"/>
    <x v="10"/>
    <s v="Strickland"/>
    <s v="CRS"/>
    <s v="Unethical"/>
    <s v="TBL"/>
    <n v="2"/>
    <n v="3"/>
    <n v="9"/>
    <n v="4"/>
    <n v="0"/>
    <n v="1408"/>
    <n v="1077"/>
    <n v="108.30769230769231"/>
    <s v="Y"/>
    <s v="Y"/>
    <x v="7"/>
  </r>
  <r>
    <s v="Brent1083"/>
    <s v="WALL"/>
    <x v="12"/>
    <s v="Wallace"/>
    <s v="WALL"/>
    <s v="Bad Boy"/>
    <s v=" Brent"/>
    <n v="3"/>
    <n v="5"/>
    <n v="9"/>
    <n v="4"/>
    <n v="0"/>
    <n v="1144"/>
    <n v="1075"/>
    <n v="88"/>
    <s v="Y"/>
    <m/>
    <x v="7"/>
  </r>
  <r>
    <s v="strickrb"/>
    <s v="Ru$$"/>
    <x v="3"/>
    <s v="Strickland"/>
    <s v="Ru$$"/>
    <s v="Just the"/>
    <s v="facts ma'am"/>
    <n v="4"/>
    <n v="2"/>
    <n v="8"/>
    <n v="5"/>
    <n v="0"/>
    <n v="1392"/>
    <n v="1215"/>
    <n v="107.07692307692308"/>
    <s v="Y"/>
    <m/>
    <x v="7"/>
  </r>
  <r>
    <s v="mariac8448744"/>
    <s v="BQMW"/>
    <x v="4"/>
    <s v="Strickland"/>
    <s v="BQMW"/>
    <s v="Brady Quinn"/>
    <s v="Medicine Woman"/>
    <n v="5"/>
    <n v="6"/>
    <n v="8"/>
    <n v="5"/>
    <n v="0"/>
    <n v="1239"/>
    <n v="1182"/>
    <n v="95.307692307692307"/>
    <s v="Y"/>
    <m/>
    <x v="7"/>
  </r>
  <r>
    <s v="WattyStrick"/>
    <s v="BLM"/>
    <x v="1"/>
    <s v="Strickland"/>
    <s v="BLM"/>
    <s v="Black Labs"/>
    <s v="Matter"/>
    <n v="6"/>
    <n v="1"/>
    <n v="7"/>
    <n v="6"/>
    <n v="0"/>
    <n v="1218"/>
    <n v="1054"/>
    <n v="93.692307692307693"/>
    <s v="Y"/>
    <m/>
    <x v="7"/>
  </r>
  <r>
    <s v="Mattfreela"/>
    <s v="WPS"/>
    <x v="11"/>
    <s v="Freeland"/>
    <s v="WPS"/>
    <s v="No Way"/>
    <s v="San José"/>
    <n v="7"/>
    <n v="11"/>
    <n v="6"/>
    <n v="7"/>
    <n v="0"/>
    <n v="1186"/>
    <n v="1175"/>
    <n v="91.230769230769226"/>
    <m/>
    <m/>
    <x v="7"/>
  </r>
  <r>
    <s v="mtfreela1"/>
    <s v="FREE"/>
    <x v="9"/>
    <s v="Freeland"/>
    <s v="FREE"/>
    <s v="No Rollin' with"/>
    <s v="out Mahomies"/>
    <n v="8"/>
    <n v="10"/>
    <n v="5"/>
    <n v="8"/>
    <n v="0"/>
    <n v="1110"/>
    <n v="1167"/>
    <n v="85.384615384615387"/>
    <m/>
    <m/>
    <x v="7"/>
  </r>
  <r>
    <s v="Chabecca"/>
    <s v="AK"/>
    <x v="7"/>
    <s v="Strickland"/>
    <s v="AK"/>
    <s v="AK"/>
    <s v="Be the One"/>
    <n v="9"/>
    <n v="8"/>
    <n v="4"/>
    <n v="9"/>
    <n v="0"/>
    <n v="1033"/>
    <n v="1106"/>
    <n v="79.461538461538467"/>
    <m/>
    <m/>
    <x v="7"/>
  </r>
  <r>
    <s v="ottostrickland"/>
    <s v="SLEE"/>
    <x v="6"/>
    <s v="Strickland"/>
    <s v="SLEE"/>
    <s v="Land of the"/>
    <s v="Lost Sleestaks"/>
    <n v="10"/>
    <n v="9"/>
    <n v="4"/>
    <n v="9"/>
    <n v="0"/>
    <n v="974"/>
    <n v="1134"/>
    <n v="74.92307692307692"/>
    <m/>
    <m/>
    <x v="7"/>
  </r>
  <r>
    <s v="Abby64475"/>
    <s v="BALL"/>
    <x v="2"/>
    <s v="Ballard"/>
    <s v="BALL"/>
    <s v="Team"/>
    <s v="A. Ballard"/>
    <n v="11"/>
    <n v="7"/>
    <n v="4"/>
    <n v="9"/>
    <n v="0"/>
    <n v="959"/>
    <n v="1311"/>
    <n v="73.769230769230774"/>
    <m/>
    <m/>
    <x v="7"/>
  </r>
  <r>
    <s v="seldonballard"/>
    <s v="MAK"/>
    <x v="5"/>
    <s v="Ballard"/>
    <s v="MAK"/>
    <s v="Dude"/>
    <s v="Where’s Makar"/>
    <n v="12"/>
    <n v="12"/>
    <n v="3"/>
    <n v="10"/>
    <n v="0"/>
    <n v="1084"/>
    <n v="1360"/>
    <n v="83.384615384615387"/>
    <m/>
    <m/>
    <x v="7"/>
  </r>
  <r>
    <s v="Chabecca"/>
    <s v="HOF"/>
    <x v="7"/>
    <s v="Strickland"/>
    <s v="HOF"/>
    <s v="AK"/>
    <s v="Be the One"/>
    <n v="1"/>
    <n v="1"/>
    <n v="11"/>
    <n v="3"/>
    <n v="0"/>
    <n v="1388"/>
    <n v="1242"/>
    <n v="99.142857142857139"/>
    <s v="Y"/>
    <s v="Y"/>
    <x v="8"/>
  </r>
  <r>
    <s v="strickland_26"/>
    <s v="BRS"/>
    <x v="0"/>
    <s v="Strickland"/>
    <s v="BRS"/>
    <s v="Inaugural"/>
    <s v="Champion"/>
    <n v="2"/>
    <n v="5"/>
    <n v="10"/>
    <n v="4"/>
    <n v="0"/>
    <n v="1334"/>
    <n v="1276"/>
    <n v="95.285714285714292"/>
    <s v="Y"/>
    <s v="Y"/>
    <x v="8"/>
  </r>
  <r>
    <s v="mariac8448744"/>
    <s v="BQMW"/>
    <x v="4"/>
    <s v="Strickland"/>
    <s v="BQMW"/>
    <s v="Brady Quinn"/>
    <s v="Medicine Woman"/>
    <n v="3"/>
    <n v="7"/>
    <n v="9"/>
    <n v="5"/>
    <n v="0"/>
    <n v="1363"/>
    <n v="1101"/>
    <n v="97.357142857142861"/>
    <s v="Y"/>
    <m/>
    <x v="8"/>
  </r>
  <r>
    <s v="CStrick14"/>
    <s v="CRS"/>
    <x v="10"/>
    <s v="Strickland"/>
    <s v="CRS"/>
    <s v="Unethical"/>
    <s v="TBL"/>
    <n v="4"/>
    <n v="4"/>
    <n v="8"/>
    <n v="6"/>
    <n v="0"/>
    <n v="1427"/>
    <n v="1304"/>
    <n v="101.92857142857143"/>
    <s v="Y"/>
    <m/>
    <x v="8"/>
  </r>
  <r>
    <s v="Brent1083"/>
    <s v="WALL"/>
    <x v="12"/>
    <s v="Wallace"/>
    <s v="WALL"/>
    <s v="Bad Boy"/>
    <s v=" Brent"/>
    <n v="5"/>
    <n v="6"/>
    <n v="8"/>
    <n v="6"/>
    <n v="0"/>
    <n v="1163"/>
    <n v="1171"/>
    <n v="83.071428571428569"/>
    <s v="Y"/>
    <m/>
    <x v="8"/>
  </r>
  <r>
    <s v="ottostrickland"/>
    <s v="SLEE"/>
    <x v="6"/>
    <s v="Strickland"/>
    <s v="SLEE"/>
    <s v="Land of the"/>
    <s v="Lost Sleestaks"/>
    <n v="6"/>
    <n v="3"/>
    <n v="7"/>
    <n v="7"/>
    <n v="0"/>
    <n v="1251"/>
    <n v="1144"/>
    <n v="89.357142857142861"/>
    <s v="Y"/>
    <m/>
    <x v="8"/>
  </r>
  <r>
    <s v="mtfreela1"/>
    <s v="FREE"/>
    <x v="9"/>
    <s v="Freeland"/>
    <s v="FREE"/>
    <s v="Rollin' *with"/>
    <s v="Mahomies"/>
    <n v="7"/>
    <n v="2"/>
    <n v="7"/>
    <n v="7"/>
    <n v="0"/>
    <n v="1191"/>
    <n v="1249"/>
    <n v="85.071428571428569"/>
    <s v="Y"/>
    <m/>
    <x v="8"/>
  </r>
  <r>
    <s v="strickrb"/>
    <s v="Ru$$"/>
    <x v="3"/>
    <s v="Strickland"/>
    <s v="Ru$$"/>
    <s v="Just the"/>
    <s v="facts ma'am"/>
    <n v="8"/>
    <n v="9"/>
    <n v="6"/>
    <n v="8"/>
    <n v="0"/>
    <n v="1268"/>
    <n v="1218"/>
    <n v="90.571428571428569"/>
    <m/>
    <m/>
    <x v="8"/>
  </r>
  <r>
    <s v="ESPNFAN17399922"/>
    <s v="CPAs"/>
    <x v="13"/>
    <s v="Rivera"/>
    <s v="CPAs"/>
    <s v="Team"/>
    <s v="Rivera"/>
    <n v="9"/>
    <n v="11"/>
    <n v="6"/>
    <n v="8"/>
    <n v="0"/>
    <n v="1174"/>
    <n v="1306"/>
    <n v="83.857142857142861"/>
    <m/>
    <m/>
    <x v="8"/>
  </r>
  <r>
    <s v="WattyStrick"/>
    <s v="BLM"/>
    <x v="1"/>
    <s v="Strickland"/>
    <s v="BLM"/>
    <s v="Black Labs"/>
    <s v="Matter"/>
    <n v="10"/>
    <n v="8"/>
    <n v="5"/>
    <n v="9"/>
    <n v="0"/>
    <n v="1228"/>
    <n v="1271"/>
    <n v="87.714285714285708"/>
    <m/>
    <m/>
    <x v="8"/>
  </r>
  <r>
    <s v="Mattfreela"/>
    <s v="WPS"/>
    <x v="11"/>
    <s v="Freeland"/>
    <s v="WPS"/>
    <s v="Pittman"/>
    <s v="For President"/>
    <n v="11"/>
    <n v="10"/>
    <n v="4"/>
    <n v="10"/>
    <n v="0"/>
    <n v="1081"/>
    <n v="1304"/>
    <n v="77.214285714285708"/>
    <m/>
    <m/>
    <x v="8"/>
  </r>
  <r>
    <s v="seldonballard"/>
    <s v="MAK"/>
    <x v="5"/>
    <s v="Ballard"/>
    <s v="MAK"/>
    <s v="Dude Where's"/>
    <s v="Makar"/>
    <n v="12"/>
    <n v="12"/>
    <n v="3"/>
    <n v="11"/>
    <n v="0"/>
    <n v="1120"/>
    <n v="1402"/>
    <n v="80"/>
    <m/>
    <m/>
    <x v="8"/>
  </r>
  <r>
    <s v="Brent1083"/>
    <s v="WALL"/>
    <x v="12"/>
    <s v="Wallace"/>
    <s v="WALL"/>
    <s v="Bad Boy"/>
    <s v=" Brent"/>
    <n v="1"/>
    <n v="2"/>
    <n v="11"/>
    <n v="3"/>
    <n v="0"/>
    <n v="1368"/>
    <n v="1057"/>
    <n v="97.714285714285708"/>
    <s v="Y"/>
    <s v="Y"/>
    <x v="9"/>
  </r>
  <r>
    <s v="seldonballard"/>
    <s v="MAK"/>
    <x v="5"/>
    <s v="Ballard"/>
    <s v="MAK"/>
    <s v="Dude Where's"/>
    <s v="Makar"/>
    <n v="2"/>
    <n v="1"/>
    <n v="8"/>
    <n v="6"/>
    <n v="0"/>
    <n v="1264"/>
    <n v="1184"/>
    <n v="90.285714285714292"/>
    <s v="Y"/>
    <s v="Y"/>
    <x v="9"/>
  </r>
  <r>
    <s v="strickland_26"/>
    <s v="BRS"/>
    <x v="0"/>
    <s v="Strickland"/>
    <s v="BRS"/>
    <s v="Inaugural"/>
    <s v="Champion"/>
    <n v="3"/>
    <n v="7"/>
    <n v="8"/>
    <n v="6"/>
    <n v="0"/>
    <n v="1378"/>
    <n v="1176"/>
    <n v="98.428571428571431"/>
    <s v="Y"/>
    <m/>
    <x v="9"/>
  </r>
  <r>
    <s v="WattyStrick"/>
    <s v="BLM"/>
    <x v="1"/>
    <s v="Strickland"/>
    <s v="BLM"/>
    <s v="Black Labs"/>
    <s v="Matter"/>
    <n v="4"/>
    <n v="6"/>
    <n v="8"/>
    <n v="6"/>
    <n v="0"/>
    <n v="1201"/>
    <n v="1118"/>
    <n v="85.785714285714292"/>
    <s v="Y"/>
    <m/>
    <x v="9"/>
  </r>
  <r>
    <s v="mariac8448744"/>
    <s v="BQMW"/>
    <x v="4"/>
    <s v="Strickland"/>
    <s v="BQMW"/>
    <s v="Brady Quinn"/>
    <s v="Medicine Woman"/>
    <n v="5"/>
    <n v="3"/>
    <n v="7"/>
    <n v="7"/>
    <n v="0"/>
    <n v="1270"/>
    <n v="1289"/>
    <n v="90.714285714285708"/>
    <s v="Y"/>
    <m/>
    <x v="9"/>
  </r>
  <r>
    <s v="ESPNFAN8347308687"/>
    <s v="RN"/>
    <x v="10"/>
    <s v="Strickland"/>
    <s v="RN"/>
    <s v="Kinder"/>
    <s v="Gentler, TBL"/>
    <n v="6"/>
    <n v="4"/>
    <n v="7"/>
    <n v="7"/>
    <n v="0"/>
    <n v="1215"/>
    <n v="1292"/>
    <n v="86.785714285714292"/>
    <s v="Y"/>
    <m/>
    <x v="9"/>
  </r>
  <r>
    <s v="ottostrickland"/>
    <s v="SLEE"/>
    <x v="6"/>
    <s v="Strickland"/>
    <s v="SLEE"/>
    <s v="Land of the"/>
    <s v="Lost Sleestaks"/>
    <n v="7"/>
    <n v="5"/>
    <n v="7"/>
    <n v="7"/>
    <n v="0"/>
    <n v="1138"/>
    <n v="1303"/>
    <n v="81.285714285714292"/>
    <s v="Y"/>
    <m/>
    <x v="9"/>
  </r>
  <r>
    <s v="ESPNFAN17399922"/>
    <s v="CPAs"/>
    <x v="13"/>
    <s v="Rivera"/>
    <s v="CPAs"/>
    <s v="Team"/>
    <s v="Rivera"/>
    <n v="8"/>
    <n v="8"/>
    <n v="6"/>
    <n v="8"/>
    <n v="0"/>
    <n v="1223"/>
    <n v="1318"/>
    <n v="87.357142857142861"/>
    <m/>
    <m/>
    <x v="9"/>
  </r>
  <r>
    <s v="strickrb"/>
    <s v="JTFM"/>
    <x v="3"/>
    <s v="Strickland"/>
    <s v="JTFM"/>
    <s v="Just the"/>
    <s v="facts ma'am"/>
    <n v="9"/>
    <n v="9"/>
    <n v="6"/>
    <n v="8"/>
    <n v="0"/>
    <n v="1183"/>
    <n v="1181"/>
    <n v="84.5"/>
    <m/>
    <m/>
    <x v="9"/>
  </r>
  <r>
    <s v="Chabecca"/>
    <s v="AK1*"/>
    <x v="7"/>
    <s v="Strickland"/>
    <s v="AK1*"/>
    <s v="AK"/>
    <s v="Be the One*"/>
    <n v="10"/>
    <n v="11"/>
    <n v="6"/>
    <n v="8"/>
    <n v="0"/>
    <n v="1142"/>
    <n v="1196"/>
    <n v="81.571428571428569"/>
    <m/>
    <m/>
    <x v="9"/>
  </r>
  <r>
    <s v="Mattfreela"/>
    <s v="WPS"/>
    <x v="11"/>
    <s v="Freeland"/>
    <s v="WPS"/>
    <s v="Pittman"/>
    <s v="For President"/>
    <n v="11"/>
    <n v="10"/>
    <n v="6"/>
    <n v="8"/>
    <n v="0"/>
    <n v="1110"/>
    <n v="1233"/>
    <n v="79.285714285714292"/>
    <m/>
    <m/>
    <x v="9"/>
  </r>
  <r>
    <s v="mtfreela1"/>
    <s v="FREE"/>
    <x v="9"/>
    <s v="Freeland"/>
    <s v="FREE"/>
    <s v="The Brady"/>
    <s v="Bunch"/>
    <n v="12"/>
    <n v="12"/>
    <n v="4"/>
    <n v="10"/>
    <n v="0"/>
    <n v="1034"/>
    <n v="1179"/>
    <n v="73.857142857142861"/>
    <m/>
    <m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n v="1"/>
    <x v="0"/>
    <n v="2013"/>
    <x v="0"/>
    <x v="0"/>
    <s v="QB"/>
    <x v="0"/>
    <x v="0"/>
    <n v="89.3"/>
    <n v="100"/>
    <n v="0"/>
    <s v="--"/>
    <n v="348"/>
    <n v="21.8"/>
    <s v="--"/>
  </r>
  <r>
    <n v="2"/>
    <x v="0"/>
    <n v="2013"/>
    <x v="1"/>
    <x v="0"/>
    <s v="RB"/>
    <x v="1"/>
    <x v="1"/>
    <n v="99.1"/>
    <n v="100"/>
    <n v="0"/>
    <s v="--"/>
    <n v="262"/>
    <n v="16.399999999999999"/>
    <s v="--"/>
  </r>
  <r>
    <n v="3"/>
    <x v="0"/>
    <n v="2013"/>
    <x v="2"/>
    <x v="0"/>
    <s v="RB"/>
    <x v="0"/>
    <x v="2"/>
    <n v="53.6"/>
    <n v="100"/>
    <n v="0"/>
    <s v="--"/>
    <n v="149"/>
    <n v="9.3000000000000007"/>
    <s v="--"/>
  </r>
  <r>
    <n v="4"/>
    <x v="0"/>
    <n v="2013"/>
    <x v="3"/>
    <x v="0"/>
    <s v="WR"/>
    <x v="1"/>
    <x v="3"/>
    <n v="98.1"/>
    <n v="100"/>
    <n v="0"/>
    <s v="--"/>
    <n v="220"/>
    <n v="13.8"/>
    <s v="--"/>
  </r>
  <r>
    <n v="5"/>
    <x v="0"/>
    <n v="2013"/>
    <x v="4"/>
    <x v="0"/>
    <s v="WR"/>
    <x v="0"/>
    <x v="4"/>
    <n v="64"/>
    <n v="100"/>
    <n v="0"/>
    <s v="--"/>
    <n v="221"/>
    <n v="15.8"/>
    <s v="--"/>
  </r>
  <r>
    <n v="6"/>
    <x v="0"/>
    <n v="2013"/>
    <x v="5"/>
    <x v="0"/>
    <s v="TE"/>
    <x v="0"/>
    <x v="5"/>
    <n v="16.3"/>
    <n v="30.6"/>
    <n v="0"/>
    <s v="--"/>
    <n v="87"/>
    <n v="5.8"/>
    <s v="--"/>
  </r>
  <r>
    <n v="7"/>
    <x v="0"/>
    <n v="2013"/>
    <x v="6"/>
    <x v="0"/>
    <s v="RB"/>
    <x v="0"/>
    <x v="6"/>
    <n v="83.5"/>
    <n v="100"/>
    <n v="0"/>
    <s v="--"/>
    <n v="174"/>
    <n v="12.4"/>
    <s v="--"/>
  </r>
  <r>
    <n v="8"/>
    <x v="0"/>
    <n v="2013"/>
    <x v="7"/>
    <x v="0"/>
    <s v="D/ST"/>
    <x v="1"/>
    <x v="7"/>
    <n v="92.2"/>
    <n v="100"/>
    <n v="0"/>
    <s v="--"/>
    <n v="195"/>
    <n v="12.2"/>
    <s v="--"/>
  </r>
  <r>
    <n v="9"/>
    <x v="0"/>
    <n v="2013"/>
    <x v="8"/>
    <x v="0"/>
    <s v="K"/>
    <x v="1"/>
    <x v="8"/>
    <n v="85.1"/>
    <n v="99.3"/>
    <n v="0"/>
    <s v="--"/>
    <n v="176"/>
    <n v="11"/>
    <s v="--"/>
  </r>
  <r>
    <n v="10"/>
    <x v="0"/>
    <n v="2013"/>
    <x v="9"/>
    <x v="1"/>
    <s v="QB"/>
    <x v="0"/>
    <x v="9"/>
    <n v="10.7"/>
    <n v="51.5"/>
    <n v="0"/>
    <s v="--"/>
    <n v="194"/>
    <n v="12.1"/>
    <s v="--"/>
  </r>
  <r>
    <n v="11"/>
    <x v="0"/>
    <n v="2013"/>
    <x v="6"/>
    <x v="1"/>
    <s v="TE"/>
    <x v="0"/>
    <x v="10"/>
    <n v="7.4"/>
    <n v="27.2"/>
    <n v="0"/>
    <s v="--"/>
    <n v="46"/>
    <n v="3.3"/>
    <s v="--"/>
  </r>
  <r>
    <n v="12"/>
    <x v="0"/>
    <n v="2013"/>
    <x v="9"/>
    <x v="1"/>
    <s v="D/ST"/>
    <x v="0"/>
    <x v="11"/>
    <n v="36.700000000000003"/>
    <n v="58.1"/>
    <n v="0"/>
    <s v="--"/>
    <n v="105"/>
    <n v="6.6"/>
    <s v="--"/>
  </r>
  <r>
    <n v="13"/>
    <x v="0"/>
    <n v="2013"/>
    <x v="10"/>
    <x v="1"/>
    <s v="WR"/>
    <x v="0"/>
    <x v="12"/>
    <n v="40"/>
    <n v="96.4"/>
    <n v="0"/>
    <s v="--"/>
    <n v="153"/>
    <n v="9.6"/>
    <s v="--"/>
  </r>
  <r>
    <n v="14"/>
    <x v="0"/>
    <n v="2013"/>
    <x v="11"/>
    <x v="1"/>
    <s v="WR"/>
    <x v="0"/>
    <x v="13"/>
    <n v="1.2"/>
    <n v="3.8"/>
    <n v="0"/>
    <s v="--"/>
    <n v="70"/>
    <n v="4.4000000000000004"/>
    <s v="--"/>
  </r>
  <r>
    <n v="15"/>
    <x v="0"/>
    <n v="2013"/>
    <x v="12"/>
    <x v="1"/>
    <s v="RB"/>
    <x v="0"/>
    <x v="14"/>
    <n v="60"/>
    <n v="78.5"/>
    <n v="0.1"/>
    <s v="--"/>
    <n v="81"/>
    <n v="10.1"/>
    <s v="--"/>
  </r>
  <r>
    <n v="16"/>
    <x v="0"/>
    <n v="2013"/>
    <x v="13"/>
    <x v="1"/>
    <s v="RB"/>
    <x v="0"/>
    <x v="15"/>
    <n v="20.3"/>
    <n v="81.7"/>
    <n v="0"/>
    <s v="--"/>
    <n v="115"/>
    <n v="7.7"/>
    <s v="--"/>
  </r>
  <r>
    <n v="17"/>
    <x v="1"/>
    <n v="2014"/>
    <x v="1"/>
    <x v="0"/>
    <s v="QB"/>
    <x v="0"/>
    <x v="16"/>
    <n v="0"/>
    <n v="0.1"/>
    <n v="-0.1"/>
    <s v="--"/>
    <n v="134"/>
    <n v="67"/>
    <s v="--"/>
  </r>
  <r>
    <n v="18"/>
    <x v="1"/>
    <n v="2014"/>
    <x v="14"/>
    <x v="0"/>
    <s v="RB"/>
    <x v="0"/>
    <x v="17"/>
    <n v="0.2"/>
    <n v="0.4"/>
    <n v="-0.4"/>
    <s v="--"/>
    <n v="111"/>
    <n v="6.9"/>
    <s v="--"/>
  </r>
  <r>
    <n v="19"/>
    <x v="1"/>
    <n v="2014"/>
    <x v="15"/>
    <x v="0"/>
    <s v="RB"/>
    <x v="0"/>
    <x v="18"/>
    <n v="0.6"/>
    <n v="0.9"/>
    <n v="-1.2"/>
    <s v="--"/>
    <n v="171"/>
    <n v="12.2"/>
    <s v="--"/>
  </r>
  <r>
    <n v="20"/>
    <x v="1"/>
    <n v="2014"/>
    <x v="16"/>
    <x v="0"/>
    <s v="WR"/>
    <x v="0"/>
    <x v="19"/>
    <n v="47.7"/>
    <n v="51.6"/>
    <n v="-18.100000000000001"/>
    <s v="--"/>
    <n v="221"/>
    <n v="13.8"/>
    <s v="--"/>
  </r>
  <r>
    <n v="21"/>
    <x v="1"/>
    <n v="2014"/>
    <x v="17"/>
    <x v="0"/>
    <s v="WR"/>
    <x v="0"/>
    <x v="20"/>
    <n v="5.0999999999999996"/>
    <n v="6.3"/>
    <n v="-5.2"/>
    <s v="--"/>
    <n v="167"/>
    <n v="12.8"/>
    <s v="--"/>
  </r>
  <r>
    <n v="22"/>
    <x v="1"/>
    <n v="2014"/>
    <x v="18"/>
    <x v="0"/>
    <s v="TE"/>
    <x v="1"/>
    <x v="21"/>
    <n v="1.7"/>
    <n v="2.2000000000000002"/>
    <n v="-2.8"/>
    <s v="--"/>
    <n v="131"/>
    <n v="14.6"/>
    <s v="--"/>
  </r>
  <r>
    <n v="23"/>
    <x v="1"/>
    <n v="2014"/>
    <x v="19"/>
    <x v="0"/>
    <s v="RB"/>
    <x v="0"/>
    <x v="22"/>
    <n v="0.1"/>
    <n v="0.2"/>
    <n v="-0.2"/>
    <s v="--"/>
    <n v="47"/>
    <n v="2.9"/>
    <s v="--"/>
  </r>
  <r>
    <n v="24"/>
    <x v="1"/>
    <n v="2014"/>
    <x v="1"/>
    <x v="0"/>
    <s v="D/ST"/>
    <x v="0"/>
    <x v="23"/>
    <n v="0.1"/>
    <n v="0.2"/>
    <n v="-0.3"/>
    <s v="--"/>
    <n v="159"/>
    <n v="9.9"/>
    <s v="--"/>
  </r>
  <r>
    <n v="25"/>
    <x v="1"/>
    <n v="2014"/>
    <x v="8"/>
    <x v="0"/>
    <s v="K"/>
    <x v="1"/>
    <x v="8"/>
    <n v="4.7"/>
    <n v="5.0999999999999996"/>
    <n v="-5.7"/>
    <s v="--"/>
    <n v="168"/>
    <n v="10.5"/>
    <s v="--"/>
  </r>
  <r>
    <n v="26"/>
    <x v="1"/>
    <n v="2014"/>
    <x v="19"/>
    <x v="1"/>
    <s v="WR"/>
    <x v="0"/>
    <x v="24"/>
    <n v="2.1"/>
    <n v="2.9"/>
    <n v="-3.1"/>
    <s v="--"/>
    <n v="172"/>
    <n v="12.3"/>
    <s v="--"/>
  </r>
  <r>
    <n v="27"/>
    <x v="1"/>
    <n v="2014"/>
    <x v="20"/>
    <x v="1"/>
    <s v="RB"/>
    <x v="0"/>
    <x v="25"/>
    <n v="0"/>
    <n v="0"/>
    <n v="0"/>
    <s v="--"/>
    <n v="48"/>
    <n v="3"/>
    <s v="--"/>
  </r>
  <r>
    <n v="28"/>
    <x v="1"/>
    <n v="2014"/>
    <x v="21"/>
    <x v="1"/>
    <s v="QB"/>
    <x v="0"/>
    <x v="26"/>
    <n v="0.3"/>
    <n v="0.6"/>
    <n v="-0.6"/>
    <s v="--"/>
    <n v="258"/>
    <n v="16.100000000000001"/>
    <s v="--"/>
  </r>
  <r>
    <n v="29"/>
    <x v="1"/>
    <n v="2014"/>
    <x v="13"/>
    <x v="1"/>
    <s v="RB"/>
    <x v="0"/>
    <x v="27"/>
    <n v="0"/>
    <n v="0.2"/>
    <n v="-0.1"/>
    <s v="--"/>
    <n v="122"/>
    <n v="7.6"/>
    <s v="--"/>
  </r>
  <r>
    <n v="30"/>
    <x v="1"/>
    <n v="2014"/>
    <x v="19"/>
    <x v="1"/>
    <s v="RB"/>
    <x v="0"/>
    <x v="28"/>
    <n v="0"/>
    <n v="0"/>
    <n v="0"/>
    <s v="--"/>
    <n v="108"/>
    <n v="6.8"/>
    <s v="--"/>
  </r>
  <r>
    <n v="31"/>
    <x v="2"/>
    <n v="2015"/>
    <x v="20"/>
    <x v="0"/>
    <s v="QB"/>
    <x v="0"/>
    <x v="29"/>
    <n v="46.3"/>
    <n v="87.1"/>
    <n v="-1.1000000000000001"/>
    <s v="--"/>
    <n v="595"/>
    <n v="37.200000000000003"/>
    <s v="--"/>
  </r>
  <r>
    <n v="32"/>
    <x v="2"/>
    <n v="2015"/>
    <x v="22"/>
    <x v="0"/>
    <s v="RB"/>
    <x v="0"/>
    <x v="30"/>
    <n v="72.900000000000006"/>
    <n v="98.9"/>
    <n v="-0.1"/>
    <s v="--"/>
    <n v="1329"/>
    <n v="102.2"/>
    <s v="--"/>
  </r>
  <r>
    <n v="33"/>
    <x v="2"/>
    <n v="2015"/>
    <x v="19"/>
    <x v="0"/>
    <s v="RB"/>
    <x v="0"/>
    <x v="31"/>
    <n v="60.1"/>
    <n v="95.3"/>
    <n v="-0.8"/>
    <s v="--"/>
    <n v="1270"/>
    <n v="79.400000000000006"/>
    <s v="--"/>
  </r>
  <r>
    <n v="34"/>
    <x v="2"/>
    <n v="2015"/>
    <x v="12"/>
    <x v="0"/>
    <s v="WR"/>
    <x v="1"/>
    <x v="32"/>
    <n v="93.4"/>
    <n v="99.8"/>
    <n v="0"/>
    <s v="--"/>
    <n v="1589"/>
    <n v="99.3"/>
    <s v="--"/>
  </r>
  <r>
    <n v="35"/>
    <x v="2"/>
    <n v="2015"/>
    <x v="22"/>
    <x v="0"/>
    <s v="WR"/>
    <x v="0"/>
    <x v="33"/>
    <n v="90.2"/>
    <n v="98.7"/>
    <n v="0"/>
    <s v="--"/>
    <n v="1582"/>
    <n v="98.9"/>
    <s v="--"/>
  </r>
  <r>
    <n v="36"/>
    <x v="2"/>
    <n v="2015"/>
    <x v="18"/>
    <x v="0"/>
    <s v="TE"/>
    <x v="1"/>
    <x v="21"/>
    <n v="89.5"/>
    <n v="99.7"/>
    <n v="0"/>
    <s v="--"/>
    <n v="1144"/>
    <n v="71.5"/>
    <s v="--"/>
  </r>
  <r>
    <n v="37"/>
    <x v="2"/>
    <n v="2015"/>
    <x v="23"/>
    <x v="0"/>
    <s v="WR"/>
    <x v="1"/>
    <x v="34"/>
    <n v="67.3"/>
    <n v="97.9"/>
    <n v="-0.1"/>
    <s v="--"/>
    <n v="1222"/>
    <n v="81.5"/>
    <s v="--"/>
  </r>
  <r>
    <n v="38"/>
    <x v="2"/>
    <n v="2015"/>
    <x v="6"/>
    <x v="0"/>
    <s v="D/ST"/>
    <x v="1"/>
    <x v="35"/>
    <n v="8.1999999999999993"/>
    <n v="17"/>
    <n v="-0.9"/>
    <s v="--"/>
    <n v="84"/>
    <n v="5.3"/>
    <s v="--"/>
  </r>
  <r>
    <n v="39"/>
    <x v="2"/>
    <n v="2015"/>
    <x v="24"/>
    <x v="0"/>
    <s v="K"/>
    <x v="1"/>
    <x v="36"/>
    <n v="29.6"/>
    <n v="34.5"/>
    <n v="8.6999999999999993"/>
    <s v="--"/>
    <n v="123"/>
    <n v="10.3"/>
    <s v="--"/>
  </r>
  <r>
    <n v="40"/>
    <x v="2"/>
    <n v="2015"/>
    <x v="24"/>
    <x v="1"/>
    <s v="RB"/>
    <x v="1"/>
    <x v="37"/>
    <n v="19.600000000000001"/>
    <n v="55.1"/>
    <n v="38.5"/>
    <s v="--"/>
    <n v="710"/>
    <n v="118.3"/>
    <s v="--"/>
  </r>
  <r>
    <n v="41"/>
    <x v="2"/>
    <n v="2015"/>
    <x v="0"/>
    <x v="1"/>
    <s v="WR"/>
    <x v="0"/>
    <x v="38"/>
    <n v="14.9"/>
    <n v="48.1"/>
    <n v="-4.4000000000000004"/>
    <s v="--"/>
    <n v="1000"/>
    <n v="66.7"/>
    <s v="--"/>
  </r>
  <r>
    <n v="42"/>
    <x v="2"/>
    <n v="2015"/>
    <x v="25"/>
    <x v="1"/>
    <s v="RB"/>
    <x v="0"/>
    <x v="39"/>
    <n v="6.4"/>
    <n v="43.1"/>
    <n v="-1.6"/>
    <s v="--"/>
    <n v="810"/>
    <n v="62.3"/>
    <s v="--"/>
  </r>
  <r>
    <n v="43"/>
    <x v="2"/>
    <n v="2015"/>
    <x v="8"/>
    <x v="1"/>
    <s v="RB"/>
    <x v="0"/>
    <x v="40"/>
    <n v="9.8000000000000007"/>
    <n v="40.6"/>
    <n v="-9.8000000000000007"/>
    <s v="--"/>
    <n v="399"/>
    <n v="33.299999999999997"/>
    <s v="--"/>
  </r>
  <r>
    <n v="44"/>
    <x v="2"/>
    <n v="2015"/>
    <x v="4"/>
    <x v="1"/>
    <s v="RB"/>
    <x v="0"/>
    <x v="41"/>
    <n v="14.1"/>
    <n v="45.6"/>
    <n v="-2.2999999999999998"/>
    <s v="--"/>
    <n v="918"/>
    <n v="57.4"/>
    <s v="--"/>
  </r>
  <r>
    <n v="45"/>
    <x v="3"/>
    <n v="2016"/>
    <x v="8"/>
    <x v="0"/>
    <s v="QB"/>
    <x v="0"/>
    <x v="42"/>
    <n v="75.3"/>
    <n v="99.4"/>
    <n v="0.1"/>
    <s v="--"/>
    <n v="261"/>
    <n v="21.8"/>
    <s v="--"/>
  </r>
  <r>
    <n v="46"/>
    <x v="3"/>
    <n v="2016"/>
    <x v="13"/>
    <x v="0"/>
    <s v="RB"/>
    <x v="0"/>
    <x v="43"/>
    <n v="98.8"/>
    <n v="100"/>
    <n v="0"/>
    <s v="--"/>
    <n v="313"/>
    <n v="19.600000000000001"/>
    <s v="--"/>
  </r>
  <r>
    <n v="47"/>
    <x v="3"/>
    <n v="2016"/>
    <x v="26"/>
    <x v="0"/>
    <s v="RB"/>
    <x v="0"/>
    <x v="44"/>
    <n v="77.3"/>
    <n v="89.9"/>
    <n v="1.7"/>
    <s v="--"/>
    <n v="87"/>
    <n v="5.8"/>
    <s v="--"/>
  </r>
  <r>
    <n v="48"/>
    <x v="3"/>
    <n v="2016"/>
    <x v="27"/>
    <x v="0"/>
    <s v="WR"/>
    <x v="0"/>
    <x v="45"/>
    <n v="96.1"/>
    <n v="99.8"/>
    <n v="0"/>
    <s v="--"/>
    <n v="170"/>
    <n v="12.1"/>
    <s v="--"/>
  </r>
  <r>
    <n v="49"/>
    <x v="3"/>
    <n v="2016"/>
    <x v="23"/>
    <x v="0"/>
    <s v="WR"/>
    <x v="1"/>
    <x v="34"/>
    <n v="98.9"/>
    <n v="99.9"/>
    <n v="0"/>
    <s v="--"/>
    <n v="200"/>
    <n v="12.5"/>
    <s v="--"/>
  </r>
  <r>
    <n v="50"/>
    <x v="3"/>
    <n v="2016"/>
    <x v="28"/>
    <x v="0"/>
    <s v="TE"/>
    <x v="1"/>
    <x v="46"/>
    <n v="95.7"/>
    <n v="98.8"/>
    <n v="0.1"/>
    <s v="--"/>
    <n v="133"/>
    <n v="8.3000000000000007"/>
    <s v="--"/>
  </r>
  <r>
    <n v="51"/>
    <x v="3"/>
    <n v="2016"/>
    <x v="25"/>
    <x v="0"/>
    <s v="RB"/>
    <x v="0"/>
    <x v="47"/>
    <n v="60.6"/>
    <n v="89.8"/>
    <n v="0.7"/>
    <s v="--"/>
    <n v="110"/>
    <n v="7.9"/>
    <s v="--"/>
  </r>
  <r>
    <n v="52"/>
    <x v="3"/>
    <n v="2016"/>
    <x v="29"/>
    <x v="0"/>
    <s v="D/ST"/>
    <x v="0"/>
    <x v="48"/>
    <n v="32.4"/>
    <n v="63.1"/>
    <n v="-1.5"/>
    <s v="--"/>
    <n v="81"/>
    <n v="5.0999999999999996"/>
    <s v="--"/>
  </r>
  <r>
    <n v="53"/>
    <x v="3"/>
    <n v="2016"/>
    <x v="30"/>
    <x v="0"/>
    <s v="K"/>
    <x v="0"/>
    <x v="49"/>
    <n v="45.1"/>
    <n v="56.1"/>
    <n v="-1.4"/>
    <s v="--"/>
    <n v="134"/>
    <n v="8.9"/>
    <s v="--"/>
  </r>
  <r>
    <n v="54"/>
    <x v="3"/>
    <n v="2016"/>
    <x v="2"/>
    <x v="1"/>
    <s v="RB"/>
    <x v="0"/>
    <x v="50"/>
    <n v="15"/>
    <n v="95.2"/>
    <n v="-0.3"/>
    <s v="--"/>
    <n v="147"/>
    <n v="9.8000000000000007"/>
    <s v="--"/>
  </r>
  <r>
    <n v="55"/>
    <x v="3"/>
    <n v="2016"/>
    <x v="25"/>
    <x v="1"/>
    <s v="WR"/>
    <x v="0"/>
    <x v="51"/>
    <n v="28.3"/>
    <n v="76"/>
    <n v="0"/>
    <s v="--"/>
    <n v="122"/>
    <n v="7.6"/>
    <s v="--"/>
  </r>
  <r>
    <n v="56"/>
    <x v="3"/>
    <n v="2016"/>
    <x v="26"/>
    <x v="1"/>
    <s v="WR"/>
    <x v="0"/>
    <x v="52"/>
    <n v="73.7"/>
    <n v="91.2"/>
    <n v="0.8"/>
    <s v="--"/>
    <n v="166"/>
    <n v="10.4"/>
    <s v="--"/>
  </r>
  <r>
    <n v="57"/>
    <x v="3"/>
    <n v="2016"/>
    <x v="21"/>
    <x v="1"/>
    <s v="D/ST"/>
    <x v="0"/>
    <x v="53"/>
    <n v="17.100000000000001"/>
    <n v="45"/>
    <n v="-5.0999999999999996"/>
    <s v="--"/>
    <n v="109"/>
    <n v="6.8"/>
    <s v="--"/>
  </r>
  <r>
    <n v="58"/>
    <x v="3"/>
    <n v="2016"/>
    <x v="27"/>
    <x v="1"/>
    <s v="WR"/>
    <x v="0"/>
    <x v="54"/>
    <n v="1.1000000000000001"/>
    <n v="49.6"/>
    <n v="-7.2"/>
    <s v="--"/>
    <n v="98"/>
    <n v="8.1999999999999993"/>
    <s v="--"/>
  </r>
  <r>
    <n v="59"/>
    <x v="4"/>
    <n v="2017"/>
    <x v="25"/>
    <x v="0"/>
    <s v="QB"/>
    <x v="0"/>
    <x v="55"/>
    <n v="29.7"/>
    <n v="84.3"/>
    <n v="0.1"/>
    <s v="--"/>
    <n v="299"/>
    <n v="19.899999999999999"/>
    <s v="--"/>
  </r>
  <r>
    <n v="60"/>
    <x v="4"/>
    <n v="2017"/>
    <x v="17"/>
    <x v="0"/>
    <s v="RB"/>
    <x v="1"/>
    <x v="56"/>
    <n v="83.4"/>
    <n v="99.4"/>
    <n v="0"/>
    <s v="--"/>
    <n v="164"/>
    <n v="10.3"/>
    <s v="--"/>
  </r>
  <r>
    <n v="61"/>
    <x v="4"/>
    <n v="2017"/>
    <x v="28"/>
    <x v="0"/>
    <s v="RB"/>
    <x v="0"/>
    <x v="57"/>
    <n v="82.2"/>
    <n v="97.9"/>
    <n v="-0.1"/>
    <s v="--"/>
    <n v="229"/>
    <n v="14.3"/>
    <s v="--"/>
  </r>
  <r>
    <n v="62"/>
    <x v="4"/>
    <n v="2017"/>
    <x v="28"/>
    <x v="0"/>
    <s v="WR"/>
    <x v="1"/>
    <x v="58"/>
    <n v="72.599999999999994"/>
    <n v="95.9"/>
    <n v="-0.1"/>
    <s v="--"/>
    <n v="159"/>
    <n v="10.6"/>
    <s v="--"/>
  </r>
  <r>
    <n v="63"/>
    <x v="4"/>
    <n v="2017"/>
    <x v="24"/>
    <x v="0"/>
    <s v="WR"/>
    <x v="0"/>
    <x v="59"/>
    <n v="55.2"/>
    <n v="89"/>
    <n v="-0.2"/>
    <s v="--"/>
    <n v="132"/>
    <n v="9.4"/>
    <s v="--"/>
  </r>
  <r>
    <n v="64"/>
    <x v="4"/>
    <n v="2017"/>
    <x v="31"/>
    <x v="0"/>
    <s v="TE"/>
    <x v="0"/>
    <x v="60"/>
    <n v="61.4"/>
    <n v="87.9"/>
    <n v="0.5"/>
    <s v="--"/>
    <n v="103"/>
    <n v="6.9"/>
    <s v="--"/>
  </r>
  <r>
    <n v="65"/>
    <x v="4"/>
    <n v="2017"/>
    <x v="1"/>
    <x v="0"/>
    <s v="RB"/>
    <x v="0"/>
    <x v="61"/>
    <n v="56.1"/>
    <n v="92"/>
    <n v="-0.1"/>
    <s v="--"/>
    <n v="100"/>
    <n v="7.1"/>
    <s v="--"/>
  </r>
  <r>
    <n v="66"/>
    <x v="4"/>
    <n v="2017"/>
    <x v="18"/>
    <x v="0"/>
    <s v="D/ST"/>
    <x v="0"/>
    <x v="62"/>
    <n v="29.8"/>
    <n v="55.3"/>
    <n v="-1.9"/>
    <s v="--"/>
    <n v="126"/>
    <n v="7.9"/>
    <s v="--"/>
  </r>
  <r>
    <n v="67"/>
    <x v="4"/>
    <n v="2017"/>
    <x v="0"/>
    <x v="0"/>
    <s v="K"/>
    <x v="0"/>
    <x v="63"/>
    <n v="64.900000000000006"/>
    <n v="76.400000000000006"/>
    <n v="0.5"/>
    <s v="--"/>
    <n v="156"/>
    <n v="9.8000000000000007"/>
    <s v="--"/>
  </r>
  <r>
    <n v="68"/>
    <x v="4"/>
    <n v="2017"/>
    <x v="7"/>
    <x v="1"/>
    <s v="RB"/>
    <x v="0"/>
    <x v="64"/>
    <n v="5.2"/>
    <n v="38.9"/>
    <n v="-2.5"/>
    <s v="--"/>
    <n v="31"/>
    <n v="5.2"/>
    <s v="--"/>
  </r>
  <r>
    <n v="69"/>
    <x v="4"/>
    <n v="2017"/>
    <x v="1"/>
    <x v="1"/>
    <s v="QB"/>
    <x v="0"/>
    <x v="65"/>
    <n v="8.5"/>
    <n v="42.6"/>
    <n v="-2.2999999999999998"/>
    <s v="--"/>
    <n v="30"/>
    <n v="4.3"/>
    <s v="--"/>
  </r>
  <r>
    <n v="70"/>
    <x v="4"/>
    <n v="2017"/>
    <x v="25"/>
    <x v="1"/>
    <s v="D/ST"/>
    <x v="0"/>
    <x v="66"/>
    <n v="8.1999999999999993"/>
    <n v="18.3"/>
    <n v="-0.9"/>
    <s v="--"/>
    <n v="94"/>
    <n v="5.9"/>
    <s v="--"/>
  </r>
  <r>
    <n v="71"/>
    <x v="4"/>
    <n v="2017"/>
    <x v="13"/>
    <x v="1"/>
    <s v="D/ST"/>
    <x v="0"/>
    <x v="67"/>
    <n v="13.3"/>
    <n v="24.7"/>
    <n v="-4.9000000000000004"/>
    <s v="--"/>
    <n v="106"/>
    <n v="6.6"/>
    <s v="--"/>
  </r>
  <r>
    <n v="72"/>
    <x v="4"/>
    <n v="2017"/>
    <x v="14"/>
    <x v="1"/>
    <s v="WR"/>
    <x v="0"/>
    <x v="68"/>
    <n v="28"/>
    <n v="69.599999999999994"/>
    <n v="-2.1"/>
    <s v="--"/>
    <n v="101"/>
    <n v="8.4"/>
    <s v="--"/>
  </r>
  <r>
    <n v="73"/>
    <x v="5"/>
    <n v="2018"/>
    <x v="27"/>
    <x v="0"/>
    <s v="QB"/>
    <x v="0"/>
    <x v="69"/>
    <n v="56.1"/>
    <n v="94.1"/>
    <n v="0"/>
    <s v="--"/>
    <n v="354"/>
    <n v="22.1"/>
    <s v="--"/>
  </r>
  <r>
    <n v="74"/>
    <x v="5"/>
    <n v="2018"/>
    <x v="7"/>
    <x v="0"/>
    <s v="RB"/>
    <x v="0"/>
    <x v="70"/>
    <n v="65.400000000000006"/>
    <n v="93.3"/>
    <n v="-0.4"/>
    <s v="--"/>
    <n v="170"/>
    <n v="12.1"/>
    <s v="--"/>
  </r>
  <r>
    <n v="75"/>
    <x v="5"/>
    <n v="2018"/>
    <x v="10"/>
    <x v="0"/>
    <s v="RB"/>
    <x v="0"/>
    <x v="71"/>
    <n v="10.5"/>
    <n v="65.5"/>
    <n v="-2.2000000000000002"/>
    <s v="--"/>
    <n v="126"/>
    <n v="9"/>
    <s v="--"/>
  </r>
  <r>
    <n v="76"/>
    <x v="5"/>
    <n v="2018"/>
    <x v="13"/>
    <x v="0"/>
    <s v="WR"/>
    <x v="0"/>
    <x v="72"/>
    <n v="34"/>
    <n v="84.8"/>
    <n v="-1"/>
    <s v="--"/>
    <n v="109"/>
    <n v="6.8"/>
    <s v="--"/>
  </r>
  <r>
    <n v="77"/>
    <x v="5"/>
    <n v="2018"/>
    <x v="7"/>
    <x v="0"/>
    <s v="WR"/>
    <x v="1"/>
    <x v="73"/>
    <n v="50.2"/>
    <n v="85.5"/>
    <n v="0.3"/>
    <s v="--"/>
    <n v="155"/>
    <n v="9.6999999999999993"/>
    <s v="--"/>
  </r>
  <r>
    <n v="78"/>
    <x v="5"/>
    <n v="2018"/>
    <x v="21"/>
    <x v="0"/>
    <s v="TE"/>
    <x v="0"/>
    <x v="74"/>
    <n v="13.7"/>
    <n v="43"/>
    <n v="-1.3"/>
    <s v="--"/>
    <n v="0"/>
    <n v="0"/>
    <s v="--"/>
  </r>
  <r>
    <n v="79"/>
    <x v="5"/>
    <n v="2018"/>
    <x v="22"/>
    <x v="0"/>
    <s v="RB"/>
    <x v="0"/>
    <x v="75"/>
    <n v="22.5"/>
    <n v="70.8"/>
    <n v="0.5"/>
    <s v="--"/>
    <n v="61"/>
    <n v="7.6"/>
    <s v="--"/>
  </r>
  <r>
    <n v="80"/>
    <x v="5"/>
    <n v="2018"/>
    <x v="17"/>
    <x v="0"/>
    <s v="D/ST"/>
    <x v="1"/>
    <x v="76"/>
    <n v="81.400000000000006"/>
    <n v="96.2"/>
    <n v="-0.1"/>
    <s v="--"/>
    <n v="188"/>
    <n v="11.8"/>
    <s v="--"/>
  </r>
  <r>
    <n v="81"/>
    <x v="5"/>
    <n v="2018"/>
    <x v="12"/>
    <x v="0"/>
    <s v="K"/>
    <x v="1"/>
    <x v="77"/>
    <n v="71.5"/>
    <n v="82.3"/>
    <n v="-2"/>
    <s v="--"/>
    <n v="165"/>
    <n v="10.3"/>
    <s v="--"/>
  </r>
  <r>
    <n v="82"/>
    <x v="5"/>
    <n v="2018"/>
    <x v="14"/>
    <x v="1"/>
    <s v="RB"/>
    <x v="0"/>
    <x v="78"/>
    <n v="82.9"/>
    <n v="97.7"/>
    <n v="0.1"/>
    <s v="--"/>
    <n v="301"/>
    <n v="21.5"/>
    <s v="--"/>
  </r>
  <r>
    <n v="83"/>
    <x v="5"/>
    <n v="2018"/>
    <x v="29"/>
    <x v="1"/>
    <s v="RB"/>
    <x v="1"/>
    <x v="1"/>
    <n v="28.4"/>
    <n v="83.4"/>
    <n v="0.7"/>
    <s v="--"/>
    <n v="83"/>
    <n v="5.9"/>
    <s v="--"/>
  </r>
  <r>
    <n v="84"/>
    <x v="5"/>
    <n v="2018"/>
    <x v="12"/>
    <x v="1"/>
    <s v="WR"/>
    <x v="1"/>
    <x v="3"/>
    <n v="14"/>
    <n v="75"/>
    <n v="0.5"/>
    <s v="--"/>
    <n v="91"/>
    <n v="6.1"/>
    <s v="--"/>
  </r>
  <r>
    <n v="85"/>
    <x v="5"/>
    <n v="2018"/>
    <x v="30"/>
    <x v="1"/>
    <s v="TE"/>
    <x v="0"/>
    <x v="79"/>
    <n v="60.2"/>
    <n v="89.2"/>
    <n v="-0.8"/>
    <s v="--"/>
    <n v="122"/>
    <n v="7.6"/>
    <s v="--"/>
  </r>
  <r>
    <n v="86"/>
    <x v="5"/>
    <n v="2018"/>
    <x v="16"/>
    <x v="1"/>
    <s v="QB"/>
    <x v="0"/>
    <x v="80"/>
    <n v="22.3"/>
    <n v="63.7"/>
    <n v="-1.9"/>
    <s v="--"/>
    <n v="282"/>
    <n v="17.600000000000001"/>
    <s v="--"/>
  </r>
  <r>
    <n v="87"/>
    <x v="2"/>
    <n v="2019"/>
    <x v="13"/>
    <x v="0"/>
    <s v="QB"/>
    <x v="1"/>
    <x v="81"/>
    <n v="33.799999999999997"/>
    <n v="84.5"/>
    <n v="0"/>
    <n v="8"/>
    <n v="273"/>
    <n v="17.100000000000001"/>
    <n v="13"/>
  </r>
  <r>
    <n v="88"/>
    <x v="2"/>
    <n v="2019"/>
    <x v="8"/>
    <x v="0"/>
    <s v="RB"/>
    <x v="0"/>
    <x v="82"/>
    <n v="39"/>
    <n v="84.4"/>
    <n v="0"/>
    <n v="24"/>
    <n v="132"/>
    <n v="8.3000000000000007"/>
    <n v="13"/>
  </r>
  <r>
    <n v="89"/>
    <x v="2"/>
    <n v="2019"/>
    <x v="10"/>
    <x v="0"/>
    <s v="RB"/>
    <x v="0"/>
    <x v="83"/>
    <n v="45.4"/>
    <n v="72.400000000000006"/>
    <n v="0"/>
    <n v="20"/>
    <n v="141"/>
    <n v="8.8000000000000007"/>
    <n v="18"/>
  </r>
  <r>
    <n v="90"/>
    <x v="2"/>
    <n v="2019"/>
    <x v="12"/>
    <x v="0"/>
    <s v="WR"/>
    <x v="1"/>
    <x v="32"/>
    <n v="75.8"/>
    <n v="99.8"/>
    <n v="0"/>
    <n v="10"/>
    <n v="157"/>
    <n v="10.5"/>
    <s v="--"/>
  </r>
  <r>
    <n v="91"/>
    <x v="2"/>
    <n v="2019"/>
    <x v="23"/>
    <x v="0"/>
    <s v="WR"/>
    <x v="0"/>
    <x v="84"/>
    <n v="50.1"/>
    <n v="68.3"/>
    <n v="0"/>
    <n v="41"/>
    <n v="98"/>
    <n v="7"/>
    <n v="19"/>
  </r>
  <r>
    <n v="92"/>
    <x v="2"/>
    <n v="2019"/>
    <x v="1"/>
    <x v="0"/>
    <s v="TE"/>
    <x v="0"/>
    <x v="85"/>
    <n v="62.3"/>
    <n v="91.9"/>
    <n v="0"/>
    <n v="5"/>
    <n v="122"/>
    <n v="8.1"/>
    <s v="--"/>
  </r>
  <r>
    <n v="93"/>
    <x v="2"/>
    <n v="2019"/>
    <x v="22"/>
    <x v="0"/>
    <s v="RB"/>
    <x v="1"/>
    <x v="37"/>
    <n v="74.900000000000006"/>
    <n v="98.1"/>
    <n v="0"/>
    <n v="21"/>
    <n v="137"/>
    <n v="9.1"/>
    <n v="7"/>
  </r>
  <r>
    <n v="94"/>
    <x v="2"/>
    <n v="2019"/>
    <x v="3"/>
    <x v="0"/>
    <s v="D/ST"/>
    <x v="0"/>
    <x v="86"/>
    <n v="28.6"/>
    <n v="43.3"/>
    <n v="0"/>
    <n v="20"/>
    <n v="81"/>
    <n v="5.0999999999999996"/>
    <n v="0"/>
  </r>
  <r>
    <n v="95"/>
    <x v="2"/>
    <n v="2019"/>
    <x v="3"/>
    <x v="0"/>
    <s v="K"/>
    <x v="0"/>
    <x v="87"/>
    <n v="4"/>
    <n v="5.8"/>
    <n v="0"/>
    <n v="9"/>
    <n v="125"/>
    <n v="7.8"/>
    <n v="13"/>
  </r>
  <r>
    <n v="96"/>
    <x v="2"/>
    <n v="2019"/>
    <x v="4"/>
    <x v="1"/>
    <s v="WR"/>
    <x v="0"/>
    <x v="88"/>
    <n v="67.3"/>
    <n v="93.7"/>
    <n v="0"/>
    <n v="15"/>
    <n v="147"/>
    <n v="9.1999999999999993"/>
    <n v="14"/>
  </r>
  <r>
    <n v="97"/>
    <x v="2"/>
    <n v="2019"/>
    <x v="31"/>
    <x v="1"/>
    <s v="WR"/>
    <x v="0"/>
    <x v="89"/>
    <n v="19"/>
    <n v="66.7"/>
    <n v="0"/>
    <n v="40"/>
    <n v="99"/>
    <n v="9"/>
    <n v="12"/>
  </r>
  <r>
    <n v="98"/>
    <x v="2"/>
    <n v="2019"/>
    <x v="0"/>
    <x v="1"/>
    <s v="RB"/>
    <x v="0"/>
    <x v="90"/>
    <n v="11.9"/>
    <n v="62.2"/>
    <n v="0"/>
    <n v="30"/>
    <n v="110"/>
    <n v="6.9"/>
    <n v="7"/>
  </r>
  <r>
    <n v="99"/>
    <x v="2"/>
    <n v="2019"/>
    <x v="22"/>
    <x v="1"/>
    <s v="D/ST"/>
    <x v="0"/>
    <x v="91"/>
    <n v="22.6"/>
    <n v="36.5"/>
    <n v="0"/>
    <n v="7"/>
    <n v="129"/>
    <n v="8.1"/>
    <n v="11"/>
  </r>
  <r>
    <n v="100"/>
    <x v="2"/>
    <n v="2019"/>
    <x v="7"/>
    <x v="1"/>
    <s v="RB"/>
    <x v="0"/>
    <x v="92"/>
    <n v="8.6999999999999993"/>
    <n v="25.4"/>
    <n v="-0.1"/>
    <n v="100"/>
    <n v="9"/>
    <n v="9"/>
    <n v="9"/>
  </r>
  <r>
    <n v="101"/>
    <x v="4"/>
    <n v="2020"/>
    <x v="28"/>
    <x v="0"/>
    <s v="QB"/>
    <x v="0"/>
    <x v="93"/>
    <n v="62.1"/>
    <n v="97.2"/>
    <n v="-2.7"/>
    <n v="1"/>
    <n v="373"/>
    <n v="24.9"/>
    <s v="--"/>
  </r>
  <r>
    <n v="102"/>
    <x v="4"/>
    <n v="2020"/>
    <x v="23"/>
    <x v="0"/>
    <s v="RB"/>
    <x v="0"/>
    <x v="94"/>
    <n v="28.4"/>
    <n v="77.099999999999994"/>
    <n v="-9.9"/>
    <n v="40"/>
    <n v="86"/>
    <n v="6.6"/>
    <n v="2"/>
  </r>
  <r>
    <n v="103"/>
    <x v="4"/>
    <n v="2020"/>
    <x v="4"/>
    <x v="0"/>
    <s v="RB"/>
    <x v="0"/>
    <x v="95"/>
    <n v="91.6"/>
    <n v="99.2"/>
    <n v="-0.1"/>
    <n v="8"/>
    <n v="183"/>
    <n v="15.3"/>
    <n v="16"/>
  </r>
  <r>
    <n v="104"/>
    <x v="4"/>
    <n v="2020"/>
    <x v="28"/>
    <x v="0"/>
    <s v="WR"/>
    <x v="1"/>
    <x v="58"/>
    <n v="59.7"/>
    <n v="99.7"/>
    <n v="-0.2"/>
    <n v="1"/>
    <n v="230"/>
    <n v="15.3"/>
    <s v="--"/>
  </r>
  <r>
    <n v="105"/>
    <x v="4"/>
    <n v="2020"/>
    <x v="10"/>
    <x v="0"/>
    <s v="WR"/>
    <x v="0"/>
    <x v="96"/>
    <n v="27.9"/>
    <n v="63.5"/>
    <n v="-24"/>
    <n v="22"/>
    <n v="119"/>
    <n v="9.9"/>
    <s v="--"/>
  </r>
  <r>
    <n v="106"/>
    <x v="4"/>
    <n v="2020"/>
    <x v="3"/>
    <x v="0"/>
    <s v="TE"/>
    <x v="0"/>
    <x v="97"/>
    <n v="47.7"/>
    <n v="77.599999999999994"/>
    <n v="1"/>
    <n v="15"/>
    <n v="79"/>
    <n v="5.3"/>
    <n v="4"/>
  </r>
  <r>
    <n v="107"/>
    <x v="4"/>
    <n v="2020"/>
    <x v="28"/>
    <x v="0"/>
    <s v="RB"/>
    <x v="1"/>
    <x v="37"/>
    <n v="24.4"/>
    <n v="71.2"/>
    <n v="-11.1"/>
    <n v="55"/>
    <n v="52"/>
    <n v="4.7"/>
    <s v="--"/>
  </r>
  <r>
    <n v="108"/>
    <x v="4"/>
    <n v="2020"/>
    <x v="17"/>
    <x v="0"/>
    <s v="D/ST"/>
    <x v="1"/>
    <x v="76"/>
    <n v="41.7"/>
    <n v="62.6"/>
    <n v="-8.8000000000000007"/>
    <n v="13"/>
    <n v="82"/>
    <n v="5.0999999999999996"/>
    <n v="0"/>
  </r>
  <r>
    <n v="109"/>
    <x v="4"/>
    <n v="2020"/>
    <x v="15"/>
    <x v="0"/>
    <s v="K"/>
    <x v="1"/>
    <x v="98"/>
    <n v="68.400000000000006"/>
    <n v="75.3"/>
    <n v="-4.2"/>
    <n v="1"/>
    <n v="169"/>
    <n v="10.6"/>
    <n v="9"/>
  </r>
  <r>
    <n v="110"/>
    <x v="4"/>
    <n v="2020"/>
    <x v="7"/>
    <x v="1"/>
    <s v="WR"/>
    <x v="1"/>
    <x v="73"/>
    <n v="73.7"/>
    <n v="98.4"/>
    <n v="-0.6"/>
    <n v="13"/>
    <n v="160"/>
    <n v="10"/>
    <n v="21"/>
  </r>
  <r>
    <n v="111"/>
    <x v="4"/>
    <n v="2020"/>
    <x v="29"/>
    <x v="1"/>
    <s v="RB"/>
    <x v="0"/>
    <x v="99"/>
    <n v="24.9"/>
    <n v="69.099999999999994"/>
    <n v="-3.1"/>
    <n v="35"/>
    <n v="94"/>
    <n v="5.9"/>
    <n v="0"/>
  </r>
  <r>
    <n v="112"/>
    <x v="4"/>
    <n v="2020"/>
    <x v="10"/>
    <x v="1"/>
    <s v="RB"/>
    <x v="0"/>
    <x v="100"/>
    <n v="61.7"/>
    <n v="77.7"/>
    <n v="23.4"/>
    <n v="26"/>
    <n v="123"/>
    <n v="10.3"/>
    <n v="20"/>
  </r>
  <r>
    <n v="113"/>
    <x v="4"/>
    <n v="2020"/>
    <x v="29"/>
    <x v="1"/>
    <s v="WR"/>
    <x v="0"/>
    <x v="101"/>
    <n v="2.7"/>
    <n v="36.1"/>
    <n v="-2.2000000000000002"/>
    <n v="86"/>
    <n v="62"/>
    <n v="6.9"/>
    <n v="13"/>
  </r>
  <r>
    <n v="114"/>
    <x v="4"/>
    <n v="2020"/>
    <x v="12"/>
    <x v="1"/>
    <s v="WR"/>
    <x v="0"/>
    <x v="102"/>
    <n v="7.5"/>
    <n v="23.3"/>
    <n v="-6.4"/>
    <n v="93"/>
    <n v="52"/>
    <n v="6.5"/>
    <n v="9"/>
  </r>
  <r>
    <n v="115"/>
    <x v="5"/>
    <n v="2021"/>
    <x v="29"/>
    <x v="0"/>
    <s v="QB"/>
    <x v="0"/>
    <x v="103"/>
    <n v="94.6"/>
    <n v="99.9"/>
    <n v="0"/>
    <n v="1"/>
    <n v="387"/>
    <n v="22.8"/>
    <n v="23"/>
  </r>
  <r>
    <n v="116"/>
    <x v="5"/>
    <n v="2021"/>
    <x v="0"/>
    <x v="0"/>
    <s v="RB"/>
    <x v="0"/>
    <x v="104"/>
    <n v="94.3"/>
    <n v="99.9"/>
    <n v="0"/>
    <n v="9"/>
    <n v="177"/>
    <n v="13.6"/>
    <n v="15"/>
  </r>
  <r>
    <n v="117"/>
    <x v="5"/>
    <n v="2021"/>
    <x v="25"/>
    <x v="0"/>
    <s v="RB"/>
    <x v="0"/>
    <x v="105"/>
    <n v="8.6999999999999993"/>
    <n v="22.4"/>
    <n v="8.9"/>
    <n v="71"/>
    <n v="39"/>
    <n v="2.8"/>
    <n v="3"/>
  </r>
  <r>
    <n v="118"/>
    <x v="5"/>
    <n v="2021"/>
    <x v="2"/>
    <x v="0"/>
    <s v="WR"/>
    <x v="0"/>
    <x v="106"/>
    <n v="59.7"/>
    <n v="94.4"/>
    <n v="-0.5"/>
    <n v="17"/>
    <n v="139"/>
    <n v="9.9"/>
    <s v="--"/>
  </r>
  <r>
    <n v="119"/>
    <x v="5"/>
    <n v="2021"/>
    <x v="10"/>
    <x v="0"/>
    <s v="WR"/>
    <x v="0"/>
    <x v="107"/>
    <n v="86"/>
    <n v="99.5"/>
    <n v="0.1"/>
    <n v="2"/>
    <n v="248"/>
    <n v="15.5"/>
    <n v="23"/>
  </r>
  <r>
    <n v="120"/>
    <x v="5"/>
    <n v="2021"/>
    <x v="9"/>
    <x v="0"/>
    <s v="TE"/>
    <x v="1"/>
    <x v="108"/>
    <n v="97"/>
    <n v="99.8"/>
    <n v="0"/>
    <n v="1"/>
    <n v="185"/>
    <n v="10.9"/>
    <n v="8"/>
  </r>
  <r>
    <n v="121"/>
    <x v="5"/>
    <n v="2021"/>
    <x v="0"/>
    <x v="0"/>
    <s v="WR"/>
    <x v="0"/>
    <x v="109"/>
    <n v="6.4"/>
    <n v="30.1"/>
    <n v="0.6"/>
    <n v="39"/>
    <n v="99"/>
    <n v="5.8"/>
    <n v="0"/>
  </r>
  <r>
    <n v="122"/>
    <x v="5"/>
    <n v="2021"/>
    <x v="8"/>
    <x v="0"/>
    <s v="D/ST"/>
    <x v="0"/>
    <x v="110"/>
    <n v="64.099999999999994"/>
    <n v="90.3"/>
    <n v="-0.1"/>
    <n v="3"/>
    <n v="148"/>
    <n v="8.6999999999999993"/>
    <n v="3"/>
  </r>
  <r>
    <n v="123"/>
    <x v="5"/>
    <n v="2021"/>
    <x v="28"/>
    <x v="0"/>
    <s v="K"/>
    <x v="0"/>
    <x v="111"/>
    <n v="52.4"/>
    <n v="76.099999999999994"/>
    <n v="2.6"/>
    <n v="12"/>
    <n v="137"/>
    <n v="8.6"/>
    <n v="10"/>
  </r>
  <r>
    <n v="124"/>
    <x v="5"/>
    <n v="2021"/>
    <x v="15"/>
    <x v="1"/>
    <s v="RB"/>
    <x v="0"/>
    <x v="112"/>
    <n v="24"/>
    <n v="82.4"/>
    <n v="-3.1"/>
    <n v="29"/>
    <n v="110"/>
    <n v="6.5"/>
    <n v="1"/>
  </r>
  <r>
    <n v="125"/>
    <x v="5"/>
    <n v="2021"/>
    <x v="5"/>
    <x v="1"/>
    <s v="QB"/>
    <x v="0"/>
    <x v="113"/>
    <n v="23.5"/>
    <n v="59.4"/>
    <n v="1.7"/>
    <n v="13"/>
    <n v="251"/>
    <n v="14.8"/>
    <n v="27"/>
  </r>
  <r>
    <n v="126"/>
    <x v="5"/>
    <n v="2021"/>
    <x v="1"/>
    <x v="1"/>
    <s v="RB"/>
    <x v="1"/>
    <x v="56"/>
    <n v="2.5"/>
    <n v="13.4"/>
    <n v="-0.6"/>
    <n v="60"/>
    <n v="56"/>
    <n v="8"/>
    <s v="--"/>
  </r>
  <r>
    <n v="127"/>
    <x v="5"/>
    <n v="2021"/>
    <x v="1"/>
    <x v="1"/>
    <s v="RB"/>
    <x v="0"/>
    <x v="114"/>
    <n v="6.1"/>
    <n v="24.3"/>
    <n v="2.2999999999999998"/>
    <n v="46"/>
    <n v="80"/>
    <n v="6.7"/>
    <s v="--"/>
  </r>
  <r>
    <n v="128"/>
    <x v="5"/>
    <n v="2021"/>
    <x v="26"/>
    <x v="1"/>
    <s v="WR"/>
    <x v="0"/>
    <x v="115"/>
    <n v="6.1"/>
    <n v="20"/>
    <n v="0.6"/>
    <n v="70"/>
    <n v="57"/>
    <n v="5.2"/>
    <n v="0"/>
  </r>
  <r>
    <n v="129"/>
    <x v="6"/>
    <n v="2022"/>
    <x v="2"/>
    <x v="0"/>
    <s v="QB"/>
    <x v="0"/>
    <x v="116"/>
    <n v="81.099999999999994"/>
    <n v="99.3"/>
    <n v="0.2"/>
    <n v="4"/>
    <n v="352"/>
    <n v="22"/>
    <n v="11"/>
  </r>
  <r>
    <n v="130"/>
    <x v="6"/>
    <n v="2022"/>
    <x v="8"/>
    <x v="0"/>
    <s v="RB"/>
    <x v="1"/>
    <x v="117"/>
    <n v="69.3"/>
    <n v="98"/>
    <n v="0.1"/>
    <n v="14"/>
    <n v="166"/>
    <n v="9.8000000000000007"/>
    <n v="7"/>
  </r>
  <r>
    <n v="131"/>
    <x v="6"/>
    <n v="2022"/>
    <x v="14"/>
    <x v="0"/>
    <s v="RB"/>
    <x v="0"/>
    <x v="118"/>
    <n v="64"/>
    <n v="90.1"/>
    <n v="4.2"/>
    <n v="31"/>
    <n v="121"/>
    <n v="8.1"/>
    <n v="12"/>
  </r>
  <r>
    <n v="132"/>
    <x v="6"/>
    <n v="2022"/>
    <x v="29"/>
    <x v="0"/>
    <s v="WR"/>
    <x v="0"/>
    <x v="119"/>
    <n v="98"/>
    <n v="100"/>
    <n v="0"/>
    <n v="5"/>
    <n v="201"/>
    <n v="12.6"/>
    <n v="16"/>
  </r>
  <r>
    <n v="133"/>
    <x v="6"/>
    <n v="2022"/>
    <x v="15"/>
    <x v="0"/>
    <s v="WR"/>
    <x v="0"/>
    <x v="120"/>
    <n v="83.5"/>
    <n v="99.7"/>
    <n v="0"/>
    <n v="7"/>
    <n v="173"/>
    <n v="10.199999999999999"/>
    <n v="4"/>
  </r>
  <r>
    <n v="134"/>
    <x v="6"/>
    <n v="2022"/>
    <x v="28"/>
    <x v="0"/>
    <s v="TE"/>
    <x v="1"/>
    <x v="46"/>
    <n v="99.1"/>
    <n v="100"/>
    <n v="0"/>
    <n v="1"/>
    <n v="198"/>
    <n v="11.6"/>
    <n v="3"/>
  </r>
  <r>
    <n v="135"/>
    <x v="6"/>
    <n v="2022"/>
    <x v="6"/>
    <x v="0"/>
    <s v="WR"/>
    <x v="0"/>
    <x v="121"/>
    <n v="91.2"/>
    <n v="99.6"/>
    <n v="0.1"/>
    <n v="11"/>
    <n v="149"/>
    <n v="9.3000000000000007"/>
    <n v="4"/>
  </r>
  <r>
    <n v="136"/>
    <x v="6"/>
    <n v="2022"/>
    <x v="28"/>
    <x v="0"/>
    <s v="D/ST"/>
    <x v="0"/>
    <x v="122"/>
    <n v="56.6"/>
    <n v="71.5"/>
    <n v="-3.7"/>
    <n v="9"/>
    <n v="115"/>
    <n v="6.8"/>
    <n v="15"/>
  </r>
  <r>
    <n v="137"/>
    <x v="6"/>
    <n v="2022"/>
    <x v="31"/>
    <x v="0"/>
    <s v="K"/>
    <x v="0"/>
    <x v="123"/>
    <n v="60.2"/>
    <n v="73.900000000000006"/>
    <n v="-1.1000000000000001"/>
    <n v="7"/>
    <n v="142"/>
    <n v="8.4"/>
    <n v="4"/>
  </r>
  <r>
    <n v="138"/>
    <x v="6"/>
    <n v="2022"/>
    <x v="9"/>
    <x v="1"/>
    <s v="TE"/>
    <x v="1"/>
    <x v="108"/>
    <n v="88.9"/>
    <n v="99.5"/>
    <n v="0"/>
    <n v="5"/>
    <n v="111"/>
    <n v="7.4"/>
    <s v="--"/>
  </r>
  <r>
    <n v="139"/>
    <x v="6"/>
    <n v="2022"/>
    <x v="27"/>
    <x v="1"/>
    <s v="RB"/>
    <x v="0"/>
    <x v="124"/>
    <n v="22"/>
    <n v="82.9"/>
    <n v="0"/>
    <n v="28"/>
    <n v="125"/>
    <n v="9.6"/>
    <n v="7"/>
  </r>
  <r>
    <n v="140"/>
    <x v="6"/>
    <n v="2022"/>
    <x v="3"/>
    <x v="1"/>
    <s v="QB"/>
    <x v="0"/>
    <x v="125"/>
    <n v="15.6"/>
    <n v="42.4"/>
    <n v="1.6"/>
    <n v="17"/>
    <n v="213"/>
    <n v="14.2"/>
    <n v="22"/>
  </r>
  <r>
    <n v="141"/>
    <x v="6"/>
    <n v="2022"/>
    <x v="3"/>
    <x v="1"/>
    <s v="TE"/>
    <x v="0"/>
    <x v="126"/>
    <n v="15.9"/>
    <n v="43.5"/>
    <n v="-5.9"/>
    <n v="25"/>
    <n v="50"/>
    <n v="5"/>
    <s v="--"/>
  </r>
  <r>
    <n v="142"/>
    <x v="7"/>
    <n v="2023"/>
    <x v="24"/>
    <x v="0"/>
    <s v="QB"/>
    <x v="0"/>
    <x v="127"/>
    <m/>
    <m/>
    <m/>
    <m/>
    <m/>
    <m/>
    <m/>
  </r>
  <r>
    <n v="143"/>
    <x v="7"/>
    <n v="2023"/>
    <x v="22"/>
    <x v="0"/>
    <s v="RB"/>
    <x v="0"/>
    <x v="128"/>
    <m/>
    <m/>
    <m/>
    <m/>
    <m/>
    <m/>
    <m/>
  </r>
  <r>
    <n v="144"/>
    <x v="7"/>
    <n v="2023"/>
    <x v="29"/>
    <x v="0"/>
    <s v="RB"/>
    <x v="0"/>
    <x v="129"/>
    <m/>
    <m/>
    <m/>
    <m/>
    <m/>
    <m/>
    <m/>
  </r>
  <r>
    <n v="145"/>
    <x v="7"/>
    <n v="2023"/>
    <x v="14"/>
    <x v="0"/>
    <s v="WR"/>
    <x v="0"/>
    <x v="130"/>
    <m/>
    <m/>
    <m/>
    <m/>
    <m/>
    <m/>
    <m/>
  </r>
  <r>
    <n v="146"/>
    <x v="7"/>
    <n v="2023"/>
    <x v="14"/>
    <x v="0"/>
    <s v="WR"/>
    <x v="0"/>
    <x v="131"/>
    <m/>
    <m/>
    <m/>
    <m/>
    <m/>
    <m/>
    <m/>
  </r>
  <r>
    <n v="147"/>
    <x v="7"/>
    <n v="2023"/>
    <x v="4"/>
    <x v="0"/>
    <s v="TE"/>
    <x v="0"/>
    <x v="132"/>
    <m/>
    <m/>
    <m/>
    <m/>
    <m/>
    <m/>
    <m/>
  </r>
  <r>
    <n v="148"/>
    <x v="7"/>
    <n v="2023"/>
    <x v="11"/>
    <x v="0"/>
    <s v="WR"/>
    <x v="1"/>
    <x v="133"/>
    <m/>
    <m/>
    <m/>
    <m/>
    <m/>
    <m/>
    <m/>
  </r>
  <r>
    <n v="149"/>
    <x v="7"/>
    <n v="2023"/>
    <x v="14"/>
    <x v="0"/>
    <s v="D/ST"/>
    <x v="0"/>
    <x v="134"/>
    <m/>
    <m/>
    <m/>
    <m/>
    <m/>
    <m/>
    <m/>
  </r>
  <r>
    <n v="150"/>
    <x v="7"/>
    <n v="2023"/>
    <x v="15"/>
    <x v="0"/>
    <s v="K"/>
    <x v="1"/>
    <x v="98"/>
    <m/>
    <m/>
    <m/>
    <m/>
    <m/>
    <m/>
    <m/>
  </r>
  <r>
    <n v="151"/>
    <x v="7"/>
    <n v="2023"/>
    <x v="13"/>
    <x v="1"/>
    <s v="QB"/>
    <x v="1"/>
    <x v="81"/>
    <m/>
    <m/>
    <m/>
    <m/>
    <m/>
    <m/>
    <m/>
  </r>
  <r>
    <n v="152"/>
    <x v="7"/>
    <n v="2023"/>
    <x v="25"/>
    <x v="1"/>
    <s v="WR"/>
    <x v="0"/>
    <x v="135"/>
    <m/>
    <m/>
    <m/>
    <m/>
    <m/>
    <m/>
    <m/>
  </r>
  <r>
    <n v="153"/>
    <x v="7"/>
    <n v="2023"/>
    <x v="30"/>
    <x v="1"/>
    <s v="RB"/>
    <x v="0"/>
    <x v="136"/>
    <m/>
    <m/>
    <m/>
    <m/>
    <m/>
    <m/>
    <m/>
  </r>
  <r>
    <n v="154"/>
    <x v="7"/>
    <n v="2023"/>
    <x v="26"/>
    <x v="1"/>
    <s v="WR"/>
    <x v="0"/>
    <x v="137"/>
    <m/>
    <m/>
    <m/>
    <m/>
    <m/>
    <m/>
    <m/>
  </r>
  <r>
    <n v="155"/>
    <x v="7"/>
    <n v="2023"/>
    <x v="21"/>
    <x v="1"/>
    <s v="QB"/>
    <x v="0"/>
    <x v="138"/>
    <m/>
    <m/>
    <m/>
    <m/>
    <m/>
    <m/>
    <m/>
  </r>
  <r>
    <n v="156"/>
    <x v="7"/>
    <n v="2023"/>
    <x v="8"/>
    <x v="1"/>
    <s v="RB"/>
    <x v="1"/>
    <x v="117"/>
    <m/>
    <m/>
    <m/>
    <m/>
    <m/>
    <m/>
    <m/>
  </r>
  <r>
    <n v="157"/>
    <x v="7"/>
    <n v="2024"/>
    <x v="9"/>
    <x v="0"/>
    <s v="QB"/>
    <x v="0"/>
    <x v="139"/>
    <n v="91.7"/>
    <n v="99.9"/>
    <n v="0"/>
    <n v="1"/>
    <n v="426"/>
    <n v="25.1"/>
    <n v="22"/>
  </r>
  <r>
    <n v="158"/>
    <x v="7"/>
    <n v="2024"/>
    <x v="6"/>
    <x v="0"/>
    <s v="RB"/>
    <x v="0"/>
    <x v="140"/>
    <n v="98"/>
    <n v="99.9"/>
    <n v="0"/>
    <n v="1"/>
    <n v="348"/>
    <n v="20.5"/>
    <n v="45"/>
  </r>
  <r>
    <n v="159"/>
    <x v="7"/>
    <n v="2024"/>
    <x v="4"/>
    <x v="0"/>
    <s v="RB"/>
    <x v="0"/>
    <x v="141"/>
    <n v="19.899999999999999"/>
    <n v="57"/>
    <n v="-12.3"/>
    <n v="34"/>
    <n v="122"/>
    <n v="8.6999999999999993"/>
    <s v="--"/>
  </r>
  <r>
    <n v="160"/>
    <x v="7"/>
    <n v="2024"/>
    <x v="17"/>
    <x v="0"/>
    <s v="WR"/>
    <x v="0"/>
    <x v="142"/>
    <n v="71.8"/>
    <n v="94.5"/>
    <n v="0"/>
    <n v="16"/>
    <n v="226"/>
    <n v="13.3"/>
    <n v="21"/>
  </r>
  <r>
    <n v="161"/>
    <x v="7"/>
    <n v="2024"/>
    <x v="3"/>
    <x v="0"/>
    <s v="WR"/>
    <x v="0"/>
    <x v="143"/>
    <n v="50.9"/>
    <n v="89.2"/>
    <n v="-0.9"/>
    <n v="12"/>
    <n v="234"/>
    <n v="13.8"/>
    <n v="20"/>
  </r>
  <r>
    <n v="162"/>
    <x v="7"/>
    <n v="2024"/>
    <x v="13"/>
    <x v="0"/>
    <s v="TE"/>
    <x v="0"/>
    <x v="144"/>
    <n v="93.4"/>
    <n v="99.1"/>
    <n v="0"/>
    <n v="2"/>
    <n v="244"/>
    <n v="15.3"/>
    <n v="19"/>
  </r>
  <r>
    <n v="163"/>
    <x v="7"/>
    <n v="2024"/>
    <x v="11"/>
    <x v="0"/>
    <s v="WR"/>
    <x v="1"/>
    <x v="133"/>
    <n v="98.6"/>
    <n v="99.9"/>
    <n v="0"/>
    <n v="3"/>
    <n v="309"/>
    <n v="18.2"/>
    <n v="8"/>
  </r>
  <r>
    <n v="164"/>
    <x v="7"/>
    <n v="2024"/>
    <x v="7"/>
    <x v="0"/>
    <s v="D/ST"/>
    <x v="1"/>
    <x v="7"/>
    <n v="17.2"/>
    <n v="25.4"/>
    <n v="-1.2"/>
    <n v="7"/>
    <n v="121"/>
    <n v="7.1"/>
    <n v="2"/>
  </r>
  <r>
    <n v="165"/>
    <x v="7"/>
    <n v="2024"/>
    <x v="24"/>
    <x v="0"/>
    <s v="K"/>
    <x v="1"/>
    <x v="36"/>
    <n v="81.400000000000006"/>
    <n v="87.9"/>
    <n v="-2"/>
    <n v="1"/>
    <n v="188"/>
    <n v="11.1"/>
    <n v="7"/>
  </r>
  <r>
    <n v="166"/>
    <x v="7"/>
    <n v="2024"/>
    <x v="11"/>
    <x v="1"/>
    <s v="TE"/>
    <x v="0"/>
    <x v="145"/>
    <n v="55.3"/>
    <n v="89.5"/>
    <n v="0.6"/>
    <n v="34"/>
    <n v="81"/>
    <n v="8.1"/>
    <n v="2"/>
  </r>
  <r>
    <n v="167"/>
    <x v="7"/>
    <n v="2024"/>
    <x v="7"/>
    <x v="1"/>
    <s v="QB"/>
    <x v="0"/>
    <x v="146"/>
    <n v="57.8"/>
    <n v="89.3"/>
    <n v="3.8"/>
    <n v="9"/>
    <n v="303"/>
    <n v="17.8"/>
    <n v="7"/>
  </r>
  <r>
    <n v="168"/>
    <x v="7"/>
    <n v="2024"/>
    <x v="22"/>
    <x v="1"/>
    <s v="QB"/>
    <x v="0"/>
    <x v="147"/>
    <n v="18.3"/>
    <n v="49.9"/>
    <n v="-3.9"/>
    <n v="15"/>
    <n v="250"/>
    <n v="14.7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6A3C5-8648-4CA6-BA65-CF050F50CD60}" name="PivotTable15" cacheId="4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7:B8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oints" fld="8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898E2-9F8D-48A2-BC16-2A8244DD1961}" name="PivotTable1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59:L75" firstHeaderRow="1" firstDataRow="2" firstDataCol="1"/>
  <pivotFields count="18">
    <pivotField showAll="0"/>
    <pivotField showAll="0"/>
    <pivotField axis="axisRow" showAll="0">
      <items count="18">
        <item x="2"/>
        <item x="13"/>
        <item m="1" x="16"/>
        <item x="12"/>
        <item x="0"/>
        <item x="10"/>
        <item x="6"/>
        <item x="11"/>
        <item m="1" x="15"/>
        <item x="5"/>
        <item x="9"/>
        <item m="1" x="14"/>
        <item x="4"/>
        <item x="3"/>
        <item x="8"/>
        <item x="1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sumSubtotal="1"/>
    <pivotField showAll="0"/>
    <pivotField showAll="0"/>
    <pivotField showAll="0"/>
    <pivotField showAll="0"/>
    <pivotField numFmtId="165"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Fields count="1">
    <field x="1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Playoff Seed" fld="7" subtotal="average" baseField="2" baseItem="0" numFmtId="165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2D2C5-9A30-4827-9326-0AF5F32A25B0}" name="PivotTable1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1:B56" firstHeaderRow="1" firstDataRow="1" firstDataCol="1"/>
  <pivotFields count="18">
    <pivotField showAll="0"/>
    <pivotField showAll="0"/>
    <pivotField axis="axisRow" showAll="0">
      <items count="18">
        <item x="2"/>
        <item x="13"/>
        <item m="1" x="16"/>
        <item x="12"/>
        <item x="0"/>
        <item x="10"/>
        <item x="6"/>
        <item x="11"/>
        <item m="1" x="15"/>
        <item x="5"/>
        <item x="9"/>
        <item m="1" x="14"/>
        <item x="4"/>
        <item x="3"/>
        <item x="8"/>
        <item x="1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sumSubtotal="1"/>
    <pivotField showAll="0"/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Playoff Seed" fld="7" subtotal="average" baseField="2" baseItem="0" numFmtId="165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CCF75-10C9-4C2A-B529-22B1313FFC22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3:B38" firstHeaderRow="1" firstDataRow="1" firstDataCol="1"/>
  <pivotFields count="18">
    <pivotField showAll="0"/>
    <pivotField showAll="0"/>
    <pivotField axis="axisRow" showAll="0">
      <items count="18">
        <item x="2"/>
        <item x="13"/>
        <item m="1" x="16"/>
        <item x="12"/>
        <item x="0"/>
        <item x="10"/>
        <item x="6"/>
        <item x="11"/>
        <item m="1" x="15"/>
        <item x="5"/>
        <item x="9"/>
        <item m="1" x="14"/>
        <item x="4"/>
        <item x="3"/>
        <item x="8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 sumSubtotal="1"/>
    <pivotField showAll="0"/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Win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7D4B5-8787-4EDB-81A4-DFCAB61A41D4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L19" firstHeaderRow="1" firstDataRow="2" firstDataCol="1"/>
  <pivotFields count="18">
    <pivotField dataField="1" showAll="0"/>
    <pivotField showAll="0"/>
    <pivotField axis="axisRow" showAll="0">
      <items count="18">
        <item x="2"/>
        <item x="13"/>
        <item m="1" x="16"/>
        <item x="12"/>
        <item x="0"/>
        <item x="10"/>
        <item x="6"/>
        <item x="11"/>
        <item m="1" x="15"/>
        <item x="5"/>
        <item x="9"/>
        <item m="1" x="14"/>
        <item x="4"/>
        <item x="3"/>
        <item x="8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Fields count="1">
    <field x="1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Team Display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E4810-0D0D-4F78-9F2B-FB6DB26931DB}" name="PivotTable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I3:L50" firstHeaderRow="1" firstDataRow="2" firstDataCol="1" rowPageCount="1" colPageCount="1"/>
  <pivotFields count="15">
    <pivotField dataField="1" showAll="0"/>
    <pivotField axis="axisRow" showAll="0">
      <items count="9">
        <item x="5"/>
        <item x="3"/>
        <item x="0"/>
        <item x="6"/>
        <item x="2"/>
        <item x="1"/>
        <item x="4"/>
        <item x="7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150">
        <item x="28"/>
        <item x="55"/>
        <item x="20"/>
        <item x="104"/>
        <item x="121"/>
        <item x="27"/>
        <item x="12"/>
        <item x="14"/>
        <item x="76"/>
        <item x="48"/>
        <item x="29"/>
        <item x="114"/>
        <item x="96"/>
        <item x="40"/>
        <item m="1" x="148"/>
        <item x="87"/>
        <item x="10"/>
        <item x="84"/>
        <item x="86"/>
        <item x="118"/>
        <item x="67"/>
        <item x="53"/>
        <item x="122"/>
        <item x="36"/>
        <item x="70"/>
        <item x="124"/>
        <item x="80"/>
        <item x="22"/>
        <item x="52"/>
        <item x="43"/>
        <item x="32"/>
        <item x="107"/>
        <item x="5"/>
        <item x="3"/>
        <item x="99"/>
        <item x="19"/>
        <item x="0"/>
        <item x="23"/>
        <item x="75"/>
        <item x="60"/>
        <item x="31"/>
        <item x="2"/>
        <item x="89"/>
        <item x="123"/>
        <item x="126"/>
        <item x="21"/>
        <item x="111"/>
        <item x="74"/>
        <item x="41"/>
        <item x="51"/>
        <item x="79"/>
        <item x="105"/>
        <item x="88"/>
        <item x="98"/>
        <item x="61"/>
        <item x="120"/>
        <item x="100"/>
        <item x="50"/>
        <item x="13"/>
        <item x="91"/>
        <item x="116"/>
        <item x="9"/>
        <item x="101"/>
        <item x="56"/>
        <item x="103"/>
        <item x="4"/>
        <item x="59"/>
        <item x="45"/>
        <item x="77"/>
        <item x="57"/>
        <item x="102"/>
        <item x="81"/>
        <item x="18"/>
        <item x="72"/>
        <item x="90"/>
        <item x="94"/>
        <item x="1"/>
        <item x="37"/>
        <item x="35"/>
        <item x="108"/>
        <item x="16"/>
        <item x="109"/>
        <item x="115"/>
        <item x="92"/>
        <item x="71"/>
        <item x="30"/>
        <item x="39"/>
        <item x="69"/>
        <item x="64"/>
        <item x="34"/>
        <item x="112"/>
        <item x="95"/>
        <item x="65"/>
        <item x="97"/>
        <item x="62"/>
        <item x="93"/>
        <item x="110"/>
        <item x="26"/>
        <item x="83"/>
        <item x="15"/>
        <item x="11"/>
        <item x="66"/>
        <item x="6"/>
        <item x="117"/>
        <item x="47"/>
        <item x="68"/>
        <item x="125"/>
        <item x="113"/>
        <item x="7"/>
        <item x="49"/>
        <item x="82"/>
        <item x="119"/>
        <item x="8"/>
        <item x="24"/>
        <item x="54"/>
        <item x="106"/>
        <item x="25"/>
        <item x="78"/>
        <item x="42"/>
        <item x="46"/>
        <item x="17"/>
        <item x="44"/>
        <item x="73"/>
        <item x="58"/>
        <item x="63"/>
        <item x="38"/>
        <item x="8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7"/>
  </rowFields>
  <rowItems count="46">
    <i>
      <x/>
    </i>
    <i r="1">
      <x v="8"/>
    </i>
    <i r="1">
      <x v="33"/>
    </i>
    <i r="1">
      <x v="63"/>
    </i>
    <i r="1">
      <x v="68"/>
    </i>
    <i r="1">
      <x v="76"/>
    </i>
    <i r="1">
      <x v="79"/>
    </i>
    <i r="1">
      <x v="122"/>
    </i>
    <i>
      <x v="1"/>
    </i>
    <i r="1">
      <x v="89"/>
    </i>
    <i r="1">
      <x v="119"/>
    </i>
    <i>
      <x v="2"/>
    </i>
    <i r="1">
      <x v="33"/>
    </i>
    <i r="1">
      <x v="76"/>
    </i>
    <i r="1">
      <x v="108"/>
    </i>
    <i r="1">
      <x v="112"/>
    </i>
    <i>
      <x v="3"/>
    </i>
    <i r="1">
      <x v="79"/>
    </i>
    <i r="1">
      <x v="103"/>
    </i>
    <i r="1">
      <x v="119"/>
    </i>
    <i>
      <x v="4"/>
    </i>
    <i r="1">
      <x v="23"/>
    </i>
    <i r="1">
      <x v="30"/>
    </i>
    <i r="1">
      <x v="45"/>
    </i>
    <i r="1">
      <x v="71"/>
    </i>
    <i r="1">
      <x v="77"/>
    </i>
    <i r="1">
      <x v="78"/>
    </i>
    <i r="1">
      <x v="89"/>
    </i>
    <i>
      <x v="5"/>
    </i>
    <i r="1">
      <x v="45"/>
    </i>
    <i r="1">
      <x v="112"/>
    </i>
    <i>
      <x v="6"/>
    </i>
    <i r="1">
      <x v="8"/>
    </i>
    <i r="1">
      <x v="53"/>
    </i>
    <i r="1">
      <x v="63"/>
    </i>
    <i r="1">
      <x v="77"/>
    </i>
    <i r="1">
      <x v="122"/>
    </i>
    <i r="1">
      <x v="123"/>
    </i>
    <i>
      <x v="7"/>
    </i>
    <i r="1">
      <x v="23"/>
    </i>
    <i r="1">
      <x v="53"/>
    </i>
    <i r="1">
      <x v="71"/>
    </i>
    <i r="1">
      <x v="103"/>
    </i>
    <i r="1">
      <x v="108"/>
    </i>
    <i r="1">
      <x v="13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CDE09-F245-41C6-B821-8A9530B09F1A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D26" firstHeaderRow="1" firstDataRow="2" firstDataCol="1" rowPageCount="1" colPageCount="1"/>
  <pivotFields count="15"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150">
        <item x="28"/>
        <item x="55"/>
        <item x="20"/>
        <item x="104"/>
        <item x="121"/>
        <item x="27"/>
        <item x="12"/>
        <item x="14"/>
        <item x="76"/>
        <item x="48"/>
        <item x="29"/>
        <item x="114"/>
        <item x="96"/>
        <item x="40"/>
        <item m="1" x="148"/>
        <item x="87"/>
        <item x="10"/>
        <item x="84"/>
        <item x="86"/>
        <item x="118"/>
        <item x="67"/>
        <item x="53"/>
        <item x="122"/>
        <item x="36"/>
        <item x="70"/>
        <item x="124"/>
        <item x="80"/>
        <item x="22"/>
        <item x="52"/>
        <item x="43"/>
        <item x="32"/>
        <item x="107"/>
        <item x="5"/>
        <item x="3"/>
        <item x="99"/>
        <item x="19"/>
        <item x="0"/>
        <item x="23"/>
        <item x="75"/>
        <item x="60"/>
        <item x="31"/>
        <item x="2"/>
        <item x="89"/>
        <item x="123"/>
        <item x="126"/>
        <item x="21"/>
        <item x="111"/>
        <item x="74"/>
        <item x="41"/>
        <item x="51"/>
        <item x="79"/>
        <item x="105"/>
        <item x="88"/>
        <item x="98"/>
        <item x="61"/>
        <item x="120"/>
        <item x="100"/>
        <item x="50"/>
        <item x="13"/>
        <item x="91"/>
        <item x="116"/>
        <item x="9"/>
        <item x="101"/>
        <item x="56"/>
        <item x="103"/>
        <item x="4"/>
        <item x="59"/>
        <item x="45"/>
        <item x="77"/>
        <item x="57"/>
        <item x="102"/>
        <item x="81"/>
        <item x="18"/>
        <item x="72"/>
        <item x="90"/>
        <item x="94"/>
        <item x="1"/>
        <item x="37"/>
        <item x="35"/>
        <item x="108"/>
        <item x="16"/>
        <item x="109"/>
        <item x="115"/>
        <item x="92"/>
        <item x="71"/>
        <item x="30"/>
        <item x="39"/>
        <item x="69"/>
        <item x="64"/>
        <item x="34"/>
        <item x="112"/>
        <item x="95"/>
        <item x="65"/>
        <item x="97"/>
        <item x="62"/>
        <item x="93"/>
        <item x="110"/>
        <item x="26"/>
        <item x="83"/>
        <item x="15"/>
        <item x="11"/>
        <item x="66"/>
        <item x="6"/>
        <item x="117"/>
        <item x="47"/>
        <item x="68"/>
        <item x="125"/>
        <item x="113"/>
        <item x="7"/>
        <item x="49"/>
        <item x="82"/>
        <item x="119"/>
        <item x="8"/>
        <item x="24"/>
        <item x="54"/>
        <item x="106"/>
        <item x="25"/>
        <item x="78"/>
        <item x="42"/>
        <item x="46"/>
        <item x="17"/>
        <item x="44"/>
        <item x="73"/>
        <item x="58"/>
        <item x="63"/>
        <item x="38"/>
        <item x="8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2">
    <i>
      <x v="8"/>
    </i>
    <i>
      <x v="23"/>
    </i>
    <i>
      <x v="30"/>
    </i>
    <i>
      <x v="33"/>
    </i>
    <i>
      <x v="45"/>
    </i>
    <i>
      <x v="53"/>
    </i>
    <i>
      <x v="63"/>
    </i>
    <i>
      <x v="68"/>
    </i>
    <i>
      <x v="71"/>
    </i>
    <i>
      <x v="76"/>
    </i>
    <i>
      <x v="77"/>
    </i>
    <i>
      <x v="78"/>
    </i>
    <i>
      <x v="79"/>
    </i>
    <i>
      <x v="89"/>
    </i>
    <i>
      <x v="103"/>
    </i>
    <i>
      <x v="108"/>
    </i>
    <i>
      <x v="112"/>
    </i>
    <i>
      <x v="119"/>
    </i>
    <i>
      <x v="122"/>
    </i>
    <i>
      <x v="123"/>
    </i>
    <i>
      <x v="13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65062-6153-4E65-8CD3-DEB7F18A3C3C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F3:G36" firstHeaderRow="1" firstDataRow="1" firstDataCol="1"/>
  <pivotFields count="15">
    <pivotField dataField="1" showAll="0"/>
    <pivotField showAll="0"/>
    <pivotField showAll="0"/>
    <pivotField axis="axisRow" showAll="0">
      <items count="33">
        <item x="13"/>
        <item x="27"/>
        <item x="9"/>
        <item x="29"/>
        <item x="18"/>
        <item x="17"/>
        <item x="2"/>
        <item x="4"/>
        <item x="16"/>
        <item x="3"/>
        <item x="6"/>
        <item x="26"/>
        <item x="12"/>
        <item x="19"/>
        <item x="20"/>
        <item x="28"/>
        <item x="21"/>
        <item x="14"/>
        <item x="15"/>
        <item x="11"/>
        <item x="8"/>
        <item x="0"/>
        <item x="31"/>
        <item x="22"/>
        <item x="1"/>
        <item x="24"/>
        <item x="7"/>
        <item x="10"/>
        <item x="23"/>
        <item x="5"/>
        <item x="25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oswald@clarendonhal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C6F3-DBEA-493F-95B5-840573A03561}">
  <dimension ref="A1:AL76"/>
  <sheetViews>
    <sheetView topLeftCell="A23" zoomScaleNormal="100" workbookViewId="0">
      <selection activeCell="AF22" sqref="AF22"/>
    </sheetView>
  </sheetViews>
  <sheetFormatPr defaultColWidth="9.109375" defaultRowHeight="14.4" x14ac:dyDescent="0.3"/>
  <cols>
    <col min="1" max="1" width="3.44140625" style="2" customWidth="1"/>
    <col min="2" max="2" width="11.5546875" style="2" customWidth="1"/>
    <col min="3" max="4" width="9.6640625" style="2" customWidth="1"/>
    <col min="5" max="5" width="10" style="2" customWidth="1"/>
    <col min="6" max="8" width="9.6640625" style="2" customWidth="1"/>
    <col min="9" max="9" width="10.6640625" style="2" customWidth="1"/>
    <col min="10" max="10" width="11.5546875" style="2" customWidth="1"/>
    <col min="11" max="13" width="9.6640625" style="2" customWidth="1"/>
    <col min="14" max="15" width="12.109375" style="2" customWidth="1"/>
    <col min="16" max="16" width="10.44140625" style="2" bestFit="1" customWidth="1"/>
    <col min="17" max="17" width="9.109375" style="2" customWidth="1"/>
    <col min="18" max="18" width="9.109375" style="2"/>
    <col min="19" max="19" width="7.109375" style="2" customWidth="1"/>
    <col min="20" max="25" width="12.44140625" style="2" customWidth="1"/>
    <col min="26" max="26" width="11" style="2" customWidth="1"/>
    <col min="27" max="27" width="10.88671875" style="2" customWidth="1"/>
    <col min="28" max="30" width="9.109375" style="2"/>
    <col min="31" max="31" width="13" style="2" customWidth="1"/>
    <col min="32" max="34" width="9.44140625" style="2" customWidth="1"/>
    <col min="35" max="16384" width="9.109375" style="2"/>
  </cols>
  <sheetData>
    <row r="1" spans="1:38" x14ac:dyDescent="0.3">
      <c r="B1" s="195" t="s">
        <v>46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</row>
    <row r="2" spans="1:38" x14ac:dyDescent="0.3">
      <c r="K2" s="16"/>
      <c r="L2" s="16"/>
      <c r="V2" s="12" t="s">
        <v>253</v>
      </c>
      <c r="W2" s="12"/>
      <c r="X2" s="12"/>
      <c r="Y2" s="12"/>
    </row>
    <row r="3" spans="1:38" ht="15" thickBot="1" x14ac:dyDescent="0.35">
      <c r="B3" s="12" t="s">
        <v>59</v>
      </c>
      <c r="M3" s="16"/>
      <c r="N3" s="12" t="s">
        <v>61</v>
      </c>
      <c r="O3" s="16"/>
      <c r="P3" s="16"/>
      <c r="Q3" s="16"/>
      <c r="R3" s="3"/>
      <c r="U3" s="12"/>
      <c r="V3" s="50" t="s">
        <v>14</v>
      </c>
      <c r="W3" s="50" t="s">
        <v>21</v>
      </c>
      <c r="X3" s="50" t="s">
        <v>15</v>
      </c>
      <c r="Y3" s="50" t="s">
        <v>16</v>
      </c>
      <c r="Z3" s="50" t="s">
        <v>18</v>
      </c>
      <c r="AA3" s="50" t="s">
        <v>254</v>
      </c>
      <c r="AC3" s="12" t="s">
        <v>488</v>
      </c>
      <c r="AH3" s="12" t="s">
        <v>53</v>
      </c>
    </row>
    <row r="4" spans="1:38" ht="30" thickTop="1" thickBot="1" x14ac:dyDescent="0.35">
      <c r="A4" s="32" t="s">
        <v>70</v>
      </c>
      <c r="B4" s="46" t="s">
        <v>5</v>
      </c>
      <c r="C4" s="47" t="s">
        <v>34</v>
      </c>
      <c r="D4" s="47" t="s">
        <v>35</v>
      </c>
      <c r="E4" s="47" t="s">
        <v>36</v>
      </c>
      <c r="F4" s="47" t="s">
        <v>37</v>
      </c>
      <c r="G4" s="47" t="s">
        <v>38</v>
      </c>
      <c r="H4" s="47" t="s">
        <v>4</v>
      </c>
      <c r="I4" s="48" t="s">
        <v>49</v>
      </c>
      <c r="J4" s="48" t="s">
        <v>455</v>
      </c>
      <c r="K4" s="48" t="s">
        <v>456</v>
      </c>
      <c r="L4" s="48" t="s">
        <v>457</v>
      </c>
      <c r="N4" s="49" t="s">
        <v>5</v>
      </c>
      <c r="O4" s="48" t="s">
        <v>34</v>
      </c>
      <c r="P4" s="48" t="s">
        <v>35</v>
      </c>
      <c r="Q4" s="48" t="s">
        <v>37</v>
      </c>
      <c r="R4" s="48" t="s">
        <v>50</v>
      </c>
      <c r="S4" s="48" t="s">
        <v>51</v>
      </c>
      <c r="T4" s="48" t="s">
        <v>52</v>
      </c>
      <c r="V4" s="62" t="s">
        <v>26</v>
      </c>
      <c r="W4" s="63" t="s">
        <v>43</v>
      </c>
      <c r="X4" s="63">
        <v>2013</v>
      </c>
      <c r="Y4" s="63">
        <v>1</v>
      </c>
      <c r="Z4" s="63">
        <v>148</v>
      </c>
      <c r="AA4" s="63">
        <v>18</v>
      </c>
      <c r="AC4" s="52" t="s">
        <v>0</v>
      </c>
      <c r="AD4" s="53" t="s">
        <v>489</v>
      </c>
      <c r="AE4" s="53" t="s">
        <v>490</v>
      </c>
      <c r="AF4" s="53" t="s">
        <v>491</v>
      </c>
      <c r="AH4" s="52" t="s">
        <v>0</v>
      </c>
      <c r="AI4" s="177" t="s">
        <v>504</v>
      </c>
      <c r="AJ4" s="50" t="s">
        <v>505</v>
      </c>
    </row>
    <row r="5" spans="1:38" s="61" customFormat="1" ht="15" thickTop="1" x14ac:dyDescent="0.3">
      <c r="A5" s="33">
        <f t="shared" ref="A5:A12" si="0">RANK(F5,$F$5:$F$19)</f>
        <v>11</v>
      </c>
      <c r="B5" s="39" t="s">
        <v>27</v>
      </c>
      <c r="C5" s="39">
        <f t="shared" ref="C5:C12" si="1">COUNTIFS(managers,B5,outcome,"W")</f>
        <v>47</v>
      </c>
      <c r="D5" s="39">
        <f t="shared" ref="D5:D12" si="2">COUNTIFS(managers,B5,outcome,"L")</f>
        <v>57</v>
      </c>
      <c r="E5" s="39">
        <f t="shared" ref="E5:E12" si="3">COUNTIFS(managers,B5,outcome,"T")</f>
        <v>0</v>
      </c>
      <c r="F5" s="40">
        <f>IFERROR((C5+(0.5*E5))/SUM(C5:E5),"")</f>
        <v>0.45192307692307693</v>
      </c>
      <c r="G5" s="56">
        <f t="shared" ref="G5:G12" si="4">SUMIF(managers,B5,diff)</f>
        <v>-506</v>
      </c>
      <c r="H5" s="57">
        <f t="shared" ref="H5:H12" si="5">SUMIF(managers,B5,points)</f>
        <v>8476</v>
      </c>
      <c r="I5" s="58">
        <f t="shared" ref="I5:I12" si="6">H5/COUNTIF(managers,B5)</f>
        <v>81.5</v>
      </c>
      <c r="J5" s="58">
        <f>AVERAGEIFS(points,managers,'SFFL Main Page'!B5,outcome,"W")</f>
        <v>95.489361702127653</v>
      </c>
      <c r="K5" s="58">
        <f>AVERAGEIFS(points,managers,'SFFL Main Page'!B5,outcome,"L")</f>
        <v>69.964912280701753</v>
      </c>
      <c r="L5" s="58">
        <f>AVERAGEIFS('Final Tables'!I:I,'Final Tables'!D:D,'SFFL Main Page'!B5)</f>
        <v>6.75</v>
      </c>
      <c r="M5" s="43" t="s">
        <v>63</v>
      </c>
      <c r="N5" s="59" t="s">
        <v>27</v>
      </c>
      <c r="O5" s="59">
        <f>COUNTIFS('Playoff Data'!$B:$B,'SFFL Main Page'!N5,'Playoff Data'!$H:$H,"W")</f>
        <v>3</v>
      </c>
      <c r="P5" s="59">
        <f>COUNTIFS('Playoff Data'!$B:$B,'SFFL Main Page'!N5,'Playoff Data'!$H:$H,"L")</f>
        <v>4</v>
      </c>
      <c r="Q5" s="60">
        <f>IFERROR((O5)/SUM(O5:P5),"")</f>
        <v>0.42857142857142855</v>
      </c>
      <c r="R5" s="59">
        <f>COUNTIFS('Final Tables'!D:D,'SFFL Main Page'!N5,'Final Tables'!Q:Q,"Y")</f>
        <v>4</v>
      </c>
      <c r="S5" s="59">
        <f>COUNTIFS('Final Tables'!J:J,"1",'Final Tables'!D:D,'SFFL Main Page'!N5)</f>
        <v>0</v>
      </c>
      <c r="T5" s="59">
        <f>COUNTIFS('Final Tables'!D:D,'SFFL Main Page'!N5,'Final Tables'!R:R,"Y")</f>
        <v>0</v>
      </c>
      <c r="V5" s="62" t="s">
        <v>26</v>
      </c>
      <c r="W5" s="63" t="s">
        <v>28</v>
      </c>
      <c r="X5" s="63">
        <v>2014</v>
      </c>
      <c r="Y5" s="63">
        <v>6</v>
      </c>
      <c r="Z5" s="63">
        <v>149</v>
      </c>
      <c r="AA5" s="63">
        <v>2</v>
      </c>
      <c r="AC5" s="133">
        <v>2013</v>
      </c>
      <c r="AD5" s="135">
        <f>AVERAGEIF(season,'SFFL Main Page'!AC5,points)</f>
        <v>90.392307692307696</v>
      </c>
      <c r="AE5" s="135">
        <f>AVERAGEIFS(points,season,'SFFL Main Page'!AC5,outcome,"W")</f>
        <v>101.96875</v>
      </c>
      <c r="AF5" s="88">
        <f>AVERAGEIFS(points,season,'SFFL Main Page'!AC5,outcome,"L")</f>
        <v>79.109375</v>
      </c>
      <c r="AH5" s="133">
        <v>2013</v>
      </c>
      <c r="AI5" s="133" t="s">
        <v>28</v>
      </c>
      <c r="AJ5" s="178" t="str">
        <f>AK5&amp;"-"&amp;AL5</f>
        <v>4-1</v>
      </c>
      <c r="AK5" s="61">
        <v>4</v>
      </c>
      <c r="AL5" s="61">
        <v>1</v>
      </c>
    </row>
    <row r="6" spans="1:38" s="61" customFormat="1" x14ac:dyDescent="0.3">
      <c r="A6" s="33">
        <f t="shared" si="0"/>
        <v>12</v>
      </c>
      <c r="B6" s="39" t="s">
        <v>227</v>
      </c>
      <c r="C6" s="39">
        <f>COUNTIFS(managers,B6,outcome,"W")</f>
        <v>29</v>
      </c>
      <c r="D6" s="39">
        <f>COUNTIFS(managers,B6,outcome,"L")</f>
        <v>41</v>
      </c>
      <c r="E6" s="39">
        <f>COUNTIFS(managers,B6,outcome,"T")</f>
        <v>0</v>
      </c>
      <c r="F6" s="40">
        <f>IFERROR((C6+(0.5*E6))/SUM(C6:E6),"")</f>
        <v>0.41428571428571431</v>
      </c>
      <c r="G6" s="56">
        <f>SUMIF(managers,B6,diff)</f>
        <v>-563</v>
      </c>
      <c r="H6" s="57">
        <f>SUMIF(managers,B6,points)</f>
        <v>6497</v>
      </c>
      <c r="I6" s="58">
        <f>H6/COUNTIF(managers,B6)</f>
        <v>92.814285714285717</v>
      </c>
      <c r="J6" s="58">
        <f>AVERAGEIFS(points,managers,'SFFL Main Page'!B6,outcome,"W")</f>
        <v>108.68965517241379</v>
      </c>
      <c r="K6" s="58">
        <f>AVERAGEIFS(points,managers,'SFFL Main Page'!B6,outcome,"L")</f>
        <v>81.58536585365853</v>
      </c>
      <c r="L6" s="58">
        <f>AVERAGEIFS('Final Tables'!I:I,'Final Tables'!D:D,'SFFL Main Page'!B6)</f>
        <v>8.8000000000000007</v>
      </c>
      <c r="M6" s="43" t="s">
        <v>63</v>
      </c>
      <c r="N6" s="64" t="s">
        <v>227</v>
      </c>
      <c r="O6" s="64">
        <f>COUNTIFS('Playoff Data'!$B:$B,'SFFL Main Page'!N6,'Playoff Data'!$H:$H,"W")</f>
        <v>0</v>
      </c>
      <c r="P6" s="64">
        <f>COUNTIFS('Playoff Data'!$B:$B,'SFFL Main Page'!N6,'Playoff Data'!$H:$H,"L")</f>
        <v>1</v>
      </c>
      <c r="Q6" s="65">
        <f>IFERROR((O6)/SUM(O6:P6),"")</f>
        <v>0</v>
      </c>
      <c r="R6" s="64">
        <f>COUNTIFS('Final Tables'!D:D,'SFFL Main Page'!N6,'Final Tables'!Q:Q,"Y")</f>
        <v>1</v>
      </c>
      <c r="S6" s="64">
        <f>COUNTIFS('Final Tables'!J:J,"1",'Final Tables'!D:D,'SFFL Main Page'!N6)</f>
        <v>0</v>
      </c>
      <c r="T6" s="64">
        <f>COUNTIFS('Final Tables'!D:D,'SFFL Main Page'!N6,'Final Tables'!R:R,"Y")</f>
        <v>0</v>
      </c>
      <c r="V6" s="62" t="s">
        <v>24</v>
      </c>
      <c r="W6" s="63" t="s">
        <v>43</v>
      </c>
      <c r="X6" s="63">
        <v>2014</v>
      </c>
      <c r="Y6" s="63">
        <v>8</v>
      </c>
      <c r="Z6" s="63">
        <v>157</v>
      </c>
      <c r="AA6" s="63">
        <v>62</v>
      </c>
      <c r="AC6" s="134">
        <v>2014</v>
      </c>
      <c r="AD6" s="136">
        <f>AVERAGEIF(season,'SFFL Main Page'!AC6,points)</f>
        <v>89.492307692307691</v>
      </c>
      <c r="AE6" s="136">
        <f>AVERAGEIFS(points,season,'SFFL Main Page'!AC6,outcome,"W")</f>
        <v>100.55555555555556</v>
      </c>
      <c r="AF6" s="91">
        <f>AVERAGEIFS(points,season,'SFFL Main Page'!AC6,outcome,"L")</f>
        <v>78.142857142857139</v>
      </c>
      <c r="AH6" s="134">
        <v>2014</v>
      </c>
      <c r="AI6" s="134" t="s">
        <v>28</v>
      </c>
      <c r="AJ6" s="179" t="str">
        <f t="shared" ref="AJ6:AJ14" si="7">AK6&amp;"-"&amp;AL6</f>
        <v>4-1</v>
      </c>
      <c r="AK6" s="61">
        <v>4</v>
      </c>
      <c r="AL6" s="61">
        <v>1</v>
      </c>
    </row>
    <row r="7" spans="1:38" s="61" customFormat="1" x14ac:dyDescent="0.3">
      <c r="A7" s="33">
        <f t="shared" si="0"/>
        <v>6</v>
      </c>
      <c r="B7" s="66" t="s">
        <v>25</v>
      </c>
      <c r="C7" s="39">
        <f t="shared" si="1"/>
        <v>87</v>
      </c>
      <c r="D7" s="39">
        <f t="shared" si="2"/>
        <v>84</v>
      </c>
      <c r="E7" s="39">
        <f t="shared" si="3"/>
        <v>3</v>
      </c>
      <c r="F7" s="67">
        <f t="shared" ref="F7:F12" si="8">IFERROR((C7+(0.5*E7))/SUM(C7:E7),"")</f>
        <v>0.50862068965517238</v>
      </c>
      <c r="G7" s="56">
        <f t="shared" si="4"/>
        <v>-251</v>
      </c>
      <c r="H7" s="57">
        <f t="shared" si="5"/>
        <v>15658</v>
      </c>
      <c r="I7" s="58">
        <f t="shared" si="6"/>
        <v>89.988505747126439</v>
      </c>
      <c r="J7" s="58">
        <f>AVERAGEIFS(points,managers,'SFFL Main Page'!B7,outcome,"W")</f>
        <v>101.77011494252874</v>
      </c>
      <c r="K7" s="58">
        <f>AVERAGEIFS(points,managers,'SFFL Main Page'!B7,outcome,"L")</f>
        <v>77.94047619047619</v>
      </c>
      <c r="L7" s="58">
        <f>AVERAGEIFS('Final Tables'!I:I,'Final Tables'!D:D,'SFFL Main Page'!B7)</f>
        <v>6.2307692307692308</v>
      </c>
      <c r="M7" s="43" t="s">
        <v>63</v>
      </c>
      <c r="N7" s="64" t="s">
        <v>25</v>
      </c>
      <c r="O7" s="64">
        <f>COUNTIFS('Playoff Data'!$B:$B,'SFFL Main Page'!N7,'Playoff Data'!$H:$H,"W")</f>
        <v>7</v>
      </c>
      <c r="P7" s="64">
        <f>COUNTIFS('Playoff Data'!$B:$B,'SFFL Main Page'!N7,'Playoff Data'!$H:$H,"L")</f>
        <v>6</v>
      </c>
      <c r="Q7" s="65">
        <f t="shared" ref="Q7:Q12" si="9">IFERROR((O7)/SUM(O7:P7),"")</f>
        <v>0.53846153846153844</v>
      </c>
      <c r="R7" s="64">
        <f>COUNTIFS('Final Tables'!D:D,'SFFL Main Page'!N7,'Final Tables'!Q:Q,"Y")</f>
        <v>8</v>
      </c>
      <c r="S7" s="64">
        <f>COUNTIFS('Final Tables'!J:J,"1",'Final Tables'!D:D,'SFFL Main Page'!N7)</f>
        <v>2</v>
      </c>
      <c r="T7" s="64">
        <f>COUNTIFS('Final Tables'!D:D,'SFFL Main Page'!N7,'Final Tables'!R:R,"Y")</f>
        <v>2</v>
      </c>
      <c r="V7" s="62" t="s">
        <v>47</v>
      </c>
      <c r="W7" s="63" t="s">
        <v>43</v>
      </c>
      <c r="X7" s="63">
        <v>2019</v>
      </c>
      <c r="Y7" s="63">
        <v>5</v>
      </c>
      <c r="Z7" s="63">
        <v>161</v>
      </c>
      <c r="AA7" s="63">
        <v>10</v>
      </c>
      <c r="AC7" s="134">
        <v>2015</v>
      </c>
      <c r="AD7" s="136">
        <f>AVERAGEIF(season,'SFFL Main Page'!AC7,points)</f>
        <v>83.544871794871796</v>
      </c>
      <c r="AE7" s="136">
        <f>AVERAGEIFS(points,season,'SFFL Main Page'!AC7,outcome,"W")</f>
        <v>94.692307692307693</v>
      </c>
      <c r="AF7" s="91">
        <f>AVERAGEIFS(points,season,'SFFL Main Page'!AC7,outcome,"L")</f>
        <v>72.397435897435898</v>
      </c>
      <c r="AH7" s="134">
        <v>2015</v>
      </c>
      <c r="AI7" s="134" t="s">
        <v>29</v>
      </c>
      <c r="AJ7" s="179" t="str">
        <f t="shared" si="7"/>
        <v>3-1</v>
      </c>
      <c r="AK7" s="61">
        <v>3</v>
      </c>
      <c r="AL7" s="61">
        <v>1</v>
      </c>
    </row>
    <row r="8" spans="1:38" s="61" customFormat="1" x14ac:dyDescent="0.3">
      <c r="A8" s="33">
        <f t="shared" si="0"/>
        <v>1</v>
      </c>
      <c r="B8" s="66" t="s">
        <v>47</v>
      </c>
      <c r="C8" s="39">
        <f t="shared" si="1"/>
        <v>95</v>
      </c>
      <c r="D8" s="39">
        <f t="shared" si="2"/>
        <v>52</v>
      </c>
      <c r="E8" s="39">
        <f t="shared" si="3"/>
        <v>1</v>
      </c>
      <c r="F8" s="67">
        <f t="shared" si="8"/>
        <v>0.64527027027027029</v>
      </c>
      <c r="G8" s="56">
        <f t="shared" si="4"/>
        <v>1259</v>
      </c>
      <c r="H8" s="57">
        <f t="shared" si="5"/>
        <v>14439</v>
      </c>
      <c r="I8" s="111">
        <f t="shared" si="6"/>
        <v>97.560810810810807</v>
      </c>
      <c r="J8" s="58">
        <f>AVERAGEIFS(points,managers,'SFFL Main Page'!B8,outcome,"W")</f>
        <v>105.3578947368421</v>
      </c>
      <c r="K8" s="58">
        <f>AVERAGEIFS(points,managers,'SFFL Main Page'!B8,outcome,"L")</f>
        <v>83.57692307692308</v>
      </c>
      <c r="L8" s="58">
        <f>AVERAGEIFS('Final Tables'!I:I,'Final Tables'!D:D,'SFFL Main Page'!B8)</f>
        <v>4.1818181818181817</v>
      </c>
      <c r="M8" s="43" t="s">
        <v>64</v>
      </c>
      <c r="N8" s="64" t="s">
        <v>47</v>
      </c>
      <c r="O8" s="64">
        <f>COUNTIFS('Playoff Data'!$B:$B,'SFFL Main Page'!N8,'Playoff Data'!$H:$H,"W")</f>
        <v>4</v>
      </c>
      <c r="P8" s="64">
        <f>COUNTIFS('Playoff Data'!$B:$B,'SFFL Main Page'!N8,'Playoff Data'!$H:$H,"L")</f>
        <v>8</v>
      </c>
      <c r="Q8" s="65">
        <f t="shared" si="9"/>
        <v>0.33333333333333331</v>
      </c>
      <c r="R8" s="64">
        <f>COUNTIFS('Final Tables'!D:D,'SFFL Main Page'!N8,'Final Tables'!Q:Q,"Y")</f>
        <v>9</v>
      </c>
      <c r="S8" s="64">
        <f>COUNTIFS('Final Tables'!J:J,"1",'Final Tables'!D:D,'SFFL Main Page'!N8)</f>
        <v>1</v>
      </c>
      <c r="T8" s="64">
        <f>COUNTIFS('Final Tables'!D:D,'SFFL Main Page'!N8,'Final Tables'!R:R,"Y")</f>
        <v>5</v>
      </c>
      <c r="V8" s="62" t="s">
        <v>48</v>
      </c>
      <c r="W8" s="63" t="s">
        <v>22</v>
      </c>
      <c r="X8" s="63">
        <v>2020</v>
      </c>
      <c r="Y8" s="63">
        <v>2</v>
      </c>
      <c r="Z8" s="63">
        <v>163</v>
      </c>
      <c r="AA8" s="63">
        <v>16</v>
      </c>
      <c r="AC8" s="134">
        <v>2016</v>
      </c>
      <c r="AD8" s="136">
        <f>AVERAGEIF(season,'SFFL Main Page'!AC8,points)</f>
        <v>87.679487179487182</v>
      </c>
      <c r="AE8" s="136">
        <f>AVERAGEIFS(points,season,'SFFL Main Page'!AC8,outcome,"W")</f>
        <v>99.57692307692308</v>
      </c>
      <c r="AF8" s="91">
        <f>AVERAGEIFS(points,season,'SFFL Main Page'!AC8,outcome,"L")</f>
        <v>75.782051282051285</v>
      </c>
      <c r="AH8" s="134">
        <v>2016</v>
      </c>
      <c r="AI8" s="134" t="s">
        <v>29</v>
      </c>
      <c r="AJ8" s="179" t="str">
        <f t="shared" si="7"/>
        <v>5-0</v>
      </c>
      <c r="AK8" s="61">
        <v>5</v>
      </c>
      <c r="AL8" s="61">
        <v>0</v>
      </c>
    </row>
    <row r="9" spans="1:38" s="61" customFormat="1" x14ac:dyDescent="0.3">
      <c r="A9" s="33">
        <f t="shared" si="0"/>
        <v>2</v>
      </c>
      <c r="B9" s="66" t="s">
        <v>26</v>
      </c>
      <c r="C9" s="39">
        <f t="shared" si="1"/>
        <v>96</v>
      </c>
      <c r="D9" s="39">
        <f t="shared" si="2"/>
        <v>77</v>
      </c>
      <c r="E9" s="39">
        <f t="shared" si="3"/>
        <v>1</v>
      </c>
      <c r="F9" s="67">
        <f t="shared" si="8"/>
        <v>0.5545977011494253</v>
      </c>
      <c r="G9" s="56">
        <f t="shared" si="4"/>
        <v>286</v>
      </c>
      <c r="H9" s="57">
        <f t="shared" si="5"/>
        <v>16005</v>
      </c>
      <c r="I9" s="58">
        <f t="shared" si="6"/>
        <v>91.982758620689651</v>
      </c>
      <c r="J9" s="58">
        <f>AVERAGEIFS(points,managers,'SFFL Main Page'!B9,outcome,"W")</f>
        <v>103.55208333333333</v>
      </c>
      <c r="K9" s="58">
        <f>AVERAGEIFS(points,managers,'SFFL Main Page'!B9,outcome,"L")</f>
        <v>77.532467532467535</v>
      </c>
      <c r="L9" s="58">
        <f>AVERAGEIFS('Final Tables'!I:I,'Final Tables'!D:D,'SFFL Main Page'!B9)</f>
        <v>6.2307692307692308</v>
      </c>
      <c r="M9" s="43" t="s">
        <v>64</v>
      </c>
      <c r="N9" s="64" t="s">
        <v>26</v>
      </c>
      <c r="O9" s="64">
        <f>COUNTIFS('Playoff Data'!$B:$B,'SFFL Main Page'!N9,'Playoff Data'!$H:$H,"W")</f>
        <v>4</v>
      </c>
      <c r="P9" s="64">
        <f>COUNTIFS('Playoff Data'!$B:$B,'SFFL Main Page'!N9,'Playoff Data'!$H:$H,"L")</f>
        <v>5</v>
      </c>
      <c r="Q9" s="65">
        <f t="shared" si="9"/>
        <v>0.44444444444444442</v>
      </c>
      <c r="R9" s="64">
        <f>COUNTIFS('Final Tables'!D:D,'SFFL Main Page'!N9,'Final Tables'!Q:Q,"Y")</f>
        <v>6</v>
      </c>
      <c r="S9" s="64">
        <f>COUNTIFS('Final Tables'!J:J,"1",'Final Tables'!D:D,'SFFL Main Page'!N9)</f>
        <v>1</v>
      </c>
      <c r="T9" s="64">
        <f>COUNTIFS('Final Tables'!D:D,'SFFL Main Page'!N9,'Final Tables'!R:R,"Y")</f>
        <v>3</v>
      </c>
      <c r="V9" s="62" t="s">
        <v>25</v>
      </c>
      <c r="W9" s="63" t="s">
        <v>24</v>
      </c>
      <c r="X9" s="63">
        <v>2021</v>
      </c>
      <c r="Y9" s="63">
        <v>5</v>
      </c>
      <c r="Z9" s="63">
        <v>174</v>
      </c>
      <c r="AA9" s="63">
        <v>24</v>
      </c>
      <c r="AC9" s="134">
        <v>2017</v>
      </c>
      <c r="AD9" s="136">
        <f>AVERAGEIF(season,'SFFL Main Page'!AC9,points)</f>
        <v>83.762820512820511</v>
      </c>
      <c r="AE9" s="136">
        <f>AVERAGEIFS(points,season,'SFFL Main Page'!AC9,outcome,"W")</f>
        <v>94.20779220779221</v>
      </c>
      <c r="AF9" s="91">
        <f>AVERAGEIFS(points,season,'SFFL Main Page'!AC9,outcome,"L")</f>
        <v>73.15584415584415</v>
      </c>
      <c r="AH9" s="134">
        <v>2017</v>
      </c>
      <c r="AI9" s="134" t="s">
        <v>24</v>
      </c>
      <c r="AJ9" s="179" t="str">
        <f t="shared" si="7"/>
        <v>4-1</v>
      </c>
      <c r="AK9" s="61">
        <v>4</v>
      </c>
      <c r="AL9" s="61">
        <v>1</v>
      </c>
    </row>
    <row r="10" spans="1:38" s="61" customFormat="1" x14ac:dyDescent="0.3">
      <c r="A10" s="33">
        <f t="shared" si="0"/>
        <v>3</v>
      </c>
      <c r="B10" s="66" t="s">
        <v>48</v>
      </c>
      <c r="C10" s="39">
        <f t="shared" si="1"/>
        <v>82</v>
      </c>
      <c r="D10" s="39">
        <f t="shared" si="2"/>
        <v>66</v>
      </c>
      <c r="E10" s="39">
        <f t="shared" si="3"/>
        <v>0</v>
      </c>
      <c r="F10" s="67">
        <f t="shared" si="8"/>
        <v>0.55405405405405406</v>
      </c>
      <c r="G10" s="56">
        <f t="shared" si="4"/>
        <v>1025.0999999999999</v>
      </c>
      <c r="H10" s="57">
        <f t="shared" si="5"/>
        <v>14511.1</v>
      </c>
      <c r="I10" s="58">
        <f t="shared" si="6"/>
        <v>98.047972972972971</v>
      </c>
      <c r="J10" s="58">
        <f>AVERAGEIFS(points,managers,'SFFL Main Page'!B10,outcome,"W")</f>
        <v>108.74512195121952</v>
      </c>
      <c r="K10" s="58">
        <f>AVERAGEIFS(points,managers,'SFFL Main Page'!B10,outcome,"L")</f>
        <v>84.757575757575751</v>
      </c>
      <c r="L10" s="58">
        <f>AVERAGEIFS('Final Tables'!I:I,'Final Tables'!D:D,'SFFL Main Page'!B10)</f>
        <v>4.7272727272727275</v>
      </c>
      <c r="M10" s="43" t="s">
        <v>63</v>
      </c>
      <c r="N10" s="64" t="s">
        <v>48</v>
      </c>
      <c r="O10" s="64">
        <f>COUNTIFS('Playoff Data'!$B:$B,'SFFL Main Page'!N10,'Playoff Data'!$H:$H,"W")</f>
        <v>9</v>
      </c>
      <c r="P10" s="64">
        <f>COUNTIFS('Playoff Data'!$B:$B,'SFFL Main Page'!N10,'Playoff Data'!$H:$H,"L")</f>
        <v>6</v>
      </c>
      <c r="Q10" s="65">
        <f t="shared" si="9"/>
        <v>0.6</v>
      </c>
      <c r="R10" s="64">
        <f>COUNTIFS('Final Tables'!D:D,'SFFL Main Page'!N10,'Final Tables'!Q:Q,"Y")</f>
        <v>8</v>
      </c>
      <c r="S10" s="64">
        <f>COUNTIFS('Final Tables'!J:J,"1",'Final Tables'!D:D,'SFFL Main Page'!N10)</f>
        <v>2</v>
      </c>
      <c r="T10" s="64">
        <f>COUNTIFS('Final Tables'!D:D,'SFFL Main Page'!N10,'Final Tables'!R:R,"Y")</f>
        <v>5</v>
      </c>
      <c r="AC10" s="134">
        <v>2018</v>
      </c>
      <c r="AD10" s="136">
        <f>AVERAGEIF(season,'SFFL Main Page'!AC10,points)</f>
        <v>91.557692307692307</v>
      </c>
      <c r="AE10" s="136">
        <f>AVERAGEIFS(points,season,'SFFL Main Page'!AC10,outcome,"W")</f>
        <v>103.96103896103897</v>
      </c>
      <c r="AF10" s="91">
        <f>AVERAGEIFS(points,season,'SFFL Main Page'!AC10,outcome,"L")</f>
        <v>79.090909090909093</v>
      </c>
      <c r="AH10" s="134">
        <v>2018</v>
      </c>
      <c r="AI10" s="134" t="s">
        <v>25</v>
      </c>
      <c r="AJ10" s="179" t="str">
        <f t="shared" si="7"/>
        <v>5-1</v>
      </c>
      <c r="AK10" s="61">
        <v>5</v>
      </c>
      <c r="AL10" s="61">
        <v>1</v>
      </c>
    </row>
    <row r="11" spans="1:38" s="61" customFormat="1" x14ac:dyDescent="0.3">
      <c r="A11" s="33">
        <f t="shared" si="0"/>
        <v>7</v>
      </c>
      <c r="B11" s="66" t="s">
        <v>29</v>
      </c>
      <c r="C11" s="39">
        <f t="shared" si="1"/>
        <v>85</v>
      </c>
      <c r="D11" s="39">
        <f t="shared" si="2"/>
        <v>88</v>
      </c>
      <c r="E11" s="39">
        <f t="shared" si="3"/>
        <v>1</v>
      </c>
      <c r="F11" s="67">
        <f t="shared" si="8"/>
        <v>0.49137931034482757</v>
      </c>
      <c r="G11" s="56">
        <f t="shared" si="4"/>
        <v>-161</v>
      </c>
      <c r="H11" s="57">
        <f t="shared" si="5"/>
        <v>15556</v>
      </c>
      <c r="I11" s="58">
        <f t="shared" si="6"/>
        <v>89.402298850574709</v>
      </c>
      <c r="J11" s="58">
        <f>AVERAGEIFS(points,managers,'SFFL Main Page'!B11,outcome,"W")</f>
        <v>101.07058823529412</v>
      </c>
      <c r="K11" s="58">
        <f>AVERAGEIFS(points,managers,'SFFL Main Page'!B11,outcome,"L")</f>
        <v>78.125</v>
      </c>
      <c r="L11" s="58">
        <f>AVERAGEIFS('Final Tables'!I:I,'Final Tables'!D:D,'SFFL Main Page'!B11)</f>
        <v>6.6923076923076925</v>
      </c>
      <c r="M11" s="43" t="s">
        <v>64</v>
      </c>
      <c r="N11" s="64" t="s">
        <v>29</v>
      </c>
      <c r="O11" s="64">
        <f>COUNTIFS('Playoff Data'!$B:$B,'SFFL Main Page'!N11,'Playoff Data'!$H:$H,"W")</f>
        <v>5</v>
      </c>
      <c r="P11" s="64">
        <f>COUNTIFS('Playoff Data'!$B:$B,'SFFL Main Page'!N11,'Playoff Data'!$H:$H,"L")</f>
        <v>8</v>
      </c>
      <c r="Q11" s="65">
        <f t="shared" si="9"/>
        <v>0.38461538461538464</v>
      </c>
      <c r="R11" s="64">
        <f>COUNTIFS('Final Tables'!D:D,'SFFL Main Page'!N11,'Final Tables'!Q:Q,"Y")</f>
        <v>8</v>
      </c>
      <c r="S11" s="64">
        <f>COUNTIFS('Final Tables'!J:J,"1",'Final Tables'!D:D,'SFFL Main Page'!N11)</f>
        <v>0</v>
      </c>
      <c r="T11" s="64">
        <f>COUNTIFS('Final Tables'!D:D,'SFFL Main Page'!N11,'Final Tables'!R:R,"Y")</f>
        <v>1</v>
      </c>
      <c r="V11" s="37" t="s">
        <v>447</v>
      </c>
      <c r="W11" s="37"/>
      <c r="AC11" s="134">
        <v>2019</v>
      </c>
      <c r="AD11" s="136">
        <f>AVERAGEIF(season,'SFFL Main Page'!AC11,points)</f>
        <v>88.724358974358978</v>
      </c>
      <c r="AE11" s="136">
        <f>AVERAGEIFS(points,season,'SFFL Main Page'!AC11,outcome,"W")</f>
        <v>100.17948717948718</v>
      </c>
      <c r="AF11" s="91">
        <f>AVERAGEIFS(points,season,'SFFL Main Page'!AC11,outcome,"L")</f>
        <v>77.269230769230774</v>
      </c>
      <c r="AH11" s="134">
        <v>2019</v>
      </c>
      <c r="AI11" s="134" t="s">
        <v>28</v>
      </c>
      <c r="AJ11" s="179" t="str">
        <f t="shared" si="7"/>
        <v>3-1</v>
      </c>
      <c r="AK11" s="61">
        <v>3</v>
      </c>
      <c r="AL11" s="61">
        <v>1</v>
      </c>
    </row>
    <row r="12" spans="1:38" s="61" customFormat="1" ht="15" thickBot="1" x14ac:dyDescent="0.35">
      <c r="A12" s="33">
        <f t="shared" si="0"/>
        <v>9</v>
      </c>
      <c r="B12" s="66" t="s">
        <v>43</v>
      </c>
      <c r="C12" s="39">
        <f t="shared" si="1"/>
        <v>81</v>
      </c>
      <c r="D12" s="39">
        <f t="shared" si="2"/>
        <v>92</v>
      </c>
      <c r="E12" s="39">
        <f t="shared" si="3"/>
        <v>1</v>
      </c>
      <c r="F12" s="67">
        <f t="shared" si="8"/>
        <v>0.46839080459770116</v>
      </c>
      <c r="G12" s="56">
        <f t="shared" si="4"/>
        <v>-766</v>
      </c>
      <c r="H12" s="57">
        <f t="shared" si="5"/>
        <v>15180</v>
      </c>
      <c r="I12" s="58">
        <f t="shared" si="6"/>
        <v>87.241379310344826</v>
      </c>
      <c r="J12" s="58">
        <f>AVERAGEIFS(points,managers,'SFFL Main Page'!B12,outcome,"W")</f>
        <v>100.82716049382717</v>
      </c>
      <c r="K12" s="58">
        <f>AVERAGEIFS(points,managers,'SFFL Main Page'!B12,outcome,"L")</f>
        <v>75.369565217391298</v>
      </c>
      <c r="L12" s="58">
        <f>AVERAGEIFS('Final Tables'!I:I,'Final Tables'!D:D,'SFFL Main Page'!B12)</f>
        <v>7.6363636363636367</v>
      </c>
      <c r="M12" s="43" t="s">
        <v>64</v>
      </c>
      <c r="N12" s="64" t="s">
        <v>43</v>
      </c>
      <c r="O12" s="64">
        <f>COUNTIFS('Playoff Data'!$B:$B,'SFFL Main Page'!N12,'Playoff Data'!$H:$H,"W")</f>
        <v>5</v>
      </c>
      <c r="P12" s="64">
        <f>COUNTIFS('Playoff Data'!$B:$B,'SFFL Main Page'!N12,'Playoff Data'!$H:$H,"L")</f>
        <v>4</v>
      </c>
      <c r="Q12" s="65">
        <f t="shared" si="9"/>
        <v>0.55555555555555558</v>
      </c>
      <c r="R12" s="64">
        <f>COUNTIFS('Final Tables'!D:D,'SFFL Main Page'!N12,'Final Tables'!Q:Q,"Y")</f>
        <v>4</v>
      </c>
      <c r="S12" s="64">
        <f>COUNTIFS('Final Tables'!J:J,"1",'Final Tables'!D:D,'SFFL Main Page'!N12)</f>
        <v>0</v>
      </c>
      <c r="T12" s="64">
        <f>COUNTIFS('Final Tables'!D:D,'SFFL Main Page'!N12,'Final Tables'!R:R,"Y")</f>
        <v>1</v>
      </c>
      <c r="V12" s="51" t="s">
        <v>11</v>
      </c>
      <c r="W12" s="51" t="s">
        <v>5</v>
      </c>
      <c r="X12" s="51" t="s">
        <v>15</v>
      </c>
      <c r="Y12" s="51" t="s">
        <v>16</v>
      </c>
      <c r="Z12" s="51" t="s">
        <v>39</v>
      </c>
      <c r="AA12" s="51" t="s">
        <v>21</v>
      </c>
      <c r="AC12" s="134">
        <v>2020</v>
      </c>
      <c r="AD12" s="136">
        <f>AVERAGEIF(season,'SFFL Main Page'!AC12,points)</f>
        <v>88.602564102564102</v>
      </c>
      <c r="AE12" s="136">
        <f>AVERAGEIFS(points,season,'SFFL Main Page'!AC12,outcome,"W")</f>
        <v>102.37179487179488</v>
      </c>
      <c r="AF12" s="91">
        <f>AVERAGEIFS(points,season,'SFFL Main Page'!AC12,outcome,"L")</f>
        <v>74.833333333333329</v>
      </c>
      <c r="AH12" s="134">
        <v>2020</v>
      </c>
      <c r="AI12" s="134" t="s">
        <v>24</v>
      </c>
      <c r="AJ12" s="179" t="str">
        <f t="shared" si="7"/>
        <v>3-2</v>
      </c>
      <c r="AK12" s="61">
        <v>3</v>
      </c>
      <c r="AL12" s="61">
        <v>2</v>
      </c>
    </row>
    <row r="13" spans="1:38" s="61" customFormat="1" ht="15" thickTop="1" x14ac:dyDescent="0.3">
      <c r="A13" s="33">
        <f>RANK(F15,$F$5:$F$19)</f>
        <v>13</v>
      </c>
      <c r="B13" s="66" t="s">
        <v>473</v>
      </c>
      <c r="C13" s="39">
        <f t="shared" ref="C13:C19" si="10">COUNTIFS(managers,B13,outcome,"W")</f>
        <v>9</v>
      </c>
      <c r="D13" s="39">
        <f t="shared" ref="D13:D19" si="11">COUNTIFS(managers,B13,outcome,"L")</f>
        <v>19</v>
      </c>
      <c r="E13" s="39">
        <f t="shared" ref="E13:E19" si="12">COUNTIFS(managers,B13,outcome,"T")</f>
        <v>0</v>
      </c>
      <c r="F13" s="67">
        <f t="shared" ref="F13:F19" si="13">IFERROR((C13+(0.5*E13))/SUM(C13:E13),"")</f>
        <v>0.32142857142857145</v>
      </c>
      <c r="G13" s="56">
        <f t="shared" ref="G13:G19" si="14">SUMIF(managers,B13,diff)</f>
        <v>-213</v>
      </c>
      <c r="H13" s="57">
        <f t="shared" ref="H13:H19" si="15">SUMIF(managers,B13,points)</f>
        <v>2873</v>
      </c>
      <c r="I13" s="58">
        <f t="shared" ref="I13:I19" si="16">H13/COUNTIF(managers,B13)</f>
        <v>102.60714285714286</v>
      </c>
      <c r="J13" s="58">
        <f>AVERAGEIFS(points,managers,'SFFL Main Page'!B13,outcome,"W")</f>
        <v>122.55555555555556</v>
      </c>
      <c r="K13" s="58">
        <f>AVERAGEIFS(points,managers,'SFFL Main Page'!B13,outcome,"L")</f>
        <v>93.15789473684211</v>
      </c>
      <c r="L13" s="58">
        <f>AVERAGEIFS('Final Tables'!I:I,'Final Tables'!D:D,'SFFL Main Page'!B13)</f>
        <v>12.5</v>
      </c>
      <c r="M13" s="43" t="s">
        <v>63</v>
      </c>
      <c r="N13" s="64" t="s">
        <v>473</v>
      </c>
      <c r="O13" s="64">
        <f>COUNTIFS('Playoff Data'!$B:$B,'SFFL Main Page'!N13,'Playoff Data'!$H:$H,"W")</f>
        <v>0</v>
      </c>
      <c r="P13" s="64">
        <f>COUNTIFS('Playoff Data'!$B:$B,'SFFL Main Page'!N13,'Playoff Data'!$H:$H,"L")</f>
        <v>0</v>
      </c>
      <c r="Q13" s="65" t="str">
        <f t="shared" ref="Q13:Q19" si="17">IFERROR((O13)/SUM(O13:P13),"")</f>
        <v/>
      </c>
      <c r="R13" s="64">
        <f>COUNTIFS('Final Tables'!D:D,'SFFL Main Page'!N13,'Final Tables'!Q:Q,"Y")</f>
        <v>0</v>
      </c>
      <c r="S13" s="64">
        <f>COUNTIFS('Final Tables'!J:J,"1",'Final Tables'!D:D,'SFFL Main Page'!N13)</f>
        <v>0</v>
      </c>
      <c r="T13" s="64">
        <f>COUNTIFS('Final Tables'!D:D,'SFFL Main Page'!N13,'Final Tables'!R:R,"Y")</f>
        <v>0</v>
      </c>
      <c r="V13" s="62">
        <v>1</v>
      </c>
      <c r="W13" s="63" t="str">
        <f>VLOOKUP(V13,'Regular Season Data'!C:I,2,FALSE)</f>
        <v>BR</v>
      </c>
      <c r="X13" s="63">
        <f>VLOOKUP(V13,'Regular Season Data'!C:I,4,FALSE)</f>
        <v>2021</v>
      </c>
      <c r="Y13" s="63">
        <f>VLOOKUP(V13,'Regular Season Data'!C:I,5,FALSE)</f>
        <v>5</v>
      </c>
      <c r="Z13" s="63">
        <f>VLOOKUP(V13,'Regular Season Data'!C:I,7,FALSE)</f>
        <v>174</v>
      </c>
      <c r="AA13" s="63" t="str">
        <f>VLOOKUP(V13,'Regular Season Data'!C:I,3,FALSE)</f>
        <v>Watty</v>
      </c>
      <c r="AC13" s="134">
        <v>2021</v>
      </c>
      <c r="AD13" s="136">
        <f>AVERAGEIF(season,'SFFL Main Page'!AC13,points)</f>
        <v>89.214285714285708</v>
      </c>
      <c r="AE13" s="136">
        <f>AVERAGEIFS(points,season,'SFFL Main Page'!AC13,outcome,"W")</f>
        <v>102.25301204819277</v>
      </c>
      <c r="AF13" s="91">
        <f>AVERAGEIFS(points,season,'SFFL Main Page'!AC13,outcome,"L")</f>
        <v>76.301204819277103</v>
      </c>
      <c r="AH13" s="134">
        <v>2021</v>
      </c>
      <c r="AI13" s="134" t="s">
        <v>28</v>
      </c>
      <c r="AJ13" s="179" t="str">
        <f t="shared" si="7"/>
        <v>3-1</v>
      </c>
      <c r="AK13" s="61">
        <v>3</v>
      </c>
      <c r="AL13" s="61">
        <v>1</v>
      </c>
    </row>
    <row r="14" spans="1:38" s="61" customFormat="1" x14ac:dyDescent="0.3">
      <c r="A14" s="33">
        <f>RANK(F16,$F$5:$F$19)</f>
        <v>10</v>
      </c>
      <c r="B14" s="66" t="s">
        <v>472</v>
      </c>
      <c r="C14" s="39">
        <f t="shared" si="10"/>
        <v>11</v>
      </c>
      <c r="D14" s="39">
        <f t="shared" si="11"/>
        <v>17</v>
      </c>
      <c r="E14" s="39">
        <f t="shared" si="12"/>
        <v>0</v>
      </c>
      <c r="F14" s="67">
        <f t="shared" si="13"/>
        <v>0.39285714285714285</v>
      </c>
      <c r="G14" s="56">
        <f t="shared" si="14"/>
        <v>-151</v>
      </c>
      <c r="H14" s="57">
        <f t="shared" si="15"/>
        <v>2975</v>
      </c>
      <c r="I14" s="58">
        <f t="shared" si="16"/>
        <v>106.25</v>
      </c>
      <c r="J14" s="58">
        <f>AVERAGEIFS(points,managers,'SFFL Main Page'!B14,outcome,"W")</f>
        <v>119.72727272727273</v>
      </c>
      <c r="K14" s="58">
        <f>AVERAGEIFS(points,managers,'SFFL Main Page'!B14,outcome,"L")</f>
        <v>97.529411764705884</v>
      </c>
      <c r="L14" s="58">
        <f>AVERAGEIFS('Final Tables'!I:I,'Final Tables'!D:D,'SFFL Main Page'!B14)</f>
        <v>8</v>
      </c>
      <c r="M14" s="43" t="s">
        <v>64</v>
      </c>
      <c r="N14" s="64" t="s">
        <v>472</v>
      </c>
      <c r="O14" s="64">
        <f>COUNTIFS('Playoff Data'!$B:$B,'SFFL Main Page'!N14,'Playoff Data'!$H:$H,"W")</f>
        <v>2</v>
      </c>
      <c r="P14" s="64">
        <f>COUNTIFS('Playoff Data'!$B:$B,'SFFL Main Page'!N14,'Playoff Data'!$H:$H,"L")</f>
        <v>1</v>
      </c>
      <c r="Q14" s="65">
        <f t="shared" si="17"/>
        <v>0.66666666666666663</v>
      </c>
      <c r="R14" s="64">
        <f>COUNTIFS('Final Tables'!D:D,'SFFL Main Page'!N14,'Final Tables'!Q:Q,"Y")</f>
        <v>1</v>
      </c>
      <c r="S14" s="64">
        <f>COUNTIFS('Final Tables'!J:J,"1",'Final Tables'!D:D,'SFFL Main Page'!N14)</f>
        <v>0</v>
      </c>
      <c r="T14" s="64">
        <f>COUNTIFS('Final Tables'!D:D,'SFFL Main Page'!N14,'Final Tables'!R:R,"Y")</f>
        <v>0</v>
      </c>
      <c r="V14" s="62">
        <v>2</v>
      </c>
      <c r="W14" s="63" t="str">
        <f>VLOOKUP(V14,'Regular Season Data'!C:I,2,FALSE)</f>
        <v>Brent</v>
      </c>
      <c r="X14" s="63">
        <f>VLOOKUP(V14,'Regular Season Data'!C:I,4,FALSE)</f>
        <v>2025</v>
      </c>
      <c r="Y14" s="63">
        <f>VLOOKUP(V14,'Regular Season Data'!C:I,5,FALSE)</f>
        <v>4</v>
      </c>
      <c r="Z14" s="63">
        <f>VLOOKUP(V14,'Regular Season Data'!C:I,7,FALSE)</f>
        <v>172</v>
      </c>
      <c r="AA14" s="63" t="str">
        <f>VLOOKUP(V14,'Regular Season Data'!C:I,3,FALSE)</f>
        <v>Charles</v>
      </c>
      <c r="AC14" s="134">
        <v>2022</v>
      </c>
      <c r="AD14" s="136">
        <f>AVERAGEIF(season,'SFFL Main Page'!AC14,points)</f>
        <v>86.464285714285708</v>
      </c>
      <c r="AE14" s="136">
        <f>AVERAGEIFS(points,season,'SFFL Main Page'!AC14,outcome,"W")</f>
        <v>97.94047619047619</v>
      </c>
      <c r="AF14" s="91">
        <f>AVERAGEIFS(points,season,'SFFL Main Page'!AC14,outcome,"L")</f>
        <v>74.988095238095241</v>
      </c>
      <c r="AH14" s="134">
        <v>2022</v>
      </c>
      <c r="AI14" s="134" t="s">
        <v>29</v>
      </c>
      <c r="AJ14" s="179" t="str">
        <f t="shared" si="7"/>
        <v>3-1</v>
      </c>
      <c r="AK14" s="61">
        <v>3</v>
      </c>
      <c r="AL14" s="61">
        <v>1</v>
      </c>
    </row>
    <row r="15" spans="1:38" s="61" customFormat="1" x14ac:dyDescent="0.3">
      <c r="A15" s="33">
        <f>RANK(F17,$F$5:$F$19)</f>
        <v>4</v>
      </c>
      <c r="B15" s="66" t="s">
        <v>22</v>
      </c>
      <c r="C15" s="39">
        <f t="shared" si="10"/>
        <v>71</v>
      </c>
      <c r="D15" s="39">
        <f t="shared" si="11"/>
        <v>102</v>
      </c>
      <c r="E15" s="39">
        <f t="shared" si="12"/>
        <v>1</v>
      </c>
      <c r="F15" s="67">
        <f t="shared" si="13"/>
        <v>0.41091954022988508</v>
      </c>
      <c r="G15" s="56">
        <f t="shared" si="14"/>
        <v>-1107</v>
      </c>
      <c r="H15" s="57">
        <f t="shared" si="15"/>
        <v>15514</v>
      </c>
      <c r="I15" s="58">
        <f t="shared" si="16"/>
        <v>89.160919540229884</v>
      </c>
      <c r="J15" s="58">
        <f>AVERAGEIFS(points,managers,'SFFL Main Page'!B15,outcome,"W")</f>
        <v>102.38028169014085</v>
      </c>
      <c r="K15" s="58">
        <f>AVERAGEIFS(points,managers,'SFFL Main Page'!B15,outcome,"L")</f>
        <v>79.950980392156865</v>
      </c>
      <c r="L15" s="58">
        <f>AVERAGEIFS('Final Tables'!I:I,'Final Tables'!D:D,'SFFL Main Page'!B15)</f>
        <v>8.3076923076923084</v>
      </c>
      <c r="M15" s="43" t="s">
        <v>63</v>
      </c>
      <c r="N15" s="64" t="s">
        <v>22</v>
      </c>
      <c r="O15" s="64">
        <f>COUNTIFS('Playoff Data'!$B:$B,'SFFL Main Page'!N15,'Playoff Data'!$H:$H,"W")</f>
        <v>4</v>
      </c>
      <c r="P15" s="64">
        <f>COUNTIFS('Playoff Data'!$B:$B,'SFFL Main Page'!N15,'Playoff Data'!$H:$H,"L")</f>
        <v>2</v>
      </c>
      <c r="Q15" s="65">
        <f t="shared" si="17"/>
        <v>0.66666666666666663</v>
      </c>
      <c r="R15" s="64">
        <f>COUNTIFS('Final Tables'!D:D,'SFFL Main Page'!N15,'Final Tables'!Q:Q,"Y")</f>
        <v>3</v>
      </c>
      <c r="S15" s="64">
        <f>COUNTIFS('Final Tables'!J:J,"1",'Final Tables'!D:D,'SFFL Main Page'!N15)</f>
        <v>1</v>
      </c>
      <c r="T15" s="64">
        <f>COUNTIFS('Final Tables'!D:D,'SFFL Main Page'!N15,'Final Tables'!R:R,"Y")</f>
        <v>2</v>
      </c>
      <c r="V15" s="62">
        <v>3</v>
      </c>
      <c r="W15" s="63" t="str">
        <f>VLOOKUP(V15,'Regular Season Data'!C:I,2,FALSE)</f>
        <v>Russell</v>
      </c>
      <c r="X15" s="63">
        <f>VLOOKUP(V15,'Regular Season Data'!C:I,4,FALSE)</f>
        <v>2025</v>
      </c>
      <c r="Y15" s="63">
        <f>VLOOKUP(V15,'Regular Season Data'!C:I,5,FALSE)</f>
        <v>4</v>
      </c>
      <c r="Z15" s="63">
        <f>VLOOKUP(V15,'Regular Season Data'!C:I,7,FALSE)</f>
        <v>171</v>
      </c>
      <c r="AA15" s="63" t="str">
        <f>VLOOKUP(V15,'Regular Season Data'!C:I,3,FALSE)</f>
        <v>Emily</v>
      </c>
      <c r="AC15" s="134">
        <v>2023</v>
      </c>
      <c r="AD15" s="136">
        <f>AVERAGEIF(season,'SFFL Main Page'!AC15,points)</f>
        <v>88.541666666666671</v>
      </c>
      <c r="AE15" s="136">
        <f>AVERAGEIFS(points,season,'SFFL Main Page'!AC15,outcome,"W")</f>
        <v>101.28571428571429</v>
      </c>
      <c r="AF15" s="91">
        <f>AVERAGEIFS(points,season,'SFFL Main Page'!AC15,outcome,"L")</f>
        <v>75.797619047619051</v>
      </c>
      <c r="AH15" s="134">
        <v>2023</v>
      </c>
      <c r="AI15" s="134" t="s">
        <v>24</v>
      </c>
      <c r="AJ15" s="179" t="str">
        <f>AK15&amp;"-"&amp;AL15</f>
        <v>5-1</v>
      </c>
      <c r="AK15" s="61">
        <v>5</v>
      </c>
      <c r="AL15" s="61">
        <v>1</v>
      </c>
    </row>
    <row r="16" spans="1:38" s="61" customFormat="1" x14ac:dyDescent="0.3">
      <c r="A16" s="33">
        <f>RANK(F18,$F$5:$F$19)</f>
        <v>5</v>
      </c>
      <c r="B16" s="66" t="s">
        <v>30</v>
      </c>
      <c r="C16" s="39">
        <f t="shared" si="10"/>
        <v>80</v>
      </c>
      <c r="D16" s="39">
        <f t="shared" si="11"/>
        <v>93</v>
      </c>
      <c r="E16" s="39">
        <f t="shared" si="12"/>
        <v>1</v>
      </c>
      <c r="F16" s="67">
        <f t="shared" si="13"/>
        <v>0.46264367816091956</v>
      </c>
      <c r="G16" s="56">
        <f t="shared" si="14"/>
        <v>-70</v>
      </c>
      <c r="H16" s="57">
        <f t="shared" si="15"/>
        <v>15933</v>
      </c>
      <c r="I16" s="58">
        <f t="shared" si="16"/>
        <v>91.568965517241381</v>
      </c>
      <c r="J16" s="58">
        <f>AVERAGEIFS(points,managers,'SFFL Main Page'!B16,outcome,"W")</f>
        <v>102.9</v>
      </c>
      <c r="K16" s="58">
        <f>AVERAGEIFS(points,managers,'SFFL Main Page'!B16,outcome,"L")</f>
        <v>81.935483870967744</v>
      </c>
      <c r="L16" s="58">
        <f>AVERAGEIFS('Final Tables'!I:I,'Final Tables'!D:D,'SFFL Main Page'!B16)</f>
        <v>6.615384615384615</v>
      </c>
      <c r="M16" s="43" t="s">
        <v>64</v>
      </c>
      <c r="N16" s="64" t="s">
        <v>30</v>
      </c>
      <c r="O16" s="64">
        <f>COUNTIFS('Playoff Data'!$B:$B,'SFFL Main Page'!N16,'Playoff Data'!$H:$H,"W")</f>
        <v>3</v>
      </c>
      <c r="P16" s="64">
        <f>COUNTIFS('Playoff Data'!$B:$B,'SFFL Main Page'!N16,'Playoff Data'!$H:$H,"L")</f>
        <v>7</v>
      </c>
      <c r="Q16" s="65">
        <f t="shared" si="17"/>
        <v>0.3</v>
      </c>
      <c r="R16" s="64">
        <f>COUNTIFS('Final Tables'!D:D,'SFFL Main Page'!N16,'Final Tables'!Q:Q,"Y")</f>
        <v>7</v>
      </c>
      <c r="S16" s="64">
        <f>COUNTIFS('Final Tables'!J:J,"1",'Final Tables'!D:D,'SFFL Main Page'!N16)</f>
        <v>0</v>
      </c>
      <c r="T16" s="64">
        <f>COUNTIFS('Final Tables'!D:D,'SFFL Main Page'!N16,'Final Tables'!R:R,"Y")</f>
        <v>2</v>
      </c>
      <c r="V16" s="62">
        <v>4</v>
      </c>
      <c r="W16" s="63" t="str">
        <f>VLOOKUP(V16,'Regular Season Data'!C:I,2,FALSE)</f>
        <v>BR</v>
      </c>
      <c r="X16" s="63">
        <f>VLOOKUP(V16,'Regular Season Data'!C:I,4,FALSE)</f>
        <v>2024</v>
      </c>
      <c r="Y16" s="63">
        <f>VLOOKUP(V16,'Regular Season Data'!C:I,5,FALSE)</f>
        <v>8</v>
      </c>
      <c r="Z16" s="63">
        <f>VLOOKUP(V16,'Regular Season Data'!C:I,7,FALSE)</f>
        <v>169</v>
      </c>
      <c r="AA16" s="63" t="str">
        <f>VLOOKUP(V16,'Regular Season Data'!C:I,3,FALSE)</f>
        <v>Brian</v>
      </c>
      <c r="AC16" s="134">
        <v>2024</v>
      </c>
      <c r="AD16" s="136">
        <f>AVERAGEIF(season,'SFFL Main Page'!AC16,points)</f>
        <v>108.30612244897959</v>
      </c>
      <c r="AE16" s="136">
        <f>AVERAGEIFS(points,season,'SFFL Main Page'!AC16,outcome,"W")</f>
        <v>120.55102040816327</v>
      </c>
      <c r="AF16" s="91">
        <f>AVERAGEIFS(points,season,'SFFL Main Page'!AC16,outcome,"L")</f>
        <v>96.061224489795919</v>
      </c>
      <c r="AH16" s="134">
        <v>2024</v>
      </c>
      <c r="AI16" s="134" t="s">
        <v>28</v>
      </c>
      <c r="AJ16" s="179" t="str">
        <f>AK16&amp;"-"&amp;AL16</f>
        <v>3-1</v>
      </c>
      <c r="AK16" s="61">
        <v>3</v>
      </c>
      <c r="AL16" s="61">
        <v>1</v>
      </c>
    </row>
    <row r="17" spans="1:35" s="61" customFormat="1" x14ac:dyDescent="0.3">
      <c r="A17" s="33">
        <f>RANK(F19,$F$5:$F$19)</f>
        <v>8</v>
      </c>
      <c r="B17" s="66" t="s">
        <v>23</v>
      </c>
      <c r="C17" s="39">
        <f t="shared" si="10"/>
        <v>94</v>
      </c>
      <c r="D17" s="39">
        <f t="shared" si="11"/>
        <v>79</v>
      </c>
      <c r="E17" s="39">
        <f t="shared" si="12"/>
        <v>1</v>
      </c>
      <c r="F17" s="67">
        <f t="shared" si="13"/>
        <v>0.5431034482758621</v>
      </c>
      <c r="G17" s="56">
        <f t="shared" si="14"/>
        <v>278</v>
      </c>
      <c r="H17" s="57">
        <f t="shared" si="15"/>
        <v>16154</v>
      </c>
      <c r="I17" s="58">
        <f t="shared" si="16"/>
        <v>92.839080459770116</v>
      </c>
      <c r="J17" s="58">
        <f>AVERAGEIFS(points,managers,'SFFL Main Page'!B17,outcome,"W")</f>
        <v>102.92553191489361</v>
      </c>
      <c r="K17" s="58">
        <f>AVERAGEIFS(points,managers,'SFFL Main Page'!B17,outcome,"L")</f>
        <v>80.632911392405063</v>
      </c>
      <c r="L17" s="58">
        <f>AVERAGEIFS('Final Tables'!I:I,'Final Tables'!D:D,'SFFL Main Page'!B17)</f>
        <v>5.384615384615385</v>
      </c>
      <c r="M17" s="43" t="s">
        <v>63</v>
      </c>
      <c r="N17" s="64" t="s">
        <v>23</v>
      </c>
      <c r="O17" s="64">
        <f>COUNTIFS('Playoff Data'!$B:$B,'SFFL Main Page'!N17,'Playoff Data'!$H:$H,"W")</f>
        <v>5</v>
      </c>
      <c r="P17" s="64">
        <f>COUNTIFS('Playoff Data'!$B:$B,'SFFL Main Page'!N17,'Playoff Data'!$H:$H,"L")</f>
        <v>6</v>
      </c>
      <c r="Q17" s="65">
        <f t="shared" si="17"/>
        <v>0.45454545454545453</v>
      </c>
      <c r="R17" s="64">
        <f>COUNTIFS('Final Tables'!D:D,'SFFL Main Page'!N17,'Final Tables'!Q:Q,"Y")</f>
        <v>8</v>
      </c>
      <c r="S17" s="64">
        <f>COUNTIFS('Final Tables'!J:J,"1",'Final Tables'!D:D,'SFFL Main Page'!N17)</f>
        <v>2</v>
      </c>
      <c r="T17" s="64">
        <f>COUNTIFS('Final Tables'!D:D,'SFFL Main Page'!N17,'Final Tables'!R:R,"Y")</f>
        <v>3</v>
      </c>
      <c r="V17" s="62">
        <v>5</v>
      </c>
      <c r="W17" s="63" t="str">
        <f>VLOOKUP(V17,'Regular Season Data'!C:I,2,FALSE)</f>
        <v>Mark</v>
      </c>
      <c r="X17" s="63">
        <f>VLOOKUP(V17,'Regular Season Data'!C:I,4,FALSE)</f>
        <v>2025</v>
      </c>
      <c r="Y17" s="63">
        <f>VLOOKUP(V17,'Regular Season Data'!C:I,5,FALSE)</f>
        <v>8</v>
      </c>
      <c r="Z17" s="63">
        <f>VLOOKUP(V17,'Regular Season Data'!C:I,7,FALSE)</f>
        <v>167</v>
      </c>
      <c r="AA17" s="63" t="str">
        <f>VLOOKUP(V17,'Regular Season Data'!C:I,3,FALSE)</f>
        <v>David</v>
      </c>
      <c r="AC17" s="138" t="s">
        <v>492</v>
      </c>
      <c r="AD17" s="139">
        <f>AVERAGE(AD5:AD15)</f>
        <v>87.997877122877114</v>
      </c>
      <c r="AE17" s="139">
        <f>AVERAGE(AE5:AE15)</f>
        <v>99.908441097207529</v>
      </c>
      <c r="AF17" s="140">
        <f>AVERAGE(AF5:AF15)</f>
        <v>76.078905070604819</v>
      </c>
    </row>
    <row r="18" spans="1:35" s="61" customFormat="1" x14ac:dyDescent="0.3">
      <c r="A18" s="25"/>
      <c r="B18" s="66" t="s">
        <v>28</v>
      </c>
      <c r="C18" s="39">
        <f t="shared" si="10"/>
        <v>90</v>
      </c>
      <c r="D18" s="39">
        <f t="shared" si="11"/>
        <v>82</v>
      </c>
      <c r="E18" s="39">
        <f t="shared" si="12"/>
        <v>2</v>
      </c>
      <c r="F18" s="67">
        <f t="shared" si="13"/>
        <v>0.52298850574712641</v>
      </c>
      <c r="G18" s="56">
        <f t="shared" si="14"/>
        <v>779.9</v>
      </c>
      <c r="H18" s="57">
        <f t="shared" si="15"/>
        <v>16395</v>
      </c>
      <c r="I18" s="58">
        <f t="shared" si="16"/>
        <v>94.224137931034477</v>
      </c>
      <c r="J18" s="112">
        <f>AVERAGEIFS(points,managers,'SFFL Main Page'!B18,outcome,"W")</f>
        <v>106.33333333333333</v>
      </c>
      <c r="K18" s="112">
        <f>AVERAGEIFS(points,managers,'SFFL Main Page'!B18,outcome,"L")</f>
        <v>80.91463414634147</v>
      </c>
      <c r="L18" s="58">
        <f>AVERAGEIFS('Final Tables'!I:I,'Final Tables'!D:D,'SFFL Main Page'!B18)</f>
        <v>5.6923076923076925</v>
      </c>
      <c r="M18" s="43" t="s">
        <v>64</v>
      </c>
      <c r="N18" s="64" t="s">
        <v>28</v>
      </c>
      <c r="O18" s="64">
        <f>COUNTIFS('Playoff Data'!$B:$B,'SFFL Main Page'!N18,'Playoff Data'!$H:$H,"W")</f>
        <v>11</v>
      </c>
      <c r="P18" s="64">
        <f>COUNTIFS('Playoff Data'!$B:$B,'SFFL Main Page'!N18,'Playoff Data'!$H:$H,"L")</f>
        <v>7</v>
      </c>
      <c r="Q18" s="65">
        <f t="shared" si="17"/>
        <v>0.61111111111111116</v>
      </c>
      <c r="R18" s="64">
        <f>COUNTIFS('Final Tables'!D:D,'SFFL Main Page'!N18,'Final Tables'!Q:Q,"Y")</f>
        <v>9</v>
      </c>
      <c r="S18" s="64">
        <f>COUNTIFS('Final Tables'!J:J,"1",'Final Tables'!D:D,'SFFL Main Page'!N18)</f>
        <v>2</v>
      </c>
      <c r="T18" s="64">
        <f>COUNTIFS('Final Tables'!D:D,'SFFL Main Page'!N18,'Final Tables'!R:R,"Y")</f>
        <v>1</v>
      </c>
      <c r="V18" s="62">
        <v>6</v>
      </c>
      <c r="W18" s="63" t="str">
        <f>VLOOKUP(V18,'Regular Season Data'!C:I,2,FALSE)</f>
        <v>Jordan</v>
      </c>
      <c r="X18" s="63">
        <f>VLOOKUP(V18,'Regular Season Data'!C:I,4,FALSE)</f>
        <v>2024</v>
      </c>
      <c r="Y18" s="63">
        <f>VLOOKUP(V18,'Regular Season Data'!C:I,5,FALSE)</f>
        <v>2</v>
      </c>
      <c r="Z18" s="63">
        <f>VLOOKUP(V18,'Regular Season Data'!C:I,7,FALSE)</f>
        <v>165</v>
      </c>
      <c r="AA18" s="63" t="str">
        <f>VLOOKUP(V18,'Regular Season Data'!C:I,3,FALSE)</f>
        <v>Grayson</v>
      </c>
      <c r="AC18" s="138" t="s">
        <v>493</v>
      </c>
      <c r="AD18" s="141">
        <f>(AD16-AD17)/AD17</f>
        <v>0.2307810823407111</v>
      </c>
      <c r="AE18" s="141">
        <f>(AE16-AE17)/AE17</f>
        <v>0.20661496750681166</v>
      </c>
      <c r="AF18" s="142">
        <f>(AF16-AF17)/AF17</f>
        <v>0.26265256315987412</v>
      </c>
    </row>
    <row r="19" spans="1:35" ht="15" thickBot="1" x14ac:dyDescent="0.35">
      <c r="A19" s="3"/>
      <c r="B19" s="68" t="s">
        <v>24</v>
      </c>
      <c r="C19" s="68">
        <f t="shared" si="10"/>
        <v>83</v>
      </c>
      <c r="D19" s="68">
        <f t="shared" si="11"/>
        <v>91</v>
      </c>
      <c r="E19" s="68">
        <f t="shared" si="12"/>
        <v>0</v>
      </c>
      <c r="F19" s="69">
        <f t="shared" si="13"/>
        <v>0.47701149425287354</v>
      </c>
      <c r="G19" s="70">
        <f t="shared" si="14"/>
        <v>160</v>
      </c>
      <c r="H19" s="71">
        <f t="shared" si="15"/>
        <v>15662</v>
      </c>
      <c r="I19" s="72">
        <f t="shared" si="16"/>
        <v>90.011494252873561</v>
      </c>
      <c r="J19" s="113">
        <f>AVERAGEIFS(points,managers,'SFFL Main Page'!B19,outcome,"W")</f>
        <v>104.75903614457832</v>
      </c>
      <c r="K19" s="113">
        <f>AVERAGEIFS(points,managers,'SFFL Main Page'!B19,outcome,"L")</f>
        <v>76.560439560439562</v>
      </c>
      <c r="L19" s="72">
        <f>AVERAGEIFS('Final Tables'!I:I,'Final Tables'!D:D,'SFFL Main Page'!B19)</f>
        <v>7.384615384615385</v>
      </c>
      <c r="M19" s="43" t="s">
        <v>63</v>
      </c>
      <c r="N19" s="73" t="s">
        <v>24</v>
      </c>
      <c r="O19" s="73">
        <f>COUNTIFS('Playoff Data'!$B:$B,'SFFL Main Page'!N19,'Playoff Data'!$H:$H,"W")</f>
        <v>7</v>
      </c>
      <c r="P19" s="73">
        <f>COUNTIFS('Playoff Data'!$B:$B,'SFFL Main Page'!N19,'Playoff Data'!$H:$H,"L")</f>
        <v>4</v>
      </c>
      <c r="Q19" s="74">
        <f t="shared" si="17"/>
        <v>0.63636363636363635</v>
      </c>
      <c r="R19" s="73">
        <f>COUNTIFS('Final Tables'!D:D,'SFFL Main Page'!N19,'Final Tables'!Q:Q,"Y")</f>
        <v>6</v>
      </c>
      <c r="S19" s="73">
        <f>COUNTIFS('Final Tables'!J:J,"1",'Final Tables'!D:D,'SFFL Main Page'!N19)</f>
        <v>2</v>
      </c>
      <c r="T19" s="73">
        <f>COUNTIFS('Final Tables'!D:D,'SFFL Main Page'!N19,'Final Tables'!R:R,"Y")</f>
        <v>1</v>
      </c>
      <c r="V19" s="62">
        <v>7</v>
      </c>
      <c r="W19" s="63" t="str">
        <f>VLOOKUP(V19,'Regular Season Data'!C:I,2,FALSE)</f>
        <v>Mark</v>
      </c>
      <c r="X19" s="63">
        <f>VLOOKUP(V19,'Regular Season Data'!C:I,4,FALSE)</f>
        <v>2024</v>
      </c>
      <c r="Y19" s="63">
        <f>VLOOKUP(V19,'Regular Season Data'!C:I,5,FALSE)</f>
        <v>10</v>
      </c>
      <c r="Z19" s="63">
        <f>VLOOKUP(V19,'Regular Season Data'!C:I,7,FALSE)</f>
        <v>164</v>
      </c>
      <c r="AA19" s="63" t="str">
        <f>VLOOKUP(V19,'Regular Season Data'!C:I,3,FALSE)</f>
        <v>Watty</v>
      </c>
    </row>
    <row r="20" spans="1:35" ht="15" thickTop="1" x14ac:dyDescent="0.3">
      <c r="A20" s="3"/>
      <c r="B20" s="28" t="s">
        <v>41</v>
      </c>
      <c r="C20" s="28">
        <f>SUM(C5:C19)</f>
        <v>1040</v>
      </c>
      <c r="D20" s="28">
        <f>SUM(D5:D19)</f>
        <v>1040</v>
      </c>
      <c r="E20" s="28">
        <f>SUM(E5:E19)</f>
        <v>12</v>
      </c>
      <c r="F20" s="29"/>
      <c r="G20" s="30"/>
      <c r="H20" s="31">
        <f>SUM(H5:H19)</f>
        <v>191828.1</v>
      </c>
      <c r="I20" s="137">
        <f>AVERAGE(points)</f>
        <v>91.696032504780121</v>
      </c>
      <c r="J20" s="137">
        <f>AVERAGEIFS(points,outcome,"W")</f>
        <v>103.82701923076924</v>
      </c>
      <c r="K20" s="137">
        <f>AVERAGEIFS(points,outcome,"L")</f>
        <v>79.590384615384622</v>
      </c>
      <c r="L20" s="30"/>
      <c r="M20" s="3"/>
      <c r="N20" s="28" t="s">
        <v>41</v>
      </c>
      <c r="O20" s="28">
        <f>SUM(O5:O19)</f>
        <v>69</v>
      </c>
      <c r="P20" s="28">
        <f>SUM(P5:P19)</f>
        <v>69</v>
      </c>
      <c r="Q20" s="29" t="str">
        <f>IFERROR((O20+(0.5*#REF!))/SUM(O20:P20),"")</f>
        <v/>
      </c>
      <c r="R20" s="28"/>
      <c r="S20" s="28"/>
      <c r="T20" s="28"/>
      <c r="V20" s="62">
        <v>8</v>
      </c>
      <c r="W20" s="63" t="str">
        <f>VLOOKUP(V20,'Regular Season Data'!C:I,2,FALSE)</f>
        <v>Charles</v>
      </c>
      <c r="X20" s="63">
        <f>VLOOKUP(V20,'Regular Season Data'!C:I,4,FALSE)</f>
        <v>2020</v>
      </c>
      <c r="Y20" s="63">
        <f>VLOOKUP(V20,'Regular Season Data'!C:I,5,FALSE)</f>
        <v>2</v>
      </c>
      <c r="Z20" s="63">
        <f>VLOOKUP(V20,'Regular Season Data'!C:I,7,FALSE)</f>
        <v>163</v>
      </c>
      <c r="AA20" s="63" t="str">
        <f>VLOOKUP(V20,'Regular Season Data'!C:I,3,FALSE)</f>
        <v>Mark</v>
      </c>
    </row>
    <row r="21" spans="1:35" x14ac:dyDescent="0.3">
      <c r="A21" s="3"/>
      <c r="H21" s="3"/>
      <c r="I21" s="129"/>
      <c r="J21" s="3"/>
      <c r="L21" s="3"/>
      <c r="M21" s="3"/>
      <c r="V21" s="62">
        <v>9</v>
      </c>
      <c r="W21" s="63" t="str">
        <f>VLOOKUP(V21,'Regular Season Data'!C:I,2,FALSE)</f>
        <v>Brent</v>
      </c>
      <c r="X21" s="63">
        <f>VLOOKUP(V21,'Regular Season Data'!C:I,4,FALSE)</f>
        <v>2019</v>
      </c>
      <c r="Y21" s="63">
        <f>VLOOKUP(V21,'Regular Season Data'!C:I,5,FALSE)</f>
        <v>5</v>
      </c>
      <c r="Z21" s="63">
        <f>VLOOKUP(V21,'Regular Season Data'!C:I,7,FALSE)</f>
        <v>161</v>
      </c>
      <c r="AA21" s="63" t="str">
        <f>VLOOKUP(V21,'Regular Season Data'!C:I,3,FALSE)</f>
        <v>Emily</v>
      </c>
    </row>
    <row r="22" spans="1:35" x14ac:dyDescent="0.3">
      <c r="A22" s="3"/>
      <c r="B22" s="196" t="s">
        <v>449</v>
      </c>
      <c r="C22" s="196"/>
      <c r="D22" s="196"/>
      <c r="F22" s="37" t="s">
        <v>60</v>
      </c>
      <c r="G22" s="84"/>
      <c r="H22" s="84"/>
      <c r="I22" s="84"/>
      <c r="J22" s="84"/>
      <c r="K22" s="84"/>
      <c r="L22" s="84"/>
      <c r="N22" s="12" t="s">
        <v>53</v>
      </c>
      <c r="O22" s="12"/>
      <c r="P22" s="12"/>
      <c r="Q22" s="12"/>
      <c r="V22" s="62">
        <v>10</v>
      </c>
      <c r="W22" s="63" t="e">
        <f>VLOOKUP(V22,'Regular Season Data'!C:I,2,FALSE)</f>
        <v>#N/A</v>
      </c>
      <c r="X22" s="63" t="e">
        <f>VLOOKUP(V22,'Regular Season Data'!C:I,4,FALSE)</f>
        <v>#N/A</v>
      </c>
      <c r="Y22" s="63" t="e">
        <f>VLOOKUP(V22,'Regular Season Data'!C:I,5,FALSE)</f>
        <v>#N/A</v>
      </c>
      <c r="Z22" s="63" t="e">
        <f>VLOOKUP(V22,'Regular Season Data'!C:I,7,FALSE)</f>
        <v>#N/A</v>
      </c>
      <c r="AA22" s="63" t="e">
        <f>VLOOKUP(V22,'Regular Season Data'!C:I,3,FALSE)</f>
        <v>#N/A</v>
      </c>
      <c r="AE22" s="2" t="s">
        <v>0</v>
      </c>
      <c r="AF22" s="2">
        <v>2025</v>
      </c>
    </row>
    <row r="23" spans="1:35" ht="15" thickBot="1" x14ac:dyDescent="0.35">
      <c r="A23" s="3"/>
      <c r="B23" s="44" t="s">
        <v>64</v>
      </c>
      <c r="C23" s="44"/>
      <c r="D23" s="44" t="s">
        <v>63</v>
      </c>
      <c r="E23" s="143"/>
      <c r="F23" s="51" t="s">
        <v>11</v>
      </c>
      <c r="G23" s="51" t="s">
        <v>5</v>
      </c>
      <c r="H23" s="51" t="s">
        <v>21</v>
      </c>
      <c r="I23" s="51" t="s">
        <v>39</v>
      </c>
      <c r="J23" s="51" t="s">
        <v>40</v>
      </c>
      <c r="K23" s="51" t="s">
        <v>0</v>
      </c>
      <c r="L23" s="51" t="s">
        <v>16</v>
      </c>
      <c r="N23" s="52" t="s">
        <v>54</v>
      </c>
      <c r="O23" s="53" t="s">
        <v>34</v>
      </c>
      <c r="P23" s="53" t="s">
        <v>35</v>
      </c>
      <c r="Q23" s="53" t="s">
        <v>37</v>
      </c>
      <c r="Y23" s="85" t="s">
        <v>256</v>
      </c>
      <c r="Z23" s="85"/>
      <c r="AA23" s="85"/>
      <c r="AB23" s="85"/>
      <c r="AC23" s="85"/>
      <c r="AE23" s="12" t="s">
        <v>53</v>
      </c>
      <c r="AF23" s="12"/>
      <c r="AG23" s="12"/>
      <c r="AH23" s="12"/>
    </row>
    <row r="24" spans="1:35" ht="15.6" thickTop="1" thickBot="1" x14ac:dyDescent="0.35">
      <c r="A24" s="3"/>
      <c r="B24" s="197" t="s">
        <v>267</v>
      </c>
      <c r="C24" s="197"/>
      <c r="D24" s="197"/>
      <c r="E24" s="143"/>
      <c r="F24" s="63">
        <v>1</v>
      </c>
      <c r="G24" s="63" t="str">
        <f>VLOOKUP(F24,'Regular Season Data'!$B:$M,3,FALSE)</f>
        <v>Watty</v>
      </c>
      <c r="H24" s="63" t="str">
        <f>VLOOKUP(F24,'Regular Season Data'!$B:$M,4,FALSE)</f>
        <v>Emily</v>
      </c>
      <c r="I24" s="63">
        <f>VLOOKUP(F24,'Regular Season Data'!$B:$M,8,FALSE)</f>
        <v>135</v>
      </c>
      <c r="J24" s="63">
        <f>VLOOKUP(F24,'Regular Season Data'!$B:$M,9,FALSE)</f>
        <v>99</v>
      </c>
      <c r="K24" s="63">
        <f>VLOOKUP(F24,'Regular Season Data'!$B:$M,5,FALSE)</f>
        <v>2019</v>
      </c>
      <c r="L24" s="63">
        <f>VLOOKUP(F24,'Regular Season Data'!$B:$M,6,FALSE)</f>
        <v>9</v>
      </c>
      <c r="N24" s="39" t="s">
        <v>25</v>
      </c>
      <c r="O24" s="39" cm="1">
        <f t="array" ref="O24">SUM(COUNTIFS(managers,'SFFL Main Page'!N24,opponent,{"David","Russell","Watty"},outcome,"W"))</f>
        <v>19</v>
      </c>
      <c r="P24" s="39" cm="1">
        <f t="array" ref="P24">SUM(COUNTIFS(managers,'SFFL Main Page'!N24,opponent,{"David","Russell","Watty"},outcome,"L"))</f>
        <v>27</v>
      </c>
      <c r="Q24" s="40">
        <f>IFERROR((O24)/SUM(O24:P24),"")</f>
        <v>0.41304347826086957</v>
      </c>
      <c r="Y24" s="52" t="s">
        <v>54</v>
      </c>
      <c r="Z24" s="53" t="s">
        <v>34</v>
      </c>
      <c r="AA24" s="53" t="s">
        <v>35</v>
      </c>
      <c r="AB24" s="53" t="s">
        <v>36</v>
      </c>
      <c r="AC24" s="53" t="s">
        <v>37</v>
      </c>
      <c r="AE24" s="52" t="s">
        <v>54</v>
      </c>
      <c r="AF24" s="53" t="s">
        <v>34</v>
      </c>
      <c r="AG24" s="53" t="s">
        <v>35</v>
      </c>
      <c r="AH24" s="53" t="s">
        <v>37</v>
      </c>
    </row>
    <row r="25" spans="1:35" ht="15" thickTop="1" x14ac:dyDescent="0.3">
      <c r="A25" s="3" t="str">
        <f t="array" ref="A25">IFERROR(INDEX(gameid,MATCH(MAX(IF(managers=$C$3,IF(season=#REF!,points))),IF(opponent&lt;&gt;$C$3,points),0)),"")</f>
        <v/>
      </c>
      <c r="B25" s="20" t="s">
        <v>8</v>
      </c>
      <c r="C25" s="20" t="s">
        <v>3</v>
      </c>
      <c r="D25" s="20" t="s">
        <v>8</v>
      </c>
      <c r="E25" s="143"/>
      <c r="F25" s="62">
        <v>2</v>
      </c>
      <c r="G25" s="63" t="str">
        <f>VLOOKUP(F25,'Regular Season Data'!$B:$M,3,FALSE)</f>
        <v>Charles</v>
      </c>
      <c r="H25" s="63" t="str">
        <f>VLOOKUP(F25,'Regular Season Data'!$B:$M,4,FALSE)</f>
        <v>Abby</v>
      </c>
      <c r="I25" s="63">
        <f>VLOOKUP(F25,'Regular Season Data'!$B:$M,8,FALSE)</f>
        <v>149</v>
      </c>
      <c r="J25" s="63">
        <f>VLOOKUP(F25,'Regular Season Data'!$B:$M,9,FALSE)</f>
        <v>93</v>
      </c>
      <c r="K25" s="63">
        <f>VLOOKUP(F25,'Regular Season Data'!$B:$M,5,FALSE)</f>
        <v>2020</v>
      </c>
      <c r="L25" s="63">
        <f>VLOOKUP(F25,'Regular Season Data'!$B:$M,6,FALSE)</f>
        <v>3</v>
      </c>
      <c r="N25" s="66" t="s">
        <v>29</v>
      </c>
      <c r="O25" s="39" cm="1">
        <f t="array" ref="O25">SUM(COUNTIFS(managers,'SFFL Main Page'!N25,opponent,{"BR","Russell","Watty"},outcome,"W"))</f>
        <v>25</v>
      </c>
      <c r="P25" s="39" cm="1">
        <f t="array" ref="P25">SUM(COUNTIFS(managers,'SFFL Main Page'!N25,opponent,{"BR","Russell","Watty"},outcome,"L"))</f>
        <v>23</v>
      </c>
      <c r="Q25" s="40">
        <f>IFERROR((O25)/SUM(O25:P25),"")</f>
        <v>0.52083333333333337</v>
      </c>
      <c r="Y25" s="39" t="s">
        <v>25</v>
      </c>
      <c r="Z25" s="39" cm="1">
        <f t="array" ref="Z25">SUM(COUNTIFS(managers,'SFFL Main Page'!Y25,opponent,{"Charles","Arnold"},outcome,"W"))</f>
        <v>12</v>
      </c>
      <c r="AA25" s="39" cm="1">
        <f t="array" ref="AA25">SUM(COUNTIFS(managers,'SFFL Main Page'!Y25,opponent,{"Charles","Arnold"},outcome,"L"))</f>
        <v>10</v>
      </c>
      <c r="AB25" s="39" cm="1">
        <f t="array" ref="AB25">SUM(COUNTIFS(managers,'SFFL Main Page'!Y25,opponent,{"Charles","Arnold"},outcome,"T"))</f>
        <v>0</v>
      </c>
      <c r="AC25" s="40">
        <f>IFERROR((Z25)/SUM(Z25:AB25),"")</f>
        <v>0.54545454545454541</v>
      </c>
      <c r="AE25" s="39" t="s">
        <v>25</v>
      </c>
      <c r="AF25" s="39" cm="1">
        <f t="array" ref="AF25">SUM(COUNTIFS(managers,'SFFL Main Page'!AE25,opponent,{"David","Russell","Watty"},outcome,"W",season,'SFFL Main Page'!AF22))</f>
        <v>0</v>
      </c>
      <c r="AG25" s="39" cm="1">
        <f t="array" ref="AG25">SUM(COUNTIFS(managers,'SFFL Main Page'!AE25,opponent,{"David","Russell","Watty"},outcome,"L",season,'SFFL Main Page'!AF22))</f>
        <v>3</v>
      </c>
      <c r="AH25" s="40">
        <f>IFERROR((AF25)/SUM(AF25:AG25),"")</f>
        <v>0</v>
      </c>
    </row>
    <row r="26" spans="1:35" x14ac:dyDescent="0.3">
      <c r="A26" s="3"/>
      <c r="B26" s="21">
        <f>COUNTIFS('Regular Season Data'!M:M,'SFFL Main Page'!B23,outcome,"W",'Regular Season Data'!N:N,"Y")</f>
        <v>287</v>
      </c>
      <c r="C26" s="21">
        <f>COUNTIFS(outcome,"T",'Regular Season Data'!N:N,"Y")</f>
        <v>10</v>
      </c>
      <c r="D26" s="21">
        <f>COUNTIFS('Regular Season Data'!M:M,'SFFL Main Page'!D23,outcome,"W",'Regular Season Data'!N:N,"Y")</f>
        <v>253</v>
      </c>
      <c r="E26" s="143"/>
      <c r="F26" s="62">
        <v>3</v>
      </c>
      <c r="G26" s="63" t="str">
        <f>VLOOKUP(F26,'Regular Season Data'!$B:$M,3,FALSE)</f>
        <v>David</v>
      </c>
      <c r="H26" s="63" t="str">
        <f>VLOOKUP(F26,'Regular Season Data'!$B:$M,4,FALSE)</f>
        <v>Michael</v>
      </c>
      <c r="I26" s="63">
        <f>VLOOKUP(F26,'Regular Season Data'!$B:$M,8,FALSE)</f>
        <v>153</v>
      </c>
      <c r="J26" s="63">
        <f>VLOOKUP(F26,'Regular Season Data'!$B:$M,9,FALSE)</f>
        <v>90</v>
      </c>
      <c r="K26" s="63">
        <f>VLOOKUP(F26,'Regular Season Data'!$B:$M,5,FALSE)</f>
        <v>2019</v>
      </c>
      <c r="L26" s="63">
        <f>VLOOKUP(F26,'Regular Season Data'!$B:$M,6,FALSE)</f>
        <v>5</v>
      </c>
      <c r="N26" s="66" t="s">
        <v>28</v>
      </c>
      <c r="O26" s="39" cm="1">
        <f t="array" ref="O26">SUM(COUNTIFS(managers,'SFFL Main Page'!N26,opponent,{"BR","David","Watty"},outcome,"W"))</f>
        <v>34</v>
      </c>
      <c r="P26" s="39" cm="1">
        <f t="array" ref="P26">SUM(COUNTIFS(managers,'SFFL Main Page'!N26,opponent,{"BR","David","Watty"},outcome,"L"))</f>
        <v>17</v>
      </c>
      <c r="Q26" s="40">
        <f>IFERROR((O26)/SUM(O26:P26),"")</f>
        <v>0.66666666666666663</v>
      </c>
      <c r="Y26" s="66" t="s">
        <v>29</v>
      </c>
      <c r="Z26" s="39" cm="1">
        <f t="array" ref="Z26">SUM(COUNTIFS(managers,'SFFL Main Page'!Y26,opponent,{"Brian"},outcome,"W"))</f>
        <v>6</v>
      </c>
      <c r="AA26" s="39" cm="1">
        <f t="array" ref="AA26">SUM(COUNTIFS(managers,'SFFL Main Page'!Y26,opponent,{"Brian"},outcome,"L"))</f>
        <v>18</v>
      </c>
      <c r="AB26" s="39" cm="1">
        <f t="array" ref="AB26">SUM(COUNTIFS(managers,'SFFL Main Page'!Y26,opponent,{"Brian"},outcome,"T"))</f>
        <v>0</v>
      </c>
      <c r="AC26" s="40">
        <f>IFERROR((Z26)/SUM(Z26:AB26),"")</f>
        <v>0.25</v>
      </c>
      <c r="AE26" s="66" t="s">
        <v>29</v>
      </c>
      <c r="AF26" s="39" cm="1">
        <f t="array" ref="AF26">SUM(COUNTIFS(managers,'SFFL Main Page'!AE26,opponent,{"BR","Russell","Watty"},outcome,"W",season,'SFFL Main Page'!AF22))</f>
        <v>2</v>
      </c>
      <c r="AG26" s="39" cm="1">
        <f t="array" ref="AG26">SUM(COUNTIFS(managers,'SFFL Main Page'!AE26,opponent,{"BR","Russell","Watty"},outcome,"L",season,'SFFL Main Page'!AF22))</f>
        <v>2</v>
      </c>
      <c r="AH26" s="40">
        <f>IFERROR((AF26)/SUM(AF26:AG26),"")</f>
        <v>0.5</v>
      </c>
    </row>
    <row r="27" spans="1:35" x14ac:dyDescent="0.3">
      <c r="A27" s="3"/>
      <c r="B27" s="197" t="s">
        <v>6</v>
      </c>
      <c r="C27" s="197"/>
      <c r="D27" s="197"/>
      <c r="E27" s="143"/>
      <c r="F27" s="62">
        <v>4</v>
      </c>
      <c r="G27" s="63" t="str">
        <f>VLOOKUP(F27,'Regular Season Data'!$B:$M,3,FALSE)</f>
        <v>Russell</v>
      </c>
      <c r="H27" s="63" t="str">
        <f>VLOOKUP(F27,'Regular Season Data'!$B:$M,4,FALSE)</f>
        <v>Brian</v>
      </c>
      <c r="I27" s="63">
        <f>VLOOKUP(F27,'Regular Season Data'!$B:$M,8,FALSE)</f>
        <v>142</v>
      </c>
      <c r="J27" s="63">
        <f>VLOOKUP(F27,'Regular Season Data'!$B:$M,9,FALSE)</f>
        <v>88</v>
      </c>
      <c r="K27" s="63">
        <f>VLOOKUP(F27,'Regular Season Data'!$B:$M,5,FALSE)</f>
        <v>2023</v>
      </c>
      <c r="L27" s="63">
        <f>VLOOKUP(F27,'Regular Season Data'!$B:$M,6,FALSE)</f>
        <v>4</v>
      </c>
      <c r="N27" s="66" t="s">
        <v>24</v>
      </c>
      <c r="O27" s="39" cm="1">
        <f t="array" ref="O27">SUM(COUNTIFS(managers,'SFFL Main Page'!N27,opponent,{"David","Russell","BR"},outcome,"W"))</f>
        <v>20</v>
      </c>
      <c r="P27" s="39" cm="1">
        <f t="array" ref="P27">SUM(COUNTIFS(managers,'SFFL Main Page'!N27,opponent,{"David","Russell","BR"},outcome,"L"))</f>
        <v>31</v>
      </c>
      <c r="Q27" s="40">
        <f>IFERROR((O27)/SUM(O27:P27),"")</f>
        <v>0.39215686274509803</v>
      </c>
      <c r="Y27" s="66" t="s">
        <v>28</v>
      </c>
      <c r="Z27" s="39" cm="1">
        <f t="array" ref="Z27">SUM(COUNTIFS(managers,'SFFL Main Page'!Y27,opponent,{"Emily","Matt"},outcome,"W"))</f>
        <v>10</v>
      </c>
      <c r="AA27" s="39" cm="1">
        <f t="array" ref="AA27">SUM(COUNTIFS(managers,'SFFL Main Page'!Y27,opponent,{"Emily","Matt"},outcome,"L"))</f>
        <v>24</v>
      </c>
      <c r="AB27" s="39" cm="1">
        <f t="array" ref="AB27">SUM(COUNTIFS(managers,'SFFL Main Page'!Y27,opponent,{"Emily","Matt"},outcome,"T"))</f>
        <v>1</v>
      </c>
      <c r="AC27" s="40">
        <f>IFERROR((Z27)/SUM(Z27:AB27),"")</f>
        <v>0.2857142857142857</v>
      </c>
      <c r="AE27" s="66" t="s">
        <v>28</v>
      </c>
      <c r="AF27" s="39" cm="1">
        <f t="array" ref="AF27">SUM(COUNTIFS(managers,'SFFL Main Page'!AE27,opponent,{"BR","David","Watty"},outcome,"W",season,'SFFL Main Page'!AF22))</f>
        <v>3</v>
      </c>
      <c r="AG27" s="39" cm="1">
        <f t="array" ref="AG27">SUM(COUNTIFS(managers,'SFFL Main Page'!AE27,opponent,{"BR","David","Watty"},outcome,"L",season,'SFFL Main Page'!AF22))</f>
        <v>1</v>
      </c>
      <c r="AH27" s="40">
        <f>IFERROR((AF27)/SUM(AF27:AG27),"")</f>
        <v>0.75</v>
      </c>
    </row>
    <row r="28" spans="1:35" ht="15" thickBot="1" x14ac:dyDescent="0.35">
      <c r="A28" s="3"/>
      <c r="B28" s="20" t="s">
        <v>8</v>
      </c>
      <c r="C28" s="20" t="s">
        <v>3</v>
      </c>
      <c r="D28" s="20" t="s">
        <v>8</v>
      </c>
      <c r="E28" s="143"/>
      <c r="F28" s="62">
        <v>5</v>
      </c>
      <c r="G28" s="63" t="str">
        <f>VLOOKUP(F28,'Regular Season Data'!$B:$M,3,FALSE)</f>
        <v>Charles</v>
      </c>
      <c r="H28" s="63" t="str">
        <f>VLOOKUP(F28,'Regular Season Data'!$B:$M,4,FALSE)</f>
        <v>Brian</v>
      </c>
      <c r="I28" s="63">
        <f>VLOOKUP(F28,'Regular Season Data'!$B:$M,8,FALSE)</f>
        <v>141</v>
      </c>
      <c r="J28" s="63">
        <f>VLOOKUP(F28,'Regular Season Data'!$B:$M,9,FALSE)</f>
        <v>87</v>
      </c>
      <c r="K28" s="63">
        <f>VLOOKUP(F28,'Regular Season Data'!$B:$M,5,FALSE)</f>
        <v>2016</v>
      </c>
      <c r="L28" s="63">
        <f>VLOOKUP(F28,'Regular Season Data'!$B:$M,6,FALSE)</f>
        <v>1</v>
      </c>
      <c r="N28" s="54" t="s">
        <v>54</v>
      </c>
      <c r="O28" s="55" t="s">
        <v>34</v>
      </c>
      <c r="P28" s="55" t="s">
        <v>35</v>
      </c>
      <c r="Q28" s="55" t="s">
        <v>37</v>
      </c>
      <c r="Y28" s="66" t="s">
        <v>24</v>
      </c>
      <c r="Z28" s="39" cm="1">
        <f t="array" ref="Z28">SUM(COUNTIFS(managers,'SFFL Main Page'!Y28,opponent,{"Abby","Mark","Michael"},outcome,"W"))</f>
        <v>23</v>
      </c>
      <c r="AA28" s="39" cm="1">
        <f t="array" ref="AA28">SUM(COUNTIFS(managers,'SFFL Main Page'!Y28,opponent,{"Abby","Mark","Michael"},outcome,"L"))</f>
        <v>27</v>
      </c>
      <c r="AB28" s="39" cm="1">
        <f t="array" ref="AB28">SUM(COUNTIFS(managers,'SFFL Main Page'!Y28,opponent,{"Abby","Mark","Michael"},outcome,"T"))</f>
        <v>0</v>
      </c>
      <c r="AC28" s="40">
        <f>IFERROR((Z28)/SUM(Z28:AB28),"")</f>
        <v>0.46</v>
      </c>
      <c r="AE28" s="66" t="s">
        <v>24</v>
      </c>
      <c r="AF28" s="39" cm="1">
        <f t="array" ref="AF28">SUM(COUNTIFS(managers,'SFFL Main Page'!AE28,opponent,{"David","Russell","BR"},outcome,"W",season,'SFFL Main Page'!AF22))</f>
        <v>2</v>
      </c>
      <c r="AG28" s="39" cm="1">
        <f t="array" ref="AG28">SUM(COUNTIFS(managers,'SFFL Main Page'!AE28,opponent,{"David","Russell","BR"},outcome,"L",season,'SFFL Main Page'!AF22))</f>
        <v>1</v>
      </c>
      <c r="AH28" s="40">
        <f>IFERROR((AF28)/SUM(AF28:AG28),"")</f>
        <v>0.66666666666666663</v>
      </c>
    </row>
    <row r="29" spans="1:35" ht="15.6" thickTop="1" thickBot="1" x14ac:dyDescent="0.35">
      <c r="A29" s="3"/>
      <c r="B29" s="21">
        <f>COUNTIFS('Playoff Data'!H:H,"W",'Playoff Data'!J:J,"Y",'Playoff Data'!I:I,"TEXAROK")</f>
        <v>12</v>
      </c>
      <c r="C29" s="21">
        <v>0</v>
      </c>
      <c r="D29" s="21">
        <f>COUNTIFS('Playoff Data'!H:H,"W",'Playoff Data'!J:J,"Y",'Playoff Data'!I:I,"AKCOVA")</f>
        <v>16</v>
      </c>
      <c r="E29" s="143"/>
      <c r="F29" s="21"/>
      <c r="G29" s="21"/>
      <c r="N29" s="26" t="s">
        <v>25</v>
      </c>
      <c r="O29" s="26" cm="1">
        <f t="array" ref="O29">SUM(COUNTIFS(managers,'SFFL Main Page'!N29,opponent,{"David","Russell","Watty"},outcome,"W"))</f>
        <v>19</v>
      </c>
      <c r="P29" s="26" cm="1">
        <f t="array" ref="P29">SUM(COUNTIFS(managers,'SFFL Main Page'!N29,opponent,{"David","Russell","Watty"},outcome,"L"))</f>
        <v>27</v>
      </c>
      <c r="Q29" s="27">
        <f>IFERROR((O29)/SUM(O29:P29),"")</f>
        <v>0.41304347826086957</v>
      </c>
      <c r="Y29" s="54" t="s">
        <v>54</v>
      </c>
      <c r="Z29" s="55" t="s">
        <v>34</v>
      </c>
      <c r="AA29" s="55" t="s">
        <v>35</v>
      </c>
      <c r="AB29" s="55" t="s">
        <v>36</v>
      </c>
      <c r="AC29" s="55" t="s">
        <v>37</v>
      </c>
      <c r="AD29" s="3"/>
      <c r="AE29" s="61"/>
      <c r="AF29" s="61"/>
      <c r="AG29" s="61"/>
      <c r="AH29" s="61"/>
      <c r="AI29" s="61"/>
    </row>
    <row r="30" spans="1:35" ht="15" thickTop="1" x14ac:dyDescent="0.3">
      <c r="A30" s="3"/>
      <c r="B30" s="197" t="s">
        <v>7</v>
      </c>
      <c r="C30" s="197"/>
      <c r="D30" s="197"/>
      <c r="E30" s="143"/>
      <c r="F30" s="20" t="s">
        <v>247</v>
      </c>
      <c r="G30" s="45"/>
      <c r="H30" s="45"/>
      <c r="I30" s="45"/>
      <c r="N30" s="66" t="s">
        <v>55</v>
      </c>
      <c r="O30" s="39">
        <f>COUNTIFS(managers,$N$29,opponent,S32,outcome,"W")</f>
        <v>6</v>
      </c>
      <c r="P30" s="39">
        <f>COUNTIFS(managers,$N$29,opponent,S32,outcome,"L")</f>
        <v>7</v>
      </c>
      <c r="Q30" s="40">
        <f>IFERROR((O30)/SUM(O30:P30),"")</f>
        <v>0.46153846153846156</v>
      </c>
      <c r="Y30" s="26" t="s">
        <v>25</v>
      </c>
      <c r="Z30" s="26" cm="1">
        <f t="array" ref="Z30">SUM(COUNTIFS(managers,'SFFL Main Page'!Y30,opponent,{"Charles","Arnold"},outcome,"W"))</f>
        <v>12</v>
      </c>
      <c r="AA30" s="26" cm="1">
        <f t="array" ref="AA30">SUM(COUNTIFS(managers,'SFFL Main Page'!Y30,opponent,{"Charles","Arnold"},outcome,"L"))</f>
        <v>10</v>
      </c>
      <c r="AB30" s="26" cm="1">
        <f t="array" ref="AB30">SUM(COUNTIFS(managers,'SFFL Main Page'!Y30,opponent,{"David","Russell","Watty"},outcome,"T"))</f>
        <v>0</v>
      </c>
      <c r="AC30" s="40">
        <f>IFERROR((Z30)/SUM(Z30:AB30),"")</f>
        <v>0.54545454545454541</v>
      </c>
      <c r="AD30" s="3"/>
      <c r="AE30" s="61"/>
      <c r="AF30" s="61"/>
      <c r="AG30" s="61"/>
      <c r="AH30" s="61"/>
      <c r="AI30" s="61"/>
    </row>
    <row r="31" spans="1:35" ht="15" thickBot="1" x14ac:dyDescent="0.35">
      <c r="B31" s="21">
        <f>SUMIFS(S5:S19,M5:M19,B23)</f>
        <v>4</v>
      </c>
      <c r="C31" s="21"/>
      <c r="D31" s="21">
        <f>SUMIFS(S5:S19,M5:M19,D23)</f>
        <v>9</v>
      </c>
      <c r="E31" s="143"/>
      <c r="F31" s="52" t="s">
        <v>5</v>
      </c>
      <c r="G31" s="53" t="s">
        <v>249</v>
      </c>
      <c r="H31" s="53" t="s">
        <v>250</v>
      </c>
      <c r="I31" s="53" t="s">
        <v>248</v>
      </c>
      <c r="N31" s="66" t="s">
        <v>56</v>
      </c>
      <c r="O31" s="39">
        <f>COUNTIFS(managers,$N$29,opponent,S33,outcome,"W")</f>
        <v>4</v>
      </c>
      <c r="P31" s="39">
        <f>COUNTIFS(managers,$N$29,opponent,S33,outcome,"L")</f>
        <v>11</v>
      </c>
      <c r="Q31" s="40">
        <f t="shared" ref="Q31:Q44" si="18">IFERROR((O31)/SUM(O31:P31),"")</f>
        <v>0.26666666666666666</v>
      </c>
      <c r="Y31" s="66" t="s">
        <v>257</v>
      </c>
      <c r="Z31" s="39">
        <f>COUNTIFS(managers,Y30,opponent,X32,outcome,"W")</f>
        <v>8</v>
      </c>
      <c r="AA31" s="39">
        <f>COUNTIFS(managers,Y30,opponent,X32,outcome,"L")</f>
        <v>9</v>
      </c>
      <c r="AB31" s="39">
        <f>COUNTIFS(managers,Y30,opponent,X32,outcome,"T")</f>
        <v>0</v>
      </c>
      <c r="AC31" s="40">
        <f t="shared" ref="AC31:AC41" si="19">IFERROR((Z31)/SUM(Z31:AB31),"")</f>
        <v>0.47058823529411764</v>
      </c>
      <c r="AD31" s="3" t="s">
        <v>29</v>
      </c>
      <c r="AE31" s="61"/>
      <c r="AF31" s="61"/>
      <c r="AG31" s="61"/>
      <c r="AH31" s="61"/>
      <c r="AI31" s="61"/>
    </row>
    <row r="32" spans="1:35" ht="15" thickTop="1" x14ac:dyDescent="0.3">
      <c r="C32" s="75"/>
      <c r="D32" s="76"/>
      <c r="E32" s="143"/>
      <c r="F32" s="78" t="s">
        <v>27</v>
      </c>
      <c r="G32" s="78">
        <f>COUNTIFS(managers,'SFFL Main Page'!F32,diff,"&gt;=50")</f>
        <v>6</v>
      </c>
      <c r="H32" s="78">
        <f>COUNTIFS(managers,'SFFL Main Page'!F32,diff,"&lt;=-50")</f>
        <v>9</v>
      </c>
      <c r="I32" s="79">
        <f t="shared" ref="I32:I39" si="20">G32-H32</f>
        <v>-3</v>
      </c>
      <c r="N32" s="77" t="s">
        <v>57</v>
      </c>
      <c r="O32" s="77">
        <f>COUNTIFS(managers,$N$29,opponent,S34,outcome,"W")</f>
        <v>9</v>
      </c>
      <c r="P32" s="77">
        <f>COUNTIFS(managers,$N$29,opponent,S34,outcome,"L")</f>
        <v>9</v>
      </c>
      <c r="Q32" s="41">
        <f t="shared" si="18"/>
        <v>0.5</v>
      </c>
      <c r="S32" s="3" t="s">
        <v>29</v>
      </c>
      <c r="X32" s="38" t="s">
        <v>48</v>
      </c>
      <c r="Y32" s="77" t="s">
        <v>258</v>
      </c>
      <c r="Z32" s="77">
        <f>COUNTIFS(managers,Y30,opponent,X33,outcome,"W")</f>
        <v>4</v>
      </c>
      <c r="AA32" s="77">
        <f>COUNTIFS(managers,Y30,opponent,X33,outcome,"L")</f>
        <v>1</v>
      </c>
      <c r="AB32" s="77">
        <f>COUNTIFS(managers,Y30,opponent,X33,outcome,"T")</f>
        <v>0</v>
      </c>
      <c r="AC32" s="41">
        <f t="shared" si="19"/>
        <v>0.8</v>
      </c>
      <c r="AD32" s="3" t="s">
        <v>28</v>
      </c>
      <c r="AE32" s="61"/>
      <c r="AF32" s="61"/>
      <c r="AG32" s="61"/>
      <c r="AH32" s="61"/>
      <c r="AI32" s="61"/>
    </row>
    <row r="33" spans="2:35" ht="15" thickBot="1" x14ac:dyDescent="0.35">
      <c r="B33" s="52" t="s">
        <v>5</v>
      </c>
      <c r="C33" s="53" t="s">
        <v>65</v>
      </c>
      <c r="D33" s="53" t="s">
        <v>66</v>
      </c>
      <c r="E33" s="143"/>
      <c r="F33" s="64" t="s">
        <v>227</v>
      </c>
      <c r="G33" s="64">
        <f>COUNTIFS(managers,'SFFL Main Page'!F33,diff,"&gt;=50")</f>
        <v>2</v>
      </c>
      <c r="H33" s="64">
        <f>COUNTIFS(managers,'SFFL Main Page'!F33,diff,"&lt;=-50")</f>
        <v>6</v>
      </c>
      <c r="I33" s="80">
        <f t="shared" si="20"/>
        <v>-4</v>
      </c>
      <c r="N33" s="26" t="s">
        <v>29</v>
      </c>
      <c r="O33" s="26" cm="1">
        <f t="array" ref="O33">SUM(COUNTIFS(managers,'SFFL Main Page'!N33,opponent,{"BR","Russell","Watty"},outcome,"W"))</f>
        <v>25</v>
      </c>
      <c r="P33" s="26" cm="1">
        <f t="array" ref="P33">SUM(COUNTIFS(managers,'SFFL Main Page'!N33,opponent,{"BR","Russell","Watty"},outcome,"L"))</f>
        <v>23</v>
      </c>
      <c r="Q33" s="27">
        <f t="shared" si="18"/>
        <v>0.52083333333333337</v>
      </c>
      <c r="S33" s="3" t="s">
        <v>28</v>
      </c>
      <c r="X33" s="38" t="s">
        <v>227</v>
      </c>
      <c r="Y33" s="26" t="s">
        <v>29</v>
      </c>
      <c r="Z33" s="26" cm="1">
        <f t="array" ref="Z33">SUM(COUNTIFS(managers,'SFFL Main Page'!Y33,opponent,{"Brian"},outcome,"W"))</f>
        <v>6</v>
      </c>
      <c r="AA33" s="26" cm="1">
        <f t="array" ref="AA33">SUM(COUNTIFS(managers,'SFFL Main Page'!Y33,opponent,{"Brian"},outcome,"L"))</f>
        <v>18</v>
      </c>
      <c r="AB33" s="26" cm="1">
        <f t="array" ref="AB33">SUM(COUNTIFS(managers,'SFFL Main Page'!Y33,opponent,{"Brian"},outcome,"T"))</f>
        <v>0</v>
      </c>
      <c r="AC33" s="40">
        <f t="shared" si="19"/>
        <v>0.25</v>
      </c>
      <c r="AD33" s="3" t="s">
        <v>24</v>
      </c>
      <c r="AE33" s="61"/>
      <c r="AF33" s="61"/>
      <c r="AG33" s="61"/>
      <c r="AH33" s="61"/>
      <c r="AI33" s="61"/>
    </row>
    <row r="34" spans="2:35" ht="15" thickTop="1" x14ac:dyDescent="0.3">
      <c r="B34" s="39" t="s">
        <v>27</v>
      </c>
      <c r="C34" s="125" t="str">
        <f>COUNTIFS(managers,B34,outcome,"W",'Regular Season Data'!$N:$N,"Y")&amp;"-"&amp;COUNTIFS(managers,B34,outcome,"L",'Regular Season Data'!$N:$N,"Y")&amp;"-"&amp;COUNTIFS(managers,B34,outcome,"T",'Regular Season Data'!$N:$N,"Y")</f>
        <v>28-30-0</v>
      </c>
      <c r="D34" s="125" t="str">
        <f>COUNTIFS(managers,B34,outcome,"W",'Regular Season Data'!$N:$N,"N")&amp;"-"&amp;COUNTIFS(managers,B34,outcome,"L",'Regular Season Data'!$N:$N,"N")&amp;"-"&amp;COUNTIFS(managers,B34,outcome,"T",'Regular Season Data'!$N:$N,"N")</f>
        <v>19-27-0</v>
      </c>
      <c r="E34" s="143"/>
      <c r="F34" s="64" t="s">
        <v>25</v>
      </c>
      <c r="G34" s="64">
        <f>COUNTIFS(managers,'SFFL Main Page'!F34,diff,"&gt;=50")</f>
        <v>7</v>
      </c>
      <c r="H34" s="64">
        <f>COUNTIFS(managers,'SFFL Main Page'!F34,diff,"&lt;=-50")</f>
        <v>8</v>
      </c>
      <c r="I34" s="80">
        <f t="shared" si="20"/>
        <v>-1</v>
      </c>
      <c r="N34" s="66" t="s">
        <v>58</v>
      </c>
      <c r="O34" s="39">
        <f>COUNTIFS(managers,$N$33,opponent,S36,outcome,"W")</f>
        <v>7</v>
      </c>
      <c r="P34" s="39">
        <f>COUNTIFS(managers,$N$33,opponent,S36,outcome,"L")</f>
        <v>6</v>
      </c>
      <c r="Q34" s="40">
        <f t="shared" si="18"/>
        <v>0.53846153846153844</v>
      </c>
      <c r="S34" s="3" t="s">
        <v>24</v>
      </c>
      <c r="X34" s="38" t="s">
        <v>29</v>
      </c>
      <c r="Y34" s="77" t="s">
        <v>259</v>
      </c>
      <c r="Z34" s="77">
        <f>COUNTIFS(managers,Y33,opponent,X35,outcome,"W")</f>
        <v>6</v>
      </c>
      <c r="AA34" s="77">
        <f>COUNTIFS(managers,Y33,opponent,X35,outcome,"L")</f>
        <v>18</v>
      </c>
      <c r="AB34" s="77">
        <f>COUNTIFS(managers,Y33,opponent,X35,outcome,"T")</f>
        <v>0</v>
      </c>
      <c r="AC34" s="41">
        <f t="shared" si="19"/>
        <v>0.25</v>
      </c>
      <c r="AD34" s="3"/>
      <c r="AE34" s="61"/>
      <c r="AF34" s="61"/>
      <c r="AG34" s="61"/>
      <c r="AH34" s="61"/>
      <c r="AI34" s="61"/>
    </row>
    <row r="35" spans="2:35" x14ac:dyDescent="0.3">
      <c r="B35" s="39" t="s">
        <v>227</v>
      </c>
      <c r="C35" s="125" t="str">
        <f>COUNTIFS(managers,B35,outcome,"W",'Regular Season Data'!$N:$N,"Y")&amp;"-"&amp;COUNTIFS(managers,B35,outcome,"L",'Regular Season Data'!$N:$N,"Y")&amp;"-"&amp;COUNTIFS(managers,B35,outcome,"T",'Regular Season Data'!$N:$N,"Y")</f>
        <v>18-17-0</v>
      </c>
      <c r="D35" s="125" t="str">
        <f>COUNTIFS(managers,B35,outcome,"W",'Regular Season Data'!$N:$N,"N")&amp;"-"&amp;COUNTIFS(managers,B35,outcome,"L",'Regular Season Data'!$N:$N,"N")&amp;"-"&amp;COUNTIFS(managers,B35,outcome,"T",'Regular Season Data'!$N:$N,"N")</f>
        <v>11-24-0</v>
      </c>
      <c r="E35" s="143"/>
      <c r="F35" s="64" t="s">
        <v>47</v>
      </c>
      <c r="G35" s="64">
        <f>COUNTIFS(managers,'SFFL Main Page'!F35,diff,"&gt;=50")</f>
        <v>8</v>
      </c>
      <c r="H35" s="64">
        <f>COUNTIFS(managers,'SFFL Main Page'!F35,diff,"&lt;=-50")</f>
        <v>3</v>
      </c>
      <c r="I35" s="80">
        <f t="shared" si="20"/>
        <v>5</v>
      </c>
      <c r="N35" s="66" t="s">
        <v>56</v>
      </c>
      <c r="O35" s="39">
        <f>COUNTIFS(managers,$N$33,opponent,S37,outcome,"W")</f>
        <v>7</v>
      </c>
      <c r="P35" s="39">
        <f>COUNTIFS(managers,$N$33,opponent,S37,outcome,"L")</f>
        <v>12</v>
      </c>
      <c r="Q35" s="40">
        <f t="shared" si="18"/>
        <v>0.36842105263157893</v>
      </c>
      <c r="S35" s="3" t="s">
        <v>29</v>
      </c>
      <c r="X35" s="38" t="s">
        <v>26</v>
      </c>
      <c r="Y35" s="26" t="s">
        <v>28</v>
      </c>
      <c r="Z35" s="26" cm="1">
        <f t="array" ref="Z35">SUM(COUNTIFS(managers,'SFFL Main Page'!Y35,opponent,{"Emily","Matt"},outcome,"W"))</f>
        <v>10</v>
      </c>
      <c r="AA35" s="26" cm="1">
        <f t="array" ref="AA35">SUM(COUNTIFS(managers,'SFFL Main Page'!Y35,opponent,{"Emily","Matt"},outcome,"L"))</f>
        <v>24</v>
      </c>
      <c r="AB35" s="26" cm="1">
        <f t="array" ref="AB35">SUM(COUNTIFS(managers,'SFFL Main Page'!Y35,opponent,{"Emily","Matt"},outcome,"T"))</f>
        <v>1</v>
      </c>
      <c r="AC35" s="40">
        <f t="shared" si="19"/>
        <v>0.2857142857142857</v>
      </c>
      <c r="AD35" s="3" t="s">
        <v>25</v>
      </c>
      <c r="AE35" s="61"/>
      <c r="AF35" s="61"/>
      <c r="AG35" s="61"/>
      <c r="AH35" s="61"/>
      <c r="AI35" s="61"/>
    </row>
    <row r="36" spans="2:35" x14ac:dyDescent="0.3">
      <c r="B36" s="66" t="s">
        <v>25</v>
      </c>
      <c r="C36" s="125" t="str">
        <f>COUNTIFS(managers,B36,outcome,"W",'Regular Season Data'!$N:$N,"Y")&amp;"-"&amp;COUNTIFS(managers,B36,outcome,"L",'Regular Season Data'!$N:$N,"Y")&amp;"-"&amp;COUNTIFS(managers,B36,outcome,"T",'Regular Season Data'!$N:$N,"Y")</f>
        <v>38-51-3</v>
      </c>
      <c r="D36" s="126" t="str">
        <f>COUNTIFS(managers,B36,outcome,"W",'Regular Season Data'!$N:$N,"N")&amp;"-"&amp;COUNTIFS(managers,B36,outcome,"L",'Regular Season Data'!$N:$N,"N")&amp;"-"&amp;COUNTIFS(managers,B36,outcome,"T",'Regular Season Data'!$N:$N,"N")</f>
        <v>49-33-0</v>
      </c>
      <c r="E36" s="143"/>
      <c r="F36" s="64" t="s">
        <v>26</v>
      </c>
      <c r="G36" s="64">
        <f>COUNTIFS(managers,'SFFL Main Page'!F36,diff,"&gt;=50")</f>
        <v>12</v>
      </c>
      <c r="H36" s="64">
        <f>COUNTIFS(managers,'SFFL Main Page'!F36,diff,"&lt;=-50")</f>
        <v>11</v>
      </c>
      <c r="I36" s="80">
        <f t="shared" si="20"/>
        <v>1</v>
      </c>
      <c r="N36" s="77" t="s">
        <v>57</v>
      </c>
      <c r="O36" s="77">
        <f>COUNTIFS(managers,$N$33,opponent,S38,outcome,"W")</f>
        <v>11</v>
      </c>
      <c r="P36" s="77">
        <f>COUNTIFS(managers,$N$33,opponent,S38,outcome,"L")</f>
        <v>5</v>
      </c>
      <c r="Q36" s="41">
        <f t="shared" si="18"/>
        <v>0.6875</v>
      </c>
      <c r="S36" s="3" t="s">
        <v>25</v>
      </c>
      <c r="X36" s="38" t="s">
        <v>28</v>
      </c>
      <c r="Y36" s="66" t="s">
        <v>260</v>
      </c>
      <c r="Z36" s="39">
        <f>COUNTIFS(managers,Y35,opponent,X37,outcome,"W")</f>
        <v>7</v>
      </c>
      <c r="AA36" s="39">
        <f>COUNTIFS(managers,Y35,opponent,X37,outcome,"L")</f>
        <v>14</v>
      </c>
      <c r="AB36" s="39">
        <f>COUNTIFS(managers,Y35,opponent,X37,outcome,"T")</f>
        <v>0</v>
      </c>
      <c r="AC36" s="40">
        <f t="shared" si="19"/>
        <v>0.33333333333333331</v>
      </c>
      <c r="AD36" s="3" t="s">
        <v>28</v>
      </c>
      <c r="AE36" s="61"/>
      <c r="AF36" s="61"/>
      <c r="AG36" s="61"/>
      <c r="AH36" s="61"/>
      <c r="AI36" s="61"/>
    </row>
    <row r="37" spans="2:35" x14ac:dyDescent="0.3">
      <c r="B37" s="66" t="s">
        <v>47</v>
      </c>
      <c r="C37" s="126" t="str">
        <f>COUNTIFS(managers,B37,outcome,"W",'Regular Season Data'!$N:$N,"Y")&amp;"-"&amp;COUNTIFS(managers,B37,outcome,"L",'Regular Season Data'!$N:$N,"Y")&amp;"-"&amp;COUNTIFS(managers,B37,outcome,"T",'Regular Season Data'!$N:$N,"Y")</f>
        <v>54-25-1</v>
      </c>
      <c r="D37" s="126" t="str">
        <f>COUNTIFS(managers,B37,outcome,"W",'Regular Season Data'!$N:$N,"N")&amp;"-"&amp;COUNTIFS(managers,B37,outcome,"L",'Regular Season Data'!$N:$N,"N")&amp;"-"&amp;COUNTIFS(managers,B37,outcome,"T",'Regular Season Data'!$N:$N,"N")</f>
        <v>41-27-0</v>
      </c>
      <c r="E37" s="143"/>
      <c r="F37" s="64" t="s">
        <v>48</v>
      </c>
      <c r="G37" s="64">
        <f>COUNTIFS(managers,'SFFL Main Page'!F37,diff,"&gt;=50")</f>
        <v>11</v>
      </c>
      <c r="H37" s="64">
        <f>COUNTIFS(managers,'SFFL Main Page'!F37,diff,"&lt;=-50")</f>
        <v>3</v>
      </c>
      <c r="I37" s="80">
        <f t="shared" si="20"/>
        <v>8</v>
      </c>
      <c r="N37" s="26" t="s">
        <v>28</v>
      </c>
      <c r="O37" s="26" cm="1">
        <f t="array" ref="O37">SUM(COUNTIFS(managers,'SFFL Main Page'!N37,opponent,{"BR","David","Watty"},outcome,"W"))</f>
        <v>34</v>
      </c>
      <c r="P37" s="26" cm="1">
        <f t="array" ref="P37">SUM(COUNTIFS(managers,'SFFL Main Page'!N37,opponent,{"BR","David","Watty"},outcome,"L"))</f>
        <v>17</v>
      </c>
      <c r="Q37" s="27">
        <f t="shared" si="18"/>
        <v>0.66666666666666663</v>
      </c>
      <c r="S37" s="3" t="s">
        <v>28</v>
      </c>
      <c r="X37" s="38" t="s">
        <v>43</v>
      </c>
      <c r="Y37" s="77" t="s">
        <v>261</v>
      </c>
      <c r="Z37" s="77">
        <f>COUNTIFS(managers,Y35,opponent,X38,outcome,"W")</f>
        <v>3</v>
      </c>
      <c r="AA37" s="77">
        <f>COUNTIFS(managers,Y35,opponent,X38,outcome,"L")</f>
        <v>10</v>
      </c>
      <c r="AB37" s="77">
        <f>COUNTIFS(managers,Y35,opponent,X38,outcome,"T")</f>
        <v>1</v>
      </c>
      <c r="AC37" s="41">
        <f t="shared" si="19"/>
        <v>0.21428571428571427</v>
      </c>
      <c r="AD37" s="3" t="s">
        <v>24</v>
      </c>
      <c r="AE37" s="61"/>
      <c r="AF37" s="61"/>
      <c r="AG37" s="61"/>
      <c r="AH37" s="61"/>
      <c r="AI37" s="61"/>
    </row>
    <row r="38" spans="2:35" x14ac:dyDescent="0.3">
      <c r="B38" s="66" t="s">
        <v>26</v>
      </c>
      <c r="C38" s="125" t="str">
        <f>COUNTIFS(managers,B38,outcome,"W",'Regular Season Data'!$N:$N,"Y")&amp;"-"&amp;COUNTIFS(managers,B38,outcome,"L",'Regular Season Data'!$N:$N,"Y")&amp;"-"&amp;COUNTIFS(managers,B38,outcome,"T",'Regular Season Data'!$N:$N,"Y")</f>
        <v>42-44-1</v>
      </c>
      <c r="D38" s="126" t="str">
        <f>COUNTIFS(managers,B38,outcome,"W",'Regular Season Data'!$N:$N,"N")&amp;"-"&amp;COUNTIFS(managers,B38,outcome,"L",'Regular Season Data'!$N:$N,"N")&amp;"-"&amp;COUNTIFS(managers,B38,outcome,"T",'Regular Season Data'!$N:$N,"N")</f>
        <v>54-33-0</v>
      </c>
      <c r="E38" s="143"/>
      <c r="F38" s="64" t="s">
        <v>29</v>
      </c>
      <c r="G38" s="64">
        <f>COUNTIFS(managers,'SFFL Main Page'!F38,diff,"&gt;=50")</f>
        <v>7</v>
      </c>
      <c r="H38" s="64">
        <f>COUNTIFS(managers,'SFFL Main Page'!F38,diff,"&lt;=-50")</f>
        <v>9</v>
      </c>
      <c r="I38" s="80">
        <f t="shared" si="20"/>
        <v>-2</v>
      </c>
      <c r="N38" s="66" t="s">
        <v>58</v>
      </c>
      <c r="O38" s="39">
        <f>COUNTIFS(managers,$N$37,opponent,S40,outcome,"W")</f>
        <v>11</v>
      </c>
      <c r="P38" s="39">
        <f>COUNTIFS(managers,$N$37,opponent,S40,outcome,"L")</f>
        <v>4</v>
      </c>
      <c r="Q38" s="40">
        <f t="shared" si="18"/>
        <v>0.73333333333333328</v>
      </c>
      <c r="S38" s="3" t="s">
        <v>24</v>
      </c>
      <c r="X38" s="38" t="s">
        <v>30</v>
      </c>
      <c r="Y38" s="26" t="s">
        <v>24</v>
      </c>
      <c r="Z38" s="26" cm="1">
        <f t="array" ref="Z38">SUM(COUNTIFS(managers,'SFFL Main Page'!Y38,opponent,{"David","Russell","BR"},outcome,"W"))</f>
        <v>20</v>
      </c>
      <c r="AA38" s="26" cm="1">
        <f t="array" ref="AA38">SUM(COUNTIFS(managers,'SFFL Main Page'!Y38,opponent,{"David","Russell","BR"},outcome,"L"))</f>
        <v>31</v>
      </c>
      <c r="AB38" s="26" cm="1">
        <f t="array" ref="AB38">SUM(COUNTIFS(managers,'SFFL Main Page'!Y38,opponent,{"David","Russell","Watty"},outcome,"T"))</f>
        <v>0</v>
      </c>
      <c r="AC38" s="40">
        <f t="shared" si="19"/>
        <v>0.39215686274509803</v>
      </c>
      <c r="AD38" s="3"/>
      <c r="AE38" s="61"/>
      <c r="AF38" s="61"/>
      <c r="AG38" s="61"/>
      <c r="AH38" s="61"/>
      <c r="AI38" s="61"/>
    </row>
    <row r="39" spans="2:35" x14ac:dyDescent="0.3">
      <c r="B39" s="66" t="s">
        <v>48</v>
      </c>
      <c r="C39" s="126" t="str">
        <f>COUNTIFS(managers,B39,outcome,"W",'Regular Season Data'!$N:$N,"Y")&amp;"-"&amp;COUNTIFS(managers,B39,outcome,"L",'Regular Season Data'!$N:$N,"Y")&amp;"-"&amp;COUNTIFS(managers,B39,outcome,"T",'Regular Season Data'!$N:$N,"Y")</f>
        <v>38-40-0</v>
      </c>
      <c r="D39" s="126" t="str">
        <f>COUNTIFS(managers,B39,outcome,"W",'Regular Season Data'!$N:$N,"N")&amp;"-"&amp;COUNTIFS(managers,B39,outcome,"L",'Regular Season Data'!$N:$N,"N")&amp;"-"&amp;COUNTIFS(managers,B39,outcome,"T",'Regular Season Data'!$N:$N,"N")</f>
        <v>44-26-0</v>
      </c>
      <c r="E39" s="143"/>
      <c r="F39" s="64" t="s">
        <v>43</v>
      </c>
      <c r="G39" s="64">
        <f>COUNTIFS(managers,'SFFL Main Page'!F39,diff,"&gt;=50")</f>
        <v>6</v>
      </c>
      <c r="H39" s="64">
        <f>COUNTIFS(managers,'SFFL Main Page'!F39,diff,"&lt;=-50")</f>
        <v>13</v>
      </c>
      <c r="I39" s="80">
        <f t="shared" si="20"/>
        <v>-7</v>
      </c>
      <c r="N39" s="66" t="s">
        <v>55</v>
      </c>
      <c r="O39" s="39">
        <f>COUNTIFS(managers,$N$37,opponent,S41,outcome,"W")</f>
        <v>12</v>
      </c>
      <c r="P39" s="39">
        <f>COUNTIFS(managers,$N$37,opponent,S41,outcome,"L")</f>
        <v>7</v>
      </c>
      <c r="Q39" s="40">
        <f t="shared" si="18"/>
        <v>0.63157894736842102</v>
      </c>
      <c r="S39" s="3" t="s">
        <v>28</v>
      </c>
      <c r="X39" s="38" t="s">
        <v>24</v>
      </c>
      <c r="Y39" s="66" t="s">
        <v>262</v>
      </c>
      <c r="Z39" s="39">
        <f>COUNTIFS(managers,Y38,opponent,X40,outcome,"W")</f>
        <v>7</v>
      </c>
      <c r="AA39" s="39">
        <f>COUNTIFS(managers,Y38,opponent,X40,outcome,"L")</f>
        <v>4</v>
      </c>
      <c r="AB39" s="39">
        <f>COUNTIFS(managers,Y38,opponent,X40,outcome,"T")</f>
        <v>0</v>
      </c>
      <c r="AC39" s="40">
        <f t="shared" si="19"/>
        <v>0.63636363636363635</v>
      </c>
      <c r="AD39" s="3" t="s">
        <v>25</v>
      </c>
      <c r="AE39" s="61"/>
      <c r="AF39" s="61"/>
      <c r="AG39" s="61"/>
      <c r="AH39" s="61"/>
      <c r="AI39" s="61"/>
    </row>
    <row r="40" spans="2:35" x14ac:dyDescent="0.3">
      <c r="B40" s="66" t="s">
        <v>29</v>
      </c>
      <c r="C40" s="126" t="str">
        <f>COUNTIFS(managers,B40,outcome,"W",'Regular Season Data'!$N:$N,"Y")&amp;"-"&amp;COUNTIFS(managers,B40,outcome,"L",'Regular Season Data'!$N:$N,"Y")&amp;"-"&amp;COUNTIFS(managers,B40,outcome,"T",'Regular Season Data'!$N:$N,"Y")</f>
        <v>44-41-1</v>
      </c>
      <c r="D40" s="125" t="str">
        <f>COUNTIFS(managers,B40,outcome,"W",'Regular Season Data'!$N:$N,"N")&amp;"-"&amp;COUNTIFS(managers,B40,outcome,"L",'Regular Season Data'!$N:$N,"N")&amp;"-"&amp;COUNTIFS(managers,B40,outcome,"T",'Regular Season Data'!$N:$N,"N")</f>
        <v>41-47-0</v>
      </c>
      <c r="E40" s="143"/>
      <c r="F40" s="64" t="s">
        <v>473</v>
      </c>
      <c r="G40" s="64">
        <f>COUNTIFS(managers,'SFFL Main Page'!F40,diff,"&gt;=50")</f>
        <v>3</v>
      </c>
      <c r="H40" s="64">
        <f>COUNTIFS(managers,'SFFL Main Page'!F40,diff,"&lt;=-50")</f>
        <v>2</v>
      </c>
      <c r="I40" s="80">
        <f t="shared" ref="I40:I46" si="21">G40-H40</f>
        <v>1</v>
      </c>
      <c r="N40" s="77" t="s">
        <v>57</v>
      </c>
      <c r="O40" s="77">
        <f>COUNTIFS(managers,$N$37,opponent,S42,outcome,"W")</f>
        <v>11</v>
      </c>
      <c r="P40" s="77">
        <f>COUNTIFS(managers,$N$37,opponent,S42,outcome,"L")</f>
        <v>6</v>
      </c>
      <c r="Q40" s="41">
        <f t="shared" si="18"/>
        <v>0.6470588235294118</v>
      </c>
      <c r="S40" s="3" t="s">
        <v>25</v>
      </c>
      <c r="X40" s="38" t="s">
        <v>27</v>
      </c>
      <c r="Y40" s="66" t="s">
        <v>263</v>
      </c>
      <c r="Z40" s="39">
        <f>COUNTIFS(managers,Y38,opponent,X41,outcome,"W")</f>
        <v>6</v>
      </c>
      <c r="AA40" s="39">
        <f>COUNTIFS(managers,Y38,opponent,X41,outcome,"L")</f>
        <v>10</v>
      </c>
      <c r="AB40" s="39">
        <f>COUNTIFS(managers,Y38,opponent,X41,outcome,"T")</f>
        <v>0</v>
      </c>
      <c r="AC40" s="40">
        <f t="shared" si="19"/>
        <v>0.375</v>
      </c>
      <c r="AD40" s="3" t="s">
        <v>29</v>
      </c>
      <c r="AE40" s="61"/>
      <c r="AF40" s="61"/>
      <c r="AG40" s="61"/>
      <c r="AH40" s="61"/>
      <c r="AI40" s="61"/>
    </row>
    <row r="41" spans="2:35" x14ac:dyDescent="0.3">
      <c r="B41" s="66" t="s">
        <v>43</v>
      </c>
      <c r="C41" s="125" t="str">
        <f>COUNTIFS(managers,B41,outcome,"W",'Regular Season Data'!$N:$N,"Y")&amp;"-"&amp;COUNTIFS(managers,B41,outcome,"L",'Regular Season Data'!$N:$N,"Y")&amp;"-"&amp;COUNTIFS(managers,B41,outcome,"T",'Regular Season Data'!$N:$N,"Y")</f>
        <v>42-49-1</v>
      </c>
      <c r="D41" s="125" t="str">
        <f>COUNTIFS(managers,B41,outcome,"W",'Regular Season Data'!$N:$N,"N")&amp;"-"&amp;COUNTIFS(managers,B41,outcome,"L",'Regular Season Data'!$N:$N,"N")&amp;"-"&amp;COUNTIFS(managers,B41,outcome,"T",'Regular Season Data'!$N:$N,"N")</f>
        <v>39-43-0</v>
      </c>
      <c r="E41" s="143"/>
      <c r="F41" s="64" t="s">
        <v>472</v>
      </c>
      <c r="G41" s="64">
        <f>COUNTIFS(managers,'SFFL Main Page'!F41,diff,"&gt;=50")</f>
        <v>0</v>
      </c>
      <c r="H41" s="64">
        <f>COUNTIFS(managers,'SFFL Main Page'!F41,diff,"&lt;=-50")</f>
        <v>1</v>
      </c>
      <c r="I41" s="80">
        <f t="shared" si="21"/>
        <v>-1</v>
      </c>
      <c r="N41" s="26" t="s">
        <v>24</v>
      </c>
      <c r="O41" s="26" cm="1">
        <f t="array" ref="O41">SUM(COUNTIFS(managers,'SFFL Main Page'!N41,opponent,{"David","Russell","BR"},outcome,"W"))</f>
        <v>20</v>
      </c>
      <c r="P41" s="26" cm="1">
        <f t="array" ref="P41">SUM(COUNTIFS(managers,'SFFL Main Page'!N41,opponent,{"David","Russell","BR"},outcome,"L"))</f>
        <v>31</v>
      </c>
      <c r="Q41" s="27">
        <f t="shared" si="18"/>
        <v>0.39215686274509803</v>
      </c>
      <c r="S41" s="3" t="s">
        <v>29</v>
      </c>
      <c r="X41" s="38" t="s">
        <v>22</v>
      </c>
      <c r="Y41" s="66" t="s">
        <v>264</v>
      </c>
      <c r="Z41" s="39">
        <f>COUNTIFS(managers,Y38,opponent,X42,outcome,"W")</f>
        <v>10</v>
      </c>
      <c r="AA41" s="39">
        <f>COUNTIFS(managers,Y38,opponent,X42,outcome,"L")</f>
        <v>13</v>
      </c>
      <c r="AB41" s="39">
        <f>COUNTIFS(managers,Y38,opponent,X42,outcome,"T")</f>
        <v>0</v>
      </c>
      <c r="AC41" s="40">
        <f t="shared" si="19"/>
        <v>0.43478260869565216</v>
      </c>
      <c r="AD41" s="3" t="s">
        <v>24</v>
      </c>
      <c r="AE41" s="61"/>
      <c r="AF41" s="61"/>
      <c r="AG41" s="61"/>
      <c r="AH41" s="61"/>
      <c r="AI41" s="61"/>
    </row>
    <row r="42" spans="2:35" x14ac:dyDescent="0.3">
      <c r="B42" s="66" t="s">
        <v>473</v>
      </c>
      <c r="C42" s="125" t="str">
        <f>COUNTIFS(managers,B42,outcome,"W",'Regular Season Data'!$N:$N,"Y")&amp;"-"&amp;COUNTIFS(managers,B42,outcome,"L",'Regular Season Data'!$N:$N,"Y")&amp;"-"&amp;COUNTIFS(managers,B42,outcome,"T",'Regular Season Data'!$N:$N,"Y")</f>
        <v>6-10-0</v>
      </c>
      <c r="D42" s="125" t="str">
        <f>COUNTIFS(managers,B42,outcome,"W",'Regular Season Data'!$N:$N,"N")&amp;"-"&amp;COUNTIFS(managers,B42,outcome,"L",'Regular Season Data'!$N:$N,"N")&amp;"-"&amp;COUNTIFS(managers,B42,outcome,"T",'Regular Season Data'!$N:$N,"N")</f>
        <v>3-9-0</v>
      </c>
      <c r="E42" s="143"/>
      <c r="F42" s="64" t="s">
        <v>22</v>
      </c>
      <c r="G42" s="64">
        <f>COUNTIFS(managers,'SFFL Main Page'!F42,diff,"&gt;=50")</f>
        <v>11</v>
      </c>
      <c r="H42" s="64">
        <f>COUNTIFS(managers,'SFFL Main Page'!F42,diff,"&lt;=-50")</f>
        <v>16</v>
      </c>
      <c r="I42" s="80">
        <f t="shared" si="21"/>
        <v>-5</v>
      </c>
      <c r="N42" s="66" t="s">
        <v>58</v>
      </c>
      <c r="O42" s="39">
        <f>COUNTIFS(managers,$N$41,opponent,S44,outcome,"W")</f>
        <v>9</v>
      </c>
      <c r="P42" s="39">
        <f>COUNTIFS(managers,$N$41,opponent,S44,outcome,"L")</f>
        <v>9</v>
      </c>
      <c r="Q42" s="40">
        <f t="shared" si="18"/>
        <v>0.5</v>
      </c>
      <c r="S42" s="3" t="s">
        <v>24</v>
      </c>
      <c r="X42" s="38" t="s">
        <v>23</v>
      </c>
      <c r="AD42" s="3"/>
      <c r="AE42" s="61"/>
      <c r="AF42" s="61"/>
      <c r="AG42" s="61"/>
      <c r="AH42" s="61"/>
      <c r="AI42" s="61"/>
    </row>
    <row r="43" spans="2:35" x14ac:dyDescent="0.3">
      <c r="B43" s="66" t="s">
        <v>472</v>
      </c>
      <c r="C43" s="126" t="str">
        <f>COUNTIFS(managers,B43,outcome,"W",'Regular Season Data'!$N:$N,"Y")&amp;"-"&amp;COUNTIFS(managers,B43,outcome,"L",'Regular Season Data'!$N:$N,"Y")&amp;"-"&amp;COUNTIFS(managers,B43,outcome,"T",'Regular Season Data'!$N:$N,"Y")</f>
        <v>6-8-0</v>
      </c>
      <c r="D43" s="125" t="str">
        <f>COUNTIFS(managers,B43,outcome,"W",'Regular Season Data'!$N:$N,"N")&amp;"-"&amp;COUNTIFS(managers,B43,outcome,"L",'Regular Season Data'!$N:$N,"N")&amp;"-"&amp;COUNTIFS(managers,B43,outcome,"T",'Regular Season Data'!$N:$N,"N")</f>
        <v>5-9-0</v>
      </c>
      <c r="E43" s="143"/>
      <c r="F43" s="64" t="s">
        <v>30</v>
      </c>
      <c r="G43" s="64">
        <f>COUNTIFS(managers,'SFFL Main Page'!F43,diff,"&gt;=50")</f>
        <v>9</v>
      </c>
      <c r="H43" s="64">
        <f>COUNTIFS(managers,'SFFL Main Page'!F43,diff,"&lt;=-50")</f>
        <v>8</v>
      </c>
      <c r="I43" s="80">
        <f t="shared" si="21"/>
        <v>1</v>
      </c>
      <c r="N43" s="66" t="s">
        <v>55</v>
      </c>
      <c r="O43" s="39">
        <f>COUNTIFS(managers,$N$41,opponent,S45,outcome,"W")</f>
        <v>5</v>
      </c>
      <c r="P43" s="39">
        <f>COUNTIFS(managers,$N$41,opponent,S45,outcome,"L")</f>
        <v>11</v>
      </c>
      <c r="Q43" s="40">
        <f t="shared" si="18"/>
        <v>0.3125</v>
      </c>
      <c r="S43" s="3" t="s">
        <v>24</v>
      </c>
      <c r="Y43" s="61"/>
      <c r="Z43" s="61"/>
      <c r="AA43" s="61"/>
      <c r="AB43" s="61"/>
      <c r="AD43" s="3" t="s">
        <v>25</v>
      </c>
      <c r="AE43" s="61"/>
      <c r="AF43" s="61"/>
      <c r="AG43" s="61"/>
      <c r="AH43" s="61"/>
      <c r="AI43" s="61"/>
    </row>
    <row r="44" spans="2:35" x14ac:dyDescent="0.3">
      <c r="B44" s="66" t="s">
        <v>22</v>
      </c>
      <c r="C44" s="125" t="str">
        <f>COUNTIFS(managers,B44,outcome,"W",'Regular Season Data'!$N:$N,"Y")&amp;"-"&amp;COUNTIFS(managers,B44,outcome,"L",'Regular Season Data'!$N:$N,"Y")&amp;"-"&amp;COUNTIFS(managers,B44,outcome,"T",'Regular Season Data'!$N:$N,"Y")</f>
        <v>41-54-1</v>
      </c>
      <c r="D44" s="125" t="str">
        <f>COUNTIFS(managers,B44,outcome,"W",'Regular Season Data'!$N:$N,"N")&amp;"-"&amp;COUNTIFS(managers,B44,outcome,"L",'Regular Season Data'!$N:$N,"N")&amp;"-"&amp;COUNTIFS(managers,B44,outcome,"T",'Regular Season Data'!$N:$N,"N")</f>
        <v>30-48-0</v>
      </c>
      <c r="E44" s="143"/>
      <c r="F44" s="64" t="s">
        <v>23</v>
      </c>
      <c r="G44" s="64">
        <f>COUNTIFS(managers,'SFFL Main Page'!F44,diff,"&gt;=50")</f>
        <v>9</v>
      </c>
      <c r="H44" s="64">
        <f>COUNTIFS(managers,'SFFL Main Page'!F44,diff,"&lt;=-50")</f>
        <v>11</v>
      </c>
      <c r="I44" s="80">
        <f t="shared" si="21"/>
        <v>-2</v>
      </c>
      <c r="N44" s="66" t="s">
        <v>56</v>
      </c>
      <c r="O44" s="39">
        <f>COUNTIFS(managers,$N$41,opponent,S46,outcome,"W")</f>
        <v>6</v>
      </c>
      <c r="P44" s="39">
        <f>COUNTIFS(managers,$N$41,opponent,S46,outcome,"L")</f>
        <v>11</v>
      </c>
      <c r="Q44" s="40">
        <f t="shared" si="18"/>
        <v>0.35294117647058826</v>
      </c>
      <c r="S44" s="3" t="s">
        <v>25</v>
      </c>
      <c r="Y44" s="61"/>
      <c r="Z44" s="61"/>
      <c r="AA44" s="61"/>
      <c r="AB44" s="61"/>
      <c r="AD44" s="3" t="s">
        <v>29</v>
      </c>
      <c r="AE44" s="61"/>
      <c r="AF44" s="61"/>
      <c r="AG44" s="61"/>
      <c r="AH44" s="61"/>
      <c r="AI44" s="61"/>
    </row>
    <row r="45" spans="2:35" x14ac:dyDescent="0.3">
      <c r="B45" s="66" t="s">
        <v>30</v>
      </c>
      <c r="C45" s="126" t="str">
        <f>COUNTIFS(managers,B45,outcome,"W",'Regular Season Data'!$N:$N,"Y")&amp;"-"&amp;COUNTIFS(managers,B45,outcome,"L",'Regular Season Data'!$N:$N,"Y")&amp;"-"&amp;COUNTIFS(managers,B45,outcome,"T",'Regular Season Data'!$N:$N,"Y")</f>
        <v>46-45-0</v>
      </c>
      <c r="D45" s="125" t="str">
        <f>COUNTIFS(managers,B45,outcome,"W",'Regular Season Data'!$N:$N,"N")&amp;"-"&amp;COUNTIFS(managers,B45,outcome,"L",'Regular Season Data'!$N:$N,"N")&amp;"-"&amp;COUNTIFS(managers,B45,outcome,"T",'Regular Season Data'!$N:$N,"N")</f>
        <v>34-48-1</v>
      </c>
      <c r="E45" s="143"/>
      <c r="F45" s="64" t="s">
        <v>28</v>
      </c>
      <c r="G45" s="64">
        <f>COUNTIFS(managers,'SFFL Main Page'!F45,diff,"&gt;=50")</f>
        <v>13</v>
      </c>
      <c r="H45" s="64">
        <f>COUNTIFS(managers,'SFFL Main Page'!F45,diff,"&lt;=-50")</f>
        <v>5</v>
      </c>
      <c r="I45" s="80">
        <f t="shared" si="21"/>
        <v>8</v>
      </c>
      <c r="S45" s="3" t="s">
        <v>29</v>
      </c>
      <c r="Y45" s="61"/>
      <c r="Z45" s="61"/>
      <c r="AA45" s="61"/>
      <c r="AB45" s="61"/>
      <c r="AD45" s="3" t="s">
        <v>28</v>
      </c>
      <c r="AE45" s="61"/>
      <c r="AF45" s="61"/>
      <c r="AG45" s="61"/>
      <c r="AH45" s="61"/>
      <c r="AI45" s="61"/>
    </row>
    <row r="46" spans="2:35" x14ac:dyDescent="0.3">
      <c r="B46" s="66" t="s">
        <v>23</v>
      </c>
      <c r="C46" s="126" t="str">
        <f>COUNTIFS(managers,B46,outcome,"W",'Regular Season Data'!$N:$N,"Y")&amp;"-"&amp;COUNTIFS(managers,B46,outcome,"L",'Regular Season Data'!$N:$N,"Y")&amp;"-"&amp;COUNTIFS(managers,B46,outcome,"T",'Regular Season Data'!$N:$N,"Y")</f>
        <v>44-41-1</v>
      </c>
      <c r="D46" s="126" t="str">
        <f>COUNTIFS(managers,B46,outcome,"W",'Regular Season Data'!$N:$N,"N")&amp;"-"&amp;COUNTIFS(managers,B46,outcome,"L",'Regular Season Data'!$N:$N,"N")&amp;"-"&amp;COUNTIFS(managers,B46,outcome,"T",'Regular Season Data'!$N:$N,"N")</f>
        <v>50-38-0</v>
      </c>
      <c r="E46" s="143"/>
      <c r="F46" s="64" t="s">
        <v>24</v>
      </c>
      <c r="G46" s="64">
        <f>COUNTIFS(managers,'SFFL Main Page'!F46,diff,"&gt;=50")</f>
        <v>11</v>
      </c>
      <c r="H46" s="64">
        <f>COUNTIFS(managers,'SFFL Main Page'!F46,diff,"&lt;=-50")</f>
        <v>10</v>
      </c>
      <c r="I46" s="80">
        <f t="shared" si="21"/>
        <v>1</v>
      </c>
      <c r="S46" s="3" t="s">
        <v>28</v>
      </c>
      <c r="AD46" s="3"/>
      <c r="AE46" s="61"/>
      <c r="AF46" s="61"/>
      <c r="AG46" s="61"/>
      <c r="AH46" s="61"/>
      <c r="AI46" s="61"/>
    </row>
    <row r="47" spans="2:35" ht="15" customHeight="1" x14ac:dyDescent="0.3">
      <c r="B47" s="66" t="s">
        <v>28</v>
      </c>
      <c r="C47" s="126" t="str">
        <f>COUNTIFS(managers,B47,outcome,"W",'Regular Season Data'!$N:$N,"Y")&amp;"-"&amp;COUNTIFS(managers,B47,outcome,"L",'Regular Season Data'!$N:$N,"Y")&amp;"-"&amp;COUNTIFS(managers,B47,outcome,"T",'Regular Season Data'!$N:$N,"Y")</f>
        <v>53-39-1</v>
      </c>
      <c r="D47" s="125" t="str">
        <f>COUNTIFS(managers,B47,outcome,"W",'Regular Season Data'!$N:$N,"N")&amp;"-"&amp;COUNTIFS(managers,B47,outcome,"L",'Regular Season Data'!$N:$N,"N")&amp;"-"&amp;COUNTIFS(managers,B47,outcome,"T",'Regular Season Data'!$N:$N,"N")</f>
        <v>37-43-1</v>
      </c>
      <c r="E47" s="143"/>
      <c r="F47" s="143"/>
      <c r="G47" s="143"/>
      <c r="Y47" s="61"/>
      <c r="Z47" s="61"/>
      <c r="AA47" s="61"/>
      <c r="AB47" s="61"/>
    </row>
    <row r="48" spans="2:35" x14ac:dyDescent="0.3">
      <c r="B48" s="66" t="s">
        <v>24</v>
      </c>
      <c r="C48" s="125" t="str">
        <f>COUNTIFS(managers,B48,outcome,"W",'Regular Season Data'!$N:$N,"Y")&amp;"-"&amp;COUNTIFS(managers,B48,outcome,"L",'Regular Season Data'!$N:$N,"Y")&amp;"-"&amp;COUNTIFS(managers,B48,outcome,"T",'Regular Season Data'!$N:$N,"Y")</f>
        <v>40-46-0</v>
      </c>
      <c r="D48" s="126" t="str">
        <f>COUNTIFS(managers,B48,outcome,"W",'Regular Season Data'!$N:$N,"N")&amp;"-"&amp;COUNTIFS(managers,B48,outcome,"L",'Regular Season Data'!$N:$N,"N")&amp;"-"&amp;COUNTIFS(managers,B48,outcome,"T",'Regular Season Data'!$N:$N,"N")</f>
        <v>43-45-0</v>
      </c>
      <c r="E48" s="143"/>
      <c r="F48" s="143"/>
      <c r="G48" s="143"/>
      <c r="Y48" s="61"/>
      <c r="Z48" s="61"/>
      <c r="AA48" s="61"/>
      <c r="AB48" s="61"/>
      <c r="AC48" s="61"/>
    </row>
    <row r="49" spans="1:30" s="61" customFormat="1" x14ac:dyDescent="0.3">
      <c r="A49" s="25"/>
      <c r="K49" s="2"/>
      <c r="AD49" s="2"/>
    </row>
    <row r="50" spans="1:30" s="61" customFormat="1" x14ac:dyDescent="0.3">
      <c r="A50" s="25"/>
      <c r="B50" s="12" t="s">
        <v>445</v>
      </c>
      <c r="C50" s="12"/>
      <c r="D50" s="12"/>
      <c r="E50" s="12"/>
      <c r="F50" s="12"/>
      <c r="I50" s="12" t="s">
        <v>451</v>
      </c>
      <c r="J50" s="2"/>
      <c r="K50" s="2"/>
      <c r="L50" s="2"/>
      <c r="M50" s="2"/>
      <c r="AD50" s="2"/>
    </row>
    <row r="51" spans="1:30" s="61" customFormat="1" ht="15" customHeight="1" thickBot="1" x14ac:dyDescent="0.35">
      <c r="A51" s="25"/>
      <c r="B51" s="51" t="s">
        <v>11</v>
      </c>
      <c r="C51" s="51" t="s">
        <v>5</v>
      </c>
      <c r="D51" s="51" t="s">
        <v>15</v>
      </c>
      <c r="E51" s="51" t="s">
        <v>39</v>
      </c>
      <c r="F51" s="51" t="s">
        <v>453</v>
      </c>
      <c r="G51" s="51" t="s">
        <v>446</v>
      </c>
      <c r="I51" s="52" t="s">
        <v>5</v>
      </c>
      <c r="J51" s="53" t="s">
        <v>450</v>
      </c>
      <c r="K51" s="53" t="s">
        <v>11</v>
      </c>
      <c r="L51" s="53" t="s">
        <v>452</v>
      </c>
      <c r="M51" s="53" t="s">
        <v>453</v>
      </c>
      <c r="AD51" s="2"/>
    </row>
    <row r="52" spans="1:30" s="61" customFormat="1" ht="15" thickTop="1" x14ac:dyDescent="0.3">
      <c r="A52" s="25"/>
      <c r="B52" s="81">
        <v>1</v>
      </c>
      <c r="C52" s="81" t="e">
        <f>VLOOKUP(B52,'Final Tables'!A:S,4,FALSE)</f>
        <v>#N/A</v>
      </c>
      <c r="D52" s="81" t="e">
        <f>VLOOKUP(B52,'Final Tables'!A:S,19,FALSE)</f>
        <v>#N/A</v>
      </c>
      <c r="E52" s="81" t="e">
        <f>VLOOKUP(B52,'Final Tables'!A:S,14,FALSE)</f>
        <v>#N/A</v>
      </c>
      <c r="F52" s="127" t="e">
        <f>VLOOKUP(B52,'Final Tables'!A:S,16,FALSE)</f>
        <v>#N/A</v>
      </c>
      <c r="G52" s="82" t="e">
        <f>IF(VLOOKUP(B52,'Final Tables'!A:S,10,FALSE)=1,"Yes","No")</f>
        <v>#N/A</v>
      </c>
      <c r="I52" s="86" t="s">
        <v>27</v>
      </c>
      <c r="J52" s="87">
        <f>SUMIFS('Playoff Data'!F:F,'Playoff Data'!B:B,'SFFL Main Page'!I52)</f>
        <v>589.5</v>
      </c>
      <c r="K52" s="87">
        <f t="shared" ref="K52:K64" si="22">RANK(J52,$J$52:$J$64)</f>
        <v>11</v>
      </c>
      <c r="L52" s="86">
        <f t="shared" ref="L52:L59" si="23">SUM(O5:P5)</f>
        <v>7</v>
      </c>
      <c r="M52" s="88">
        <f>J52/L52</f>
        <v>84.214285714285708</v>
      </c>
      <c r="AD52" s="2"/>
    </row>
    <row r="53" spans="1:30" s="61" customFormat="1" x14ac:dyDescent="0.3">
      <c r="A53" s="25"/>
      <c r="B53" s="62">
        <v>2</v>
      </c>
      <c r="C53" s="83" t="e">
        <f>VLOOKUP(B53,'Final Tables'!A:S,4,FALSE)</f>
        <v>#N/A</v>
      </c>
      <c r="D53" s="83" t="e">
        <f>VLOOKUP(B53,'Final Tables'!A:S,19,FALSE)</f>
        <v>#N/A</v>
      </c>
      <c r="E53" s="83" t="e">
        <f>VLOOKUP(B53,'Final Tables'!A:S,14,FALSE)</f>
        <v>#N/A</v>
      </c>
      <c r="F53" s="128" t="e">
        <f>VLOOKUP(B53,'Final Tables'!A:S,16,FALSE)</f>
        <v>#N/A</v>
      </c>
      <c r="G53" s="62" t="e">
        <f>IF(VLOOKUP(B53,'Final Tables'!A:S,10,FALSE)=1,"Yes","No")</f>
        <v>#N/A</v>
      </c>
      <c r="I53" s="89" t="s">
        <v>227</v>
      </c>
      <c r="J53" s="90">
        <f>SUMIFS('Playoff Data'!F:F,'Playoff Data'!B:B,'SFFL Main Page'!I53)</f>
        <v>95</v>
      </c>
      <c r="K53" s="90">
        <f t="shared" si="22"/>
        <v>13</v>
      </c>
      <c r="L53" s="89">
        <f t="shared" si="23"/>
        <v>1</v>
      </c>
      <c r="M53" s="91"/>
      <c r="AD53" s="2"/>
    </row>
    <row r="54" spans="1:30" s="61" customFormat="1" x14ac:dyDescent="0.3">
      <c r="A54" s="25"/>
      <c r="B54" s="62">
        <v>3</v>
      </c>
      <c r="C54" s="83" t="str">
        <f>VLOOKUP(B54,'Final Tables'!A:S,4,FALSE)</f>
        <v>Mark</v>
      </c>
      <c r="D54" s="83">
        <f>VLOOKUP(B54,'Final Tables'!A:S,19,FALSE)</f>
        <v>2024</v>
      </c>
      <c r="E54" s="83">
        <f>VLOOKUP(B54,'Final Tables'!A:S,14,FALSE)</f>
        <v>1645</v>
      </c>
      <c r="F54" s="128">
        <f>VLOOKUP(B54,'Final Tables'!A:S,16,FALSE)</f>
        <v>117.5</v>
      </c>
      <c r="G54" s="62" t="str">
        <f>IF(VLOOKUP(B54,'Final Tables'!A:S,10,FALSE)=1,"Yes","No")</f>
        <v>No</v>
      </c>
      <c r="I54" s="89" t="s">
        <v>25</v>
      </c>
      <c r="J54" s="90">
        <f>SUMIFS('Playoff Data'!F:F,'Playoff Data'!B:B,'SFFL Main Page'!I54)</f>
        <v>1250</v>
      </c>
      <c r="K54" s="90">
        <f t="shared" si="22"/>
        <v>3</v>
      </c>
      <c r="L54" s="89">
        <f t="shared" si="23"/>
        <v>13</v>
      </c>
      <c r="M54" s="91">
        <f t="shared" ref="M54:M64" si="24">J54/L54</f>
        <v>96.15384615384616</v>
      </c>
      <c r="AD54" s="2"/>
    </row>
    <row r="55" spans="1:30" s="61" customFormat="1" x14ac:dyDescent="0.3">
      <c r="A55" s="25"/>
      <c r="B55" s="62">
        <v>4</v>
      </c>
      <c r="C55" s="83" t="str">
        <f>VLOOKUP(B55,'Final Tables'!A:S,4,FALSE)</f>
        <v>Charles</v>
      </c>
      <c r="D55" s="83">
        <f>VLOOKUP(B55,'Final Tables'!A:S,19,FALSE)</f>
        <v>2024</v>
      </c>
      <c r="E55" s="83">
        <f>VLOOKUP(B55,'Final Tables'!A:S,14,FALSE)</f>
        <v>1634</v>
      </c>
      <c r="F55" s="128">
        <f>VLOOKUP(B55,'Final Tables'!A:S,16,FALSE)</f>
        <v>116.71428571428571</v>
      </c>
      <c r="G55" s="62" t="str">
        <f>IF(VLOOKUP(B55,'Final Tables'!A:S,10,FALSE)=1,"Yes","No")</f>
        <v>Yes</v>
      </c>
      <c r="I55" s="89" t="s">
        <v>47</v>
      </c>
      <c r="J55" s="90">
        <f>SUMIFS('Playoff Data'!F:F,'Playoff Data'!B:B,'SFFL Main Page'!I55)</f>
        <v>1099</v>
      </c>
      <c r="K55" s="90">
        <f t="shared" si="22"/>
        <v>5</v>
      </c>
      <c r="L55" s="89">
        <f t="shared" si="23"/>
        <v>12</v>
      </c>
      <c r="M55" s="91">
        <f t="shared" si="24"/>
        <v>91.583333333333329</v>
      </c>
      <c r="AD55" s="2"/>
    </row>
    <row r="56" spans="1:30" s="61" customFormat="1" x14ac:dyDescent="0.3">
      <c r="A56" s="25"/>
      <c r="B56" s="62">
        <v>5</v>
      </c>
      <c r="C56" s="83" t="str">
        <f>VLOOKUP(B56,'Final Tables'!A:S,4,FALSE)</f>
        <v>Arnold</v>
      </c>
      <c r="D56" s="83">
        <f>VLOOKUP(B56,'Final Tables'!A:S,19,FALSE)</f>
        <v>2024</v>
      </c>
      <c r="E56" s="83">
        <f>VLOOKUP(B56,'Final Tables'!A:S,14,FALSE)</f>
        <v>1610</v>
      </c>
      <c r="F56" s="128">
        <f>VLOOKUP(B56,'Final Tables'!A:S,16,FALSE)</f>
        <v>115</v>
      </c>
      <c r="G56" s="62" t="str">
        <f>IF(VLOOKUP(B56,'Final Tables'!A:S,10,FALSE)=1,"Yes","No")</f>
        <v>No</v>
      </c>
      <c r="I56" s="89" t="s">
        <v>26</v>
      </c>
      <c r="J56" s="90">
        <f>SUMIFS('Playoff Data'!F:F,'Playoff Data'!B:B,'SFFL Main Page'!I56)</f>
        <v>721</v>
      </c>
      <c r="K56" s="90">
        <f t="shared" si="22"/>
        <v>10</v>
      </c>
      <c r="L56" s="89">
        <f t="shared" si="23"/>
        <v>9</v>
      </c>
      <c r="M56" s="91">
        <f t="shared" si="24"/>
        <v>80.111111111111114</v>
      </c>
      <c r="AD56" s="2"/>
    </row>
    <row r="57" spans="1:30" s="61" customFormat="1" x14ac:dyDescent="0.3">
      <c r="A57" s="25"/>
      <c r="B57" s="62">
        <v>6</v>
      </c>
      <c r="C57" s="83" t="str">
        <f>VLOOKUP(B57,'Final Tables'!A:S,4,FALSE)</f>
        <v>David</v>
      </c>
      <c r="D57" s="83">
        <f>VLOOKUP(B57,'Final Tables'!A:S,19,FALSE)</f>
        <v>2024</v>
      </c>
      <c r="E57" s="83">
        <f>VLOOKUP(B57,'Final Tables'!A:S,14,FALSE)</f>
        <v>1600</v>
      </c>
      <c r="F57" s="128">
        <f>VLOOKUP(B57,'Final Tables'!A:S,16,FALSE)</f>
        <v>114.28571428571429</v>
      </c>
      <c r="G57" s="62" t="str">
        <f>IF(VLOOKUP(B57,'Final Tables'!A:S,10,FALSE)=1,"Yes","No")</f>
        <v>No</v>
      </c>
      <c r="I57" s="89" t="s">
        <v>48</v>
      </c>
      <c r="J57" s="90">
        <f>SUMIFS('Playoff Data'!F:F,'Playoff Data'!B:B,'SFFL Main Page'!I57)</f>
        <v>1696</v>
      </c>
      <c r="K57" s="90">
        <f t="shared" si="22"/>
        <v>2</v>
      </c>
      <c r="L57" s="89">
        <f t="shared" si="23"/>
        <v>15</v>
      </c>
      <c r="M57" s="91">
        <f t="shared" si="24"/>
        <v>113.06666666666666</v>
      </c>
      <c r="AD57" s="2"/>
    </row>
    <row r="58" spans="1:30" s="61" customFormat="1" x14ac:dyDescent="0.3">
      <c r="A58" s="25"/>
      <c r="B58" s="62">
        <v>7</v>
      </c>
      <c r="C58" s="83" t="e">
        <f>VLOOKUP(B58,'Final Tables'!A:S,4,FALSE)</f>
        <v>#N/A</v>
      </c>
      <c r="D58" s="83" t="e">
        <f>VLOOKUP(B58,'Final Tables'!A:S,19,FALSE)</f>
        <v>#N/A</v>
      </c>
      <c r="E58" s="83" t="e">
        <f>VLOOKUP(B58,'Final Tables'!A:S,14,FALSE)</f>
        <v>#N/A</v>
      </c>
      <c r="F58" s="128" t="e">
        <f>VLOOKUP(B58,'Final Tables'!A:S,16,FALSE)</f>
        <v>#N/A</v>
      </c>
      <c r="G58" s="62" t="e">
        <f>IF(VLOOKUP(B58,'Final Tables'!A:S,10,FALSE)=1,"Yes","No")</f>
        <v>#N/A</v>
      </c>
      <c r="I58" s="89" t="s">
        <v>29</v>
      </c>
      <c r="J58" s="90">
        <f>SUMIFS('Playoff Data'!F:F,'Playoff Data'!B:B,'SFFL Main Page'!I58)</f>
        <v>1130</v>
      </c>
      <c r="K58" s="90">
        <f t="shared" si="22"/>
        <v>4</v>
      </c>
      <c r="L58" s="89">
        <f t="shared" si="23"/>
        <v>13</v>
      </c>
      <c r="M58" s="91">
        <f t="shared" si="24"/>
        <v>86.92307692307692</v>
      </c>
      <c r="AD58" s="2"/>
    </row>
    <row r="59" spans="1:30" s="61" customFormat="1" x14ac:dyDescent="0.3">
      <c r="A59" s="25"/>
      <c r="B59" s="83">
        <v>8</v>
      </c>
      <c r="C59" s="83" t="e">
        <f>VLOOKUP(B59,'Final Tables'!A:S,4,FALSE)</f>
        <v>#N/A</v>
      </c>
      <c r="D59" s="83" t="e">
        <f>VLOOKUP(B59,'Final Tables'!A:S,19,FALSE)</f>
        <v>#N/A</v>
      </c>
      <c r="E59" s="83" t="e">
        <f>VLOOKUP(B59,'Final Tables'!A:S,14,FALSE)</f>
        <v>#N/A</v>
      </c>
      <c r="F59" s="128" t="e">
        <f>VLOOKUP(B59,'Final Tables'!A:S,16,FALSE)</f>
        <v>#N/A</v>
      </c>
      <c r="G59" s="62" t="e">
        <f>IF(VLOOKUP(B59,'Final Tables'!A:S,10,FALSE)=1,"Yes","No")</f>
        <v>#N/A</v>
      </c>
      <c r="I59" s="89" t="s">
        <v>43</v>
      </c>
      <c r="J59" s="90">
        <f>SUMIFS('Playoff Data'!F:F,'Playoff Data'!B:B,'SFFL Main Page'!I59)</f>
        <v>900</v>
      </c>
      <c r="K59" s="90">
        <f t="shared" si="22"/>
        <v>8</v>
      </c>
      <c r="L59" s="89">
        <f t="shared" si="23"/>
        <v>9</v>
      </c>
      <c r="M59" s="91">
        <f t="shared" si="24"/>
        <v>100</v>
      </c>
      <c r="AD59" s="2"/>
    </row>
    <row r="60" spans="1:30" s="61" customFormat="1" x14ac:dyDescent="0.3">
      <c r="A60" s="25"/>
      <c r="B60" s="83">
        <v>9</v>
      </c>
      <c r="C60" s="83" t="e">
        <f>VLOOKUP(B60,'Final Tables'!A:S,4,FALSE)</f>
        <v>#N/A</v>
      </c>
      <c r="D60" s="83" t="e">
        <f>VLOOKUP(B60,'Final Tables'!A:S,19,FALSE)</f>
        <v>#N/A</v>
      </c>
      <c r="E60" s="83" t="e">
        <f>VLOOKUP(B60,'Final Tables'!A:S,14,FALSE)</f>
        <v>#N/A</v>
      </c>
      <c r="F60" s="128" t="e">
        <f>VLOOKUP(B60,'Final Tables'!A:S,16,FALSE)</f>
        <v>#N/A</v>
      </c>
      <c r="G60" s="62" t="e">
        <f>IF(VLOOKUP(B60,'Final Tables'!A:S,10,FALSE)=1,"Yes","No")</f>
        <v>#N/A</v>
      </c>
      <c r="I60" s="89" t="s">
        <v>22</v>
      </c>
      <c r="J60" s="90">
        <f>SUMIFS('Playoff Data'!F:F,'Playoff Data'!B:B,'SFFL Main Page'!I60)</f>
        <v>553</v>
      </c>
      <c r="K60" s="90">
        <f t="shared" si="22"/>
        <v>12</v>
      </c>
      <c r="L60" s="89">
        <f>SUM(O15:P15)</f>
        <v>6</v>
      </c>
      <c r="M60" s="91">
        <f t="shared" si="24"/>
        <v>92.166666666666671</v>
      </c>
      <c r="AD60" s="2"/>
    </row>
    <row r="61" spans="1:30" s="61" customFormat="1" x14ac:dyDescent="0.3">
      <c r="A61" s="25" t="s">
        <v>25</v>
      </c>
      <c r="B61" s="62">
        <v>10</v>
      </c>
      <c r="C61" s="83" t="str">
        <f>VLOOKUP(B61,'Final Tables'!A:S,4,FALSE)</f>
        <v>Emily</v>
      </c>
      <c r="D61" s="83">
        <f>VLOOKUP(B61,'Final Tables'!A:S,19,FALSE)</f>
        <v>2024</v>
      </c>
      <c r="E61" s="83">
        <f>VLOOKUP(B61,'Final Tables'!A:S,14,FALSE)</f>
        <v>1562</v>
      </c>
      <c r="F61" s="128">
        <f>VLOOKUP(B61,'Final Tables'!A:S,16,FALSE)</f>
        <v>111.57142857142857</v>
      </c>
      <c r="G61" s="62" t="str">
        <f>IF(VLOOKUP(B61,'Final Tables'!A:S,10,FALSE)=1,"Yes","No")</f>
        <v>No</v>
      </c>
      <c r="I61" s="89" t="s">
        <v>30</v>
      </c>
      <c r="J61" s="90">
        <f>SUMIFS('Playoff Data'!F:F,'Playoff Data'!B:B,'SFFL Main Page'!I61)</f>
        <v>889</v>
      </c>
      <c r="K61" s="90">
        <f t="shared" si="22"/>
        <v>9</v>
      </c>
      <c r="L61" s="89">
        <f>SUM(O16:P16)</f>
        <v>10</v>
      </c>
      <c r="M61" s="91">
        <f t="shared" si="24"/>
        <v>88.9</v>
      </c>
      <c r="AD61" s="2"/>
    </row>
    <row r="62" spans="1:30" s="61" customFormat="1" x14ac:dyDescent="0.3">
      <c r="A62" s="25" t="s">
        <v>29</v>
      </c>
      <c r="I62" s="89" t="s">
        <v>23</v>
      </c>
      <c r="J62" s="90">
        <f>SUMIFS('Playoff Data'!F:F,'Playoff Data'!B:B,'SFFL Main Page'!I62)</f>
        <v>935</v>
      </c>
      <c r="K62" s="90">
        <f t="shared" si="22"/>
        <v>7</v>
      </c>
      <c r="L62" s="89">
        <f>SUM(O17:P17)</f>
        <v>11</v>
      </c>
      <c r="M62" s="91">
        <f t="shared" si="24"/>
        <v>85</v>
      </c>
      <c r="AD62" s="2"/>
    </row>
    <row r="63" spans="1:30" s="61" customFormat="1" x14ac:dyDescent="0.3">
      <c r="A63" s="25" t="s">
        <v>28</v>
      </c>
      <c r="I63" s="89" t="s">
        <v>28</v>
      </c>
      <c r="J63" s="90">
        <f>SUMIFS('Playoff Data'!F:F,'Playoff Data'!B:B,'SFFL Main Page'!I63)</f>
        <v>1724</v>
      </c>
      <c r="K63" s="90">
        <f t="shared" si="22"/>
        <v>1</v>
      </c>
      <c r="L63" s="89">
        <f>SUM(O18:P18)</f>
        <v>18</v>
      </c>
      <c r="M63" s="91">
        <f t="shared" si="24"/>
        <v>95.777777777777771</v>
      </c>
    </row>
    <row r="64" spans="1:30" s="61" customFormat="1" x14ac:dyDescent="0.3">
      <c r="A64" s="25"/>
      <c r="I64" s="92" t="s">
        <v>24</v>
      </c>
      <c r="J64" s="93">
        <f>SUMIFS('Playoff Data'!F:F,'Playoff Data'!B:B,'SFFL Main Page'!I64)</f>
        <v>1071.5</v>
      </c>
      <c r="K64" s="93">
        <f t="shared" si="22"/>
        <v>6</v>
      </c>
      <c r="L64" s="92">
        <f>SUM(O19:P19)</f>
        <v>11</v>
      </c>
      <c r="M64" s="94">
        <f t="shared" si="24"/>
        <v>97.409090909090907</v>
      </c>
    </row>
    <row r="65" spans="9:29" s="61" customFormat="1" x14ac:dyDescent="0.3"/>
    <row r="66" spans="9:29" s="61" customFormat="1" x14ac:dyDescent="0.3">
      <c r="Y66" s="2"/>
      <c r="Z66" s="2"/>
      <c r="AA66" s="2"/>
      <c r="AB66" s="2"/>
    </row>
    <row r="67" spans="9:29" s="61" customFormat="1" x14ac:dyDescent="0.3">
      <c r="Y67" s="2"/>
      <c r="Z67" s="2"/>
      <c r="AA67" s="2"/>
      <c r="AB67" s="2"/>
    </row>
    <row r="68" spans="9:29" s="61" customFormat="1" x14ac:dyDescent="0.3">
      <c r="Y68" s="2"/>
      <c r="Z68" s="2"/>
      <c r="AA68" s="2"/>
      <c r="AB68" s="2"/>
    </row>
    <row r="69" spans="9:29" s="61" customFormat="1" x14ac:dyDescent="0.3">
      <c r="Y69" s="2"/>
      <c r="Z69" s="2"/>
      <c r="AA69" s="2"/>
      <c r="AB69" s="2"/>
    </row>
    <row r="70" spans="9:29" s="61" customFormat="1" x14ac:dyDescent="0.3">
      <c r="T70" s="2"/>
      <c r="U70" s="2"/>
      <c r="V70" s="2"/>
      <c r="W70" s="2"/>
      <c r="Y70" s="2"/>
      <c r="Z70" s="2"/>
      <c r="AA70" s="2"/>
      <c r="AB70" s="2"/>
      <c r="AC70" s="2"/>
    </row>
    <row r="71" spans="9:29" x14ac:dyDescent="0.3">
      <c r="I71" s="61"/>
      <c r="J71" s="61"/>
      <c r="K71" s="61"/>
    </row>
    <row r="72" spans="9:29" x14ac:dyDescent="0.3">
      <c r="I72" s="61"/>
      <c r="J72" s="61"/>
      <c r="K72" s="61"/>
    </row>
    <row r="73" spans="9:29" x14ac:dyDescent="0.3">
      <c r="I73" s="61"/>
      <c r="J73" s="61"/>
      <c r="K73" s="61"/>
    </row>
    <row r="74" spans="9:29" x14ac:dyDescent="0.3">
      <c r="I74" s="61"/>
      <c r="J74" s="61"/>
      <c r="K74" s="61"/>
    </row>
    <row r="75" spans="9:29" x14ac:dyDescent="0.3">
      <c r="I75" s="61"/>
      <c r="J75" s="61"/>
      <c r="K75" s="61"/>
    </row>
    <row r="76" spans="9:29" x14ac:dyDescent="0.3">
      <c r="I76" s="61"/>
      <c r="J76" s="61"/>
      <c r="K76" s="61"/>
    </row>
  </sheetData>
  <mergeCells count="5">
    <mergeCell ref="B1:AC1"/>
    <mergeCell ref="B22:D22"/>
    <mergeCell ref="B24:D24"/>
    <mergeCell ref="B27:D27"/>
    <mergeCell ref="B30:D30"/>
  </mergeCells>
  <conditionalFormatting sqref="F5:F19">
    <cfRule type="cellIs" dxfId="37" priority="16" operator="equal">
      <formula>0.5</formula>
    </cfRule>
    <cfRule type="cellIs" dxfId="36" priority="17" operator="between">
      <formula>0.49999999</formula>
      <formula>0</formula>
    </cfRule>
    <cfRule type="cellIs" dxfId="35" priority="18" operator="between">
      <formula>0.500001</formula>
      <formula>1.1</formula>
    </cfRule>
  </conditionalFormatting>
  <conditionalFormatting sqref="G5:G19">
    <cfRule type="cellIs" dxfId="34" priority="19" operator="lessThan">
      <formula>0</formula>
    </cfRule>
    <cfRule type="cellIs" dxfId="33" priority="20" operator="greaterThan">
      <formula>0</formula>
    </cfRule>
  </conditionalFormatting>
  <conditionalFormatting sqref="G20">
    <cfRule type="cellIs" dxfId="32" priority="53" operator="lessThan">
      <formula>0</formula>
    </cfRule>
    <cfRule type="cellIs" dxfId="31" priority="54" operator="greaterThan">
      <formula>0</formula>
    </cfRule>
  </conditionalFormatting>
  <conditionalFormatting sqref="Q5:Q19">
    <cfRule type="cellIs" dxfId="30" priority="13" operator="equal">
      <formula>0.5</formula>
    </cfRule>
    <cfRule type="cellIs" dxfId="29" priority="14" operator="between">
      <formula>0.49999999</formula>
      <formula>0</formula>
    </cfRule>
    <cfRule type="cellIs" dxfId="28" priority="15" operator="between">
      <formula>0.500001</formula>
      <formula>1.1</formula>
    </cfRule>
  </conditionalFormatting>
  <conditionalFormatting sqref="Q24:Q27">
    <cfRule type="cellIs" dxfId="27" priority="44" operator="equal">
      <formula>0.5</formula>
    </cfRule>
    <cfRule type="cellIs" dxfId="26" priority="45" operator="between">
      <formula>0.49999999</formula>
      <formula>0</formula>
    </cfRule>
    <cfRule type="cellIs" dxfId="25" priority="46" operator="between">
      <formula>0.500001</formula>
      <formula>1.1</formula>
    </cfRule>
  </conditionalFormatting>
  <conditionalFormatting sqref="Q29:Q44">
    <cfRule type="cellIs" dxfId="24" priority="26" operator="equal">
      <formula>0.5</formula>
    </cfRule>
    <cfRule type="cellIs" dxfId="23" priority="27" operator="between">
      <formula>0.49999999</formula>
      <formula>0</formula>
    </cfRule>
    <cfRule type="cellIs" dxfId="22" priority="28" operator="between">
      <formula>0.500001</formula>
      <formula>1.1</formula>
    </cfRule>
  </conditionalFormatting>
  <conditionalFormatting sqref="AC25:AC28">
    <cfRule type="cellIs" dxfId="21" priority="32" operator="equal">
      <formula>0.5</formula>
    </cfRule>
    <cfRule type="cellIs" dxfId="20" priority="33" operator="between">
      <formula>0.49999999</formula>
      <formula>0</formula>
    </cfRule>
    <cfRule type="cellIs" dxfId="19" priority="34" operator="between">
      <formula>0.500001</formula>
      <formula>1.1</formula>
    </cfRule>
  </conditionalFormatting>
  <conditionalFormatting sqref="AC30:AC41">
    <cfRule type="cellIs" dxfId="18" priority="50" operator="equal">
      <formula>0.5</formula>
    </cfRule>
    <cfRule type="cellIs" dxfId="17" priority="51" operator="between">
      <formula>0.49999999</formula>
      <formula>0</formula>
    </cfRule>
    <cfRule type="cellIs" dxfId="16" priority="52" operator="between">
      <formula>0.500001</formula>
      <formula>1.1</formula>
    </cfRule>
  </conditionalFormatting>
  <conditionalFormatting sqref="AH25:AH28">
    <cfRule type="cellIs" dxfId="15" priority="7" operator="equal">
      <formula>0.5</formula>
    </cfRule>
    <cfRule type="cellIs" dxfId="14" priority="8" operator="between">
      <formula>0.49999999</formula>
      <formula>0</formula>
    </cfRule>
    <cfRule type="cellIs" dxfId="13" priority="9" operator="between">
      <formula>0.500001</formula>
      <formula>1.1</formula>
    </cfRule>
  </conditionalFormatting>
  <dataValidations count="1">
    <dataValidation type="list" allowBlank="1" showInputMessage="1" showErrorMessage="1" sqref="AF22" xr:uid="{9B6E482A-530E-4EE7-98B5-B39F752B6602}">
      <formula1>years</formula1>
    </dataValidation>
  </dataValidations>
  <pageMargins left="0.7" right="0.7" top="0.75" bottom="0.75" header="0.3" footer="0.5"/>
  <pageSetup orientation="portrait" horizontalDpi="1200" verticalDpi="1200" r:id="rId1"/>
  <ignoredErrors>
    <ignoredError sqref="Z35:AB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5CFA-D059-4EE2-A987-F377B8C22301}">
  <dimension ref="A1:AL215"/>
  <sheetViews>
    <sheetView zoomScaleNormal="100" workbookViewId="0">
      <selection activeCell="C2" sqref="C2"/>
    </sheetView>
  </sheetViews>
  <sheetFormatPr defaultColWidth="9.109375" defaultRowHeight="14.4" x14ac:dyDescent="0.3"/>
  <cols>
    <col min="1" max="1" width="3.44140625" style="2" customWidth="1"/>
    <col min="2" max="2" width="13.88671875" style="2" customWidth="1"/>
    <col min="3" max="3" width="10.33203125" style="2" customWidth="1"/>
    <col min="4" max="6" width="8.44140625" style="2" customWidth="1"/>
    <col min="7" max="8" width="9.6640625" style="2" customWidth="1"/>
    <col min="9" max="16" width="8.44140625" style="2" customWidth="1"/>
    <col min="17" max="18" width="9.109375" style="2"/>
    <col min="19" max="19" width="8.88671875" style="157" bestFit="1" customWidth="1"/>
    <col min="20" max="20" width="9.6640625" style="2" bestFit="1" customWidth="1"/>
    <col min="21" max="21" width="12.33203125" style="2" bestFit="1" customWidth="1"/>
    <col min="22" max="22" width="6.6640625" style="146" bestFit="1" customWidth="1"/>
    <col min="23" max="23" width="7.33203125" style="147" bestFit="1" customWidth="1"/>
    <col min="24" max="24" width="5.5546875" style="146" bestFit="1" customWidth="1"/>
    <col min="25" max="25" width="6.6640625" style="146" bestFit="1" customWidth="1"/>
    <col min="26" max="26" width="7.33203125" style="147" bestFit="1" customWidth="1"/>
    <col min="27" max="27" width="6.6640625" style="146" bestFit="1" customWidth="1"/>
    <col min="28" max="28" width="11" style="146" bestFit="1" customWidth="1"/>
    <col min="29" max="29" width="7.44140625" style="147" bestFit="1" customWidth="1"/>
    <col min="30" max="30" width="5.5546875" style="146" bestFit="1" customWidth="1"/>
    <col min="31" max="31" width="7.33203125" style="147" bestFit="1" customWidth="1"/>
    <col min="32" max="32" width="5.5546875" style="146" bestFit="1" customWidth="1"/>
    <col min="33" max="33" width="4.6640625" style="146" bestFit="1" customWidth="1"/>
    <col min="34" max="34" width="7.33203125" style="147" bestFit="1" customWidth="1"/>
    <col min="35" max="35" width="6.6640625" style="146" bestFit="1" customWidth="1"/>
    <col min="36" max="36" width="7.44140625" style="146" bestFit="1" customWidth="1"/>
    <col min="37" max="37" width="7.44140625" style="147" bestFit="1" customWidth="1"/>
    <col min="38" max="38" width="7" style="147" bestFit="1" customWidth="1"/>
    <col min="39" max="16384" width="9.109375" style="2"/>
  </cols>
  <sheetData>
    <row r="1" spans="1:38" ht="5.25" customHeight="1" thickBot="1" x14ac:dyDescent="0.35"/>
    <row r="2" spans="1:38" ht="15" thickBot="1" x14ac:dyDescent="0.35">
      <c r="B2" s="12" t="s">
        <v>454</v>
      </c>
      <c r="C2" s="101" t="s">
        <v>23</v>
      </c>
    </row>
    <row r="3" spans="1:38" x14ac:dyDescent="0.3">
      <c r="B3" s="12"/>
      <c r="C3" s="20"/>
      <c r="D3" s="20"/>
      <c r="E3" s="20"/>
      <c r="F3" s="20"/>
    </row>
    <row r="4" spans="1:38" x14ac:dyDescent="0.3">
      <c r="C4" s="198" t="s">
        <v>267</v>
      </c>
      <c r="D4" s="198"/>
      <c r="E4" s="198"/>
      <c r="F4" s="198"/>
      <c r="G4" s="198"/>
      <c r="H4" s="198"/>
      <c r="I4" s="198" t="s">
        <v>6</v>
      </c>
      <c r="J4" s="198"/>
      <c r="K4" s="198"/>
      <c r="L4" s="198"/>
      <c r="M4" s="198" t="s">
        <v>41</v>
      </c>
      <c r="N4" s="198"/>
      <c r="O4" s="198"/>
      <c r="P4" s="198"/>
    </row>
    <row r="5" spans="1:38" ht="29.4" thickBot="1" x14ac:dyDescent="0.35">
      <c r="B5" s="4" t="s">
        <v>21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4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34</v>
      </c>
      <c r="N5" s="5" t="s">
        <v>35</v>
      </c>
      <c r="O5" s="5" t="s">
        <v>36</v>
      </c>
      <c r="P5" s="5" t="s">
        <v>37</v>
      </c>
      <c r="S5" s="161" t="s">
        <v>494</v>
      </c>
      <c r="T5" s="162" t="s">
        <v>500</v>
      </c>
      <c r="U5" s="162" t="s">
        <v>21</v>
      </c>
      <c r="V5" s="163" t="s">
        <v>495</v>
      </c>
      <c r="W5" s="164" t="s">
        <v>496</v>
      </c>
      <c r="X5" s="163" t="s">
        <v>8</v>
      </c>
      <c r="Y5" s="163" t="s">
        <v>497</v>
      </c>
      <c r="Z5" s="164" t="s">
        <v>498</v>
      </c>
      <c r="AA5" s="163" t="s">
        <v>9</v>
      </c>
      <c r="AB5" s="163" t="s">
        <v>41</v>
      </c>
      <c r="AC5" s="164" t="s">
        <v>499</v>
      </c>
      <c r="AD5" s="163" t="s">
        <v>495</v>
      </c>
      <c r="AE5" s="164" t="s">
        <v>496</v>
      </c>
      <c r="AF5" s="163" t="s">
        <v>8</v>
      </c>
      <c r="AG5" s="163" t="s">
        <v>497</v>
      </c>
      <c r="AH5" s="164" t="s">
        <v>498</v>
      </c>
      <c r="AI5" s="163" t="s">
        <v>9</v>
      </c>
      <c r="AJ5" s="163" t="s">
        <v>41</v>
      </c>
      <c r="AK5" s="164" t="s">
        <v>499</v>
      </c>
      <c r="AL5" s="164" t="s">
        <v>460</v>
      </c>
    </row>
    <row r="6" spans="1:38" x14ac:dyDescent="0.3">
      <c r="A6" s="3" cm="1">
        <f t="array" ref="A6">SUMPRODUCT((P6&lt;=$P$6:$P$20)/COUNTIF($P$6:$P$20,$P$6:$P$20))</f>
        <v>5</v>
      </c>
      <c r="B6" s="6" t="s">
        <v>27</v>
      </c>
      <c r="C6" s="6">
        <f t="shared" ref="C6:C20" si="0">COUNTIFS(managers,$C$2,opponent,B6,outcome,"W")</f>
        <v>7</v>
      </c>
      <c r="D6" s="6">
        <f t="shared" ref="D6:D20" si="1">COUNTIFS(managers,$C$2,opponent,B6,outcome,"L")</f>
        <v>4</v>
      </c>
      <c r="E6" s="6">
        <f t="shared" ref="E6:E20" si="2">COUNTIFS(managers,$C$2,opponent,B6,outcome,"T")</f>
        <v>0</v>
      </c>
      <c r="F6" s="7">
        <f>IFERROR((C6+(0.5*E6))/SUM(C6:E6),"")</f>
        <v>0.63636363636363635</v>
      </c>
      <c r="G6" s="8">
        <f t="shared" ref="G6:G20" si="3">SUMIFS(diff,managers,$C$2,opponent,B6)</f>
        <v>48</v>
      </c>
      <c r="H6" s="102">
        <f t="shared" ref="H6:H20" si="4">SUMIFS(points,managers,$C$2,opponent,B6)</f>
        <v>988</v>
      </c>
      <c r="I6" s="6">
        <f>COUNTIFS('Playoff Data'!B:B,'Owner View'!$C$2,'Playoff Data'!C:C,'Owner View'!B6,'Playoff Data'!H:H,"W")</f>
        <v>1</v>
      </c>
      <c r="J6" s="6">
        <f>COUNTIFS('Playoff Data'!B:B,'Owner View'!$C$2,'Playoff Data'!C:C,'Owner View'!B6,'Playoff Data'!H:H,"L")</f>
        <v>1</v>
      </c>
      <c r="K6" s="6">
        <f>COUNTIFS('Playoff Data'!B:B,'Owner View'!$C$2,'Playoff Data'!C:C,'Owner View'!B6,'Playoff Data'!H:H,"T")</f>
        <v>0</v>
      </c>
      <c r="L6" s="106">
        <f>IFERROR((I6+(0.5*K6))/SUM(I6:K6),"")</f>
        <v>0.5</v>
      </c>
      <c r="M6" s="6">
        <f>C6+I6</f>
        <v>8</v>
      </c>
      <c r="N6" s="6">
        <f>D6+J6</f>
        <v>5</v>
      </c>
      <c r="O6" s="6">
        <f>E6+K6</f>
        <v>0</v>
      </c>
      <c r="P6" s="7">
        <f>IFERROR((M6+(0.5*O6))/SUM(M6:O6),"")</f>
        <v>0.61538461538461542</v>
      </c>
      <c r="S6" s="158">
        <v>1</v>
      </c>
      <c r="T6" s="144" t="s">
        <v>27</v>
      </c>
      <c r="U6" s="171" t="s">
        <v>227</v>
      </c>
      <c r="V6" s="148" t="str">
        <f>IFERROR(AVERAGEIFS(points,managers,'Owner View'!T6,opponent,'Owner View'!U6,outcome,"W"),"")</f>
        <v/>
      </c>
      <c r="W6" s="149" t="str">
        <f>IFERROR(V6-VLOOKUP(T6,'SFFL Main Page'!$B$4:$L$20,9,FALSE),"")</f>
        <v/>
      </c>
      <c r="X6" s="150">
        <f>IFERROR(COUNTIFS(managers,'Owner View'!T6,opponent,'Owner View'!U6,outcome,"W"),"")</f>
        <v>0</v>
      </c>
      <c r="Y6" s="148" t="str">
        <f>IFERROR(AVERAGEIFS(points,managers,'Owner View'!T6,opponent,'Owner View'!U6,outcome,"L"),"")</f>
        <v/>
      </c>
      <c r="Z6" s="149" t="str">
        <f>IFERROR(Y6-VLOOKUP(T6,'SFFL Main Page'!$B$4:$L$20,10,FALSE),"")</f>
        <v/>
      </c>
      <c r="AA6" s="150">
        <f>IFERROR(COUNTIFS(managers,'Owner View'!T6,opponent,'Owner View'!U6,outcome,"L"),"")</f>
        <v>0</v>
      </c>
      <c r="AB6" s="165" t="str">
        <f>IFERROR(((V6*X6)+(Y6*AA6))/SUM(X6,AA6),"")</f>
        <v/>
      </c>
      <c r="AC6" s="149" t="str">
        <f>IFERROR(AB6-VLOOKUP(T6,'SFFL Main Page'!$B$4:$L$20,8,FALSE),"")</f>
        <v/>
      </c>
      <c r="AD6" s="148" t="str">
        <f>IFERROR(AVERAGEIFS(points,managers,'Owner View'!U6,opponent,'Owner View'!T6,outcome,"W"),"")</f>
        <v/>
      </c>
      <c r="AE6" s="149" t="str">
        <f>IFERROR(AD6-VLOOKUP(U6,'SFFL Main Page'!$B$4:$L$20,9,FALSE),"")</f>
        <v/>
      </c>
      <c r="AF6" s="150">
        <f>IFERROR(COUNTIFS(managers,'Owner View'!U6,opponent,'Owner View'!T6,outcome,"W"),"")</f>
        <v>0</v>
      </c>
      <c r="AG6" s="148" t="str">
        <f>IFERROR(AVERAGEIFS(points,managers,'Owner View'!U6,opponent,'Owner View'!T6,outcome,"L"),"")</f>
        <v/>
      </c>
      <c r="AH6" s="149" t="str">
        <f>IFERROR(AG6-VLOOKUP(U6,'SFFL Main Page'!$B$4:$L$20,10,FALSE),"")</f>
        <v/>
      </c>
      <c r="AI6" s="150">
        <f>IFERROR(COUNTIFS(managers,'Owner View'!U6,opponent,'Owner View'!T6,outcome,"L"),"")</f>
        <v>0</v>
      </c>
      <c r="AJ6" s="148" t="str">
        <f>IFERROR(((AD6*AF6)+(AG6*AI6))/SUM(AF6,AI6),"")</f>
        <v/>
      </c>
      <c r="AK6" s="168" t="str">
        <f>IFERROR(AJ6-VLOOKUP(U6,'SFFL Main Page'!$B$4:$L$20,8,FALSE),"")</f>
        <v/>
      </c>
      <c r="AL6" s="149" t="str">
        <f>IFERROR(AC6-AK6,"")</f>
        <v/>
      </c>
    </row>
    <row r="7" spans="1:38" x14ac:dyDescent="0.3">
      <c r="A7" s="3" cm="1">
        <f t="array" ref="A7">SUMPRODUCT((P7&lt;=$P$6:$P$20)/COUNTIF($P$6:$P$20,$P$6:$P$20))</f>
        <v>2</v>
      </c>
      <c r="B7" s="6" t="s">
        <v>227</v>
      </c>
      <c r="C7" s="6">
        <f>COUNTIFS(managers,$C$2,opponent,B7,outcome,"W")</f>
        <v>6</v>
      </c>
      <c r="D7" s="6">
        <f>COUNTIFS(managers,$C$2,opponent,B7,outcome,"L")</f>
        <v>1</v>
      </c>
      <c r="E7" s="6">
        <f>COUNTIFS(managers,$C$2,opponent,B7,outcome,"T")</f>
        <v>0</v>
      </c>
      <c r="F7" s="7">
        <f>IFERROR((C7+(0.5*E7))/SUM(C7:E7),"")</f>
        <v>0.8571428571428571</v>
      </c>
      <c r="G7" s="8">
        <f>SUMIFS(diff,managers,$C$2,opponent,B7)</f>
        <v>149</v>
      </c>
      <c r="H7" s="103">
        <f>SUMIFS(points,managers,$C$2,opponent,B7)</f>
        <v>824</v>
      </c>
      <c r="I7" s="6">
        <f>COUNTIFS('Playoff Data'!B:B,'Owner View'!$C$2,'Playoff Data'!C:C,'Owner View'!B7,'Playoff Data'!H:H,"W")</f>
        <v>0</v>
      </c>
      <c r="J7" s="6">
        <f>COUNTIFS('Playoff Data'!B:B,'Owner View'!$C$2,'Playoff Data'!C:C,'Owner View'!B7,'Playoff Data'!H:H,"L")</f>
        <v>0</v>
      </c>
      <c r="K7" s="6">
        <f>COUNTIFS('Playoff Data'!B:B,'Owner View'!$C$2,'Playoff Data'!C:C,'Owner View'!B7,'Playoff Data'!H:H,"T")</f>
        <v>0</v>
      </c>
      <c r="L7" s="107" t="str">
        <f>IFERROR((I7+(0.5*K7))/SUM(I7:K7),"")</f>
        <v/>
      </c>
      <c r="M7" s="6">
        <f t="shared" ref="M7:M20" si="5">C7+I7</f>
        <v>6</v>
      </c>
      <c r="N7" s="6">
        <f t="shared" ref="N7:N20" si="6">D7+J7</f>
        <v>1</v>
      </c>
      <c r="O7" s="6">
        <f t="shared" ref="O7:O20" si="7">E7+K7</f>
        <v>0</v>
      </c>
      <c r="P7" s="7">
        <f>IFERROR((M7+(0.5*O7))/SUM(M7:O7),"")</f>
        <v>0.8571428571428571</v>
      </c>
      <c r="S7" s="159">
        <v>2</v>
      </c>
      <c r="T7" s="118" t="s">
        <v>27</v>
      </c>
      <c r="U7" s="172" t="s">
        <v>25</v>
      </c>
      <c r="V7" s="151">
        <f>IFERROR(AVERAGEIFS(points,managers,'Owner View'!T7,opponent,'Owner View'!U7,outcome,"W"),"")</f>
        <v>111</v>
      </c>
      <c r="W7" s="152">
        <f>IFERROR(V7-VLOOKUP(T7,'SFFL Main Page'!$B$4:$L$20,9,FALSE),"")</f>
        <v>15.510638297872347</v>
      </c>
      <c r="X7" s="153">
        <f>IFERROR(COUNTIFS(managers,'Owner View'!T7,opponent,'Owner View'!U7,outcome,"W"),"")</f>
        <v>3</v>
      </c>
      <c r="Y7" s="151">
        <f>IFERROR(AVERAGEIFS(points,managers,'Owner View'!T7,opponent,'Owner View'!U7,outcome,"L"),"")</f>
        <v>68.666666666666671</v>
      </c>
      <c r="Z7" s="152">
        <f>IFERROR(Y7-VLOOKUP(T7,'SFFL Main Page'!$B$4:$L$20,10,FALSE),"")</f>
        <v>-1.298245614035082</v>
      </c>
      <c r="AA7" s="153">
        <f>IFERROR(COUNTIFS(managers,'Owner View'!T7,opponent,'Owner View'!U7,outcome,"L"),"")</f>
        <v>6</v>
      </c>
      <c r="AB7" s="166">
        <f>IFERROR(((V7*X7)+(Y7*AA7))/SUM(X7,AA7),"")</f>
        <v>82.777777777777771</v>
      </c>
      <c r="AC7" s="152">
        <f>IFERROR(AB7-VLOOKUP(T7,'SFFL Main Page'!$B$4:$L$20,8,FALSE),"")</f>
        <v>1.2777777777777715</v>
      </c>
      <c r="AD7" s="151">
        <f>IFERROR(AVERAGEIFS(points,managers,'Owner View'!U7,opponent,'Owner View'!T7,outcome,"W"),"")</f>
        <v>93.333333333333329</v>
      </c>
      <c r="AE7" s="152">
        <f>IFERROR(AD7-VLOOKUP(U7,'SFFL Main Page'!$B$4:$L$20,9,FALSE),"")</f>
        <v>-8.4367816091954069</v>
      </c>
      <c r="AF7" s="153">
        <f>IFERROR(COUNTIFS(managers,'Owner View'!U7,opponent,'Owner View'!T7,outcome,"W"),"")</f>
        <v>6</v>
      </c>
      <c r="AG7" s="151">
        <f>IFERROR(AVERAGEIFS(points,managers,'Owner View'!U7,opponent,'Owner View'!T7,outcome,"L"),"")</f>
        <v>68.333333333333329</v>
      </c>
      <c r="AH7" s="152">
        <f>IFERROR(AG7-VLOOKUP(U7,'SFFL Main Page'!$B$4:$L$20,10,FALSE),"")</f>
        <v>-9.6071428571428612</v>
      </c>
      <c r="AI7" s="153">
        <f>IFERROR(COUNTIFS(managers,'Owner View'!U7,opponent,'Owner View'!T7,outcome,"L"),"")</f>
        <v>3</v>
      </c>
      <c r="AJ7" s="151">
        <f t="shared" ref="AJ7:AJ12" si="8">IFERROR(((AD7*AF7)+(AG7*AI7))/SUM(AF7,AI7),"")</f>
        <v>85</v>
      </c>
      <c r="AK7" s="169">
        <f>IFERROR(AJ7-VLOOKUP(U7,'SFFL Main Page'!$B$4:$L$20,8,FALSE),"")</f>
        <v>-4.9885057471264389</v>
      </c>
      <c r="AL7" s="152">
        <f t="shared" ref="AL7:AL12" si="9">IFERROR(AC7-AK7,"")</f>
        <v>6.2662835249042104</v>
      </c>
    </row>
    <row r="8" spans="1:38" x14ac:dyDescent="0.3">
      <c r="A8" s="3" cm="1">
        <f t="array" ref="A8">SUMPRODUCT((P8&lt;=$P$6:$P$20)/COUNTIF($P$6:$P$20,$P$6:$P$20))</f>
        <v>11</v>
      </c>
      <c r="B8" s="9" t="s">
        <v>25</v>
      </c>
      <c r="C8" s="9">
        <f t="shared" si="0"/>
        <v>7</v>
      </c>
      <c r="D8" s="9">
        <f t="shared" si="1"/>
        <v>9</v>
      </c>
      <c r="E8" s="9">
        <f t="shared" si="2"/>
        <v>0</v>
      </c>
      <c r="F8" s="10">
        <f t="shared" ref="F8:F21" si="10">IFERROR((C8+(0.5*E8))/SUM(C8:E8),"")</f>
        <v>0.4375</v>
      </c>
      <c r="G8" s="11">
        <f t="shared" si="3"/>
        <v>-99</v>
      </c>
      <c r="H8" s="104">
        <f t="shared" si="4"/>
        <v>1461</v>
      </c>
      <c r="I8" s="6">
        <f>COUNTIFS('Playoff Data'!B:B,'Owner View'!$C$2,'Playoff Data'!C:C,'Owner View'!B8,'Playoff Data'!H:H,"W")</f>
        <v>0</v>
      </c>
      <c r="J8" s="6">
        <f>COUNTIFS('Playoff Data'!B:B,'Owner View'!$C$2,'Playoff Data'!C:C,'Owner View'!B8,'Playoff Data'!H:H,"L")</f>
        <v>0</v>
      </c>
      <c r="K8" s="6">
        <f>COUNTIFS('Playoff Data'!B:B,'Owner View'!$C$2,'Playoff Data'!C:C,'Owner View'!B8,'Playoff Data'!H:H,"T")</f>
        <v>0</v>
      </c>
      <c r="L8" s="108" t="str">
        <f t="shared" ref="L8:L21" si="11">IFERROR((I8+(0.5*K8))/SUM(I8:K8),"")</f>
        <v/>
      </c>
      <c r="M8" s="6">
        <f t="shared" si="5"/>
        <v>7</v>
      </c>
      <c r="N8" s="6">
        <f t="shared" si="6"/>
        <v>9</v>
      </c>
      <c r="O8" s="6">
        <f t="shared" si="7"/>
        <v>0</v>
      </c>
      <c r="P8" s="10">
        <f t="shared" ref="P8:P21" si="12">IFERROR((M8+(0.5*O8))/SUM(M8:O8),"")</f>
        <v>0.4375</v>
      </c>
      <c r="S8" s="159">
        <v>3</v>
      </c>
      <c r="T8" s="118" t="s">
        <v>27</v>
      </c>
      <c r="U8" s="172" t="s">
        <v>47</v>
      </c>
      <c r="V8" s="151">
        <f>IFERROR(AVERAGEIFS(points,managers,'Owner View'!T8,opponent,'Owner View'!U8,outcome,"W"),"")</f>
        <v>82</v>
      </c>
      <c r="W8" s="152">
        <f>IFERROR(V8-VLOOKUP(T8,'SFFL Main Page'!$B$4:$L$20,9,FALSE),"")</f>
        <v>-13.489361702127653</v>
      </c>
      <c r="X8" s="153">
        <f>IFERROR(COUNTIFS(managers,'Owner View'!T8,opponent,'Owner View'!U8,outcome,"W"),"")</f>
        <v>1</v>
      </c>
      <c r="Y8" s="151">
        <f>IFERROR(AVERAGEIFS(points,managers,'Owner View'!T8,opponent,'Owner View'!U8,outcome,"L"),"")</f>
        <v>72.400000000000006</v>
      </c>
      <c r="Z8" s="152">
        <f>IFERROR(Y8-VLOOKUP(T8,'SFFL Main Page'!$B$4:$L$20,10,FALSE),"")</f>
        <v>2.4350877192982523</v>
      </c>
      <c r="AA8" s="153">
        <f>IFERROR(COUNTIFS(managers,'Owner View'!T8,opponent,'Owner View'!U8,outcome,"L"),"")</f>
        <v>5</v>
      </c>
      <c r="AB8" s="166">
        <f t="shared" ref="AB8:AB71" si="13">IFERROR(((V8*X8)+(Y8*AA8))/SUM(X8,AA8),"")</f>
        <v>74</v>
      </c>
      <c r="AC8" s="152">
        <f>IFERROR(AB8-VLOOKUP(T8,'SFFL Main Page'!$B$4:$L$20,8,FALSE),"")</f>
        <v>-7.5</v>
      </c>
      <c r="AD8" s="151">
        <f>IFERROR(AVERAGEIFS(points,managers,'Owner View'!U8,opponent,'Owner View'!T8,outcome,"W"),"")</f>
        <v>92</v>
      </c>
      <c r="AE8" s="152">
        <f>IFERROR(AD8-VLOOKUP(U8,'SFFL Main Page'!$B$4:$L$20,9,FALSE),"")</f>
        <v>-13.357894736842098</v>
      </c>
      <c r="AF8" s="153">
        <f>IFERROR(COUNTIFS(managers,'Owner View'!U8,opponent,'Owner View'!T8,outcome,"W"),"")</f>
        <v>5</v>
      </c>
      <c r="AG8" s="151">
        <f>IFERROR(AVERAGEIFS(points,managers,'Owner View'!U8,opponent,'Owner View'!T8,outcome,"L"),"")</f>
        <v>79</v>
      </c>
      <c r="AH8" s="152">
        <f>IFERROR(AG8-VLOOKUP(U8,'SFFL Main Page'!$B$4:$L$20,10,FALSE),"")</f>
        <v>-4.5769230769230802</v>
      </c>
      <c r="AI8" s="153">
        <f>IFERROR(COUNTIFS(managers,'Owner View'!U8,opponent,'Owner View'!T8,outcome,"L"),"")</f>
        <v>1</v>
      </c>
      <c r="AJ8" s="151">
        <f t="shared" si="8"/>
        <v>89.833333333333329</v>
      </c>
      <c r="AK8" s="169">
        <f>IFERROR(AJ8-VLOOKUP(U8,'SFFL Main Page'!$B$4:$L$20,8,FALSE),"")</f>
        <v>-7.7274774774774784</v>
      </c>
      <c r="AL8" s="152">
        <f t="shared" si="9"/>
        <v>0.22747747747747837</v>
      </c>
    </row>
    <row r="9" spans="1:38" x14ac:dyDescent="0.3">
      <c r="A9" s="3" cm="1">
        <f t="array" ref="A9">SUMPRODUCT((P9&lt;=$P$6:$P$20)/COUNTIF($P$6:$P$20,$P$6:$P$20))</f>
        <v>13</v>
      </c>
      <c r="B9" s="9" t="s">
        <v>47</v>
      </c>
      <c r="C9" s="9">
        <f t="shared" si="0"/>
        <v>4</v>
      </c>
      <c r="D9" s="9">
        <f t="shared" si="1"/>
        <v>7</v>
      </c>
      <c r="E9" s="9">
        <f t="shared" si="2"/>
        <v>0</v>
      </c>
      <c r="F9" s="10">
        <f t="shared" si="10"/>
        <v>0.36363636363636365</v>
      </c>
      <c r="G9" s="11">
        <f t="shared" si="3"/>
        <v>-96</v>
      </c>
      <c r="H9" s="104">
        <f t="shared" si="4"/>
        <v>1004</v>
      </c>
      <c r="I9" s="6">
        <f>COUNTIFS('Playoff Data'!B:B,'Owner View'!$C$2,'Playoff Data'!C:C,'Owner View'!B9,'Playoff Data'!H:H,"W")</f>
        <v>1</v>
      </c>
      <c r="J9" s="6">
        <f>COUNTIFS('Playoff Data'!B:B,'Owner View'!$C$2,'Playoff Data'!C:C,'Owner View'!B9,'Playoff Data'!H:H,"L")</f>
        <v>1</v>
      </c>
      <c r="K9" s="6">
        <f>COUNTIFS('Playoff Data'!B:B,'Owner View'!$C$2,'Playoff Data'!C:C,'Owner View'!B9,'Playoff Data'!H:H,"T")</f>
        <v>0</v>
      </c>
      <c r="L9" s="108">
        <f t="shared" si="11"/>
        <v>0.5</v>
      </c>
      <c r="M9" s="6">
        <f t="shared" si="5"/>
        <v>5</v>
      </c>
      <c r="N9" s="6">
        <f t="shared" si="6"/>
        <v>8</v>
      </c>
      <c r="O9" s="6">
        <f t="shared" si="7"/>
        <v>0</v>
      </c>
      <c r="P9" s="10">
        <f t="shared" si="12"/>
        <v>0.38461538461538464</v>
      </c>
      <c r="S9" s="159">
        <v>4</v>
      </c>
      <c r="T9" s="118" t="s">
        <v>27</v>
      </c>
      <c r="U9" s="172" t="s">
        <v>26</v>
      </c>
      <c r="V9" s="151">
        <f>IFERROR(AVERAGEIFS(points,managers,'Owner View'!T9,opponent,'Owner View'!U9,outcome,"W"),"")</f>
        <v>80.714285714285708</v>
      </c>
      <c r="W9" s="152">
        <f>IFERROR(V9-VLOOKUP(T9,'SFFL Main Page'!$B$4:$L$20,9,FALSE),"")</f>
        <v>-14.775075987841944</v>
      </c>
      <c r="X9" s="153">
        <f>IFERROR(COUNTIFS(managers,'Owner View'!T9,opponent,'Owner View'!U9,outcome,"W"),"")</f>
        <v>7</v>
      </c>
      <c r="Y9" s="151">
        <f>IFERROR(AVERAGEIFS(points,managers,'Owner View'!T9,opponent,'Owner View'!U9,outcome,"L"),"")</f>
        <v>69</v>
      </c>
      <c r="Z9" s="152">
        <f>IFERROR(Y9-VLOOKUP(T9,'SFFL Main Page'!$B$4:$L$20,10,FALSE),"")</f>
        <v>-0.96491228070175339</v>
      </c>
      <c r="AA9" s="153">
        <f>IFERROR(COUNTIFS(managers,'Owner View'!T9,opponent,'Owner View'!U9,outcome,"L"),"")</f>
        <v>2</v>
      </c>
      <c r="AB9" s="166">
        <f t="shared" si="13"/>
        <v>78.111111111111114</v>
      </c>
      <c r="AC9" s="152">
        <f>IFERROR(AB9-VLOOKUP(T9,'SFFL Main Page'!$B$4:$L$20,8,FALSE),"")</f>
        <v>-3.3888888888888857</v>
      </c>
      <c r="AD9" s="151">
        <f>IFERROR(AVERAGEIFS(points,managers,'Owner View'!U9,opponent,'Owner View'!T9,outcome,"W"),"")</f>
        <v>113</v>
      </c>
      <c r="AE9" s="152">
        <f>IFERROR(AD9-VLOOKUP(U9,'SFFL Main Page'!$B$4:$L$20,9,FALSE),"")</f>
        <v>9.4479166666666714</v>
      </c>
      <c r="AF9" s="153">
        <f>IFERROR(COUNTIFS(managers,'Owner View'!U9,opponent,'Owner View'!T9,outcome,"W"),"")</f>
        <v>2</v>
      </c>
      <c r="AG9" s="151">
        <f>IFERROR(AVERAGEIFS(points,managers,'Owner View'!U9,opponent,'Owner View'!T9,outcome,"L"),"")</f>
        <v>66</v>
      </c>
      <c r="AH9" s="152">
        <f>IFERROR(AG9-VLOOKUP(U9,'SFFL Main Page'!$B$4:$L$20,10,FALSE),"")</f>
        <v>-11.532467532467535</v>
      </c>
      <c r="AI9" s="153">
        <f>IFERROR(COUNTIFS(managers,'Owner View'!U9,opponent,'Owner View'!T9,outcome,"L"),"")</f>
        <v>7</v>
      </c>
      <c r="AJ9" s="151">
        <f t="shared" si="8"/>
        <v>76.444444444444443</v>
      </c>
      <c r="AK9" s="169">
        <f>IFERROR(AJ9-VLOOKUP(U9,'SFFL Main Page'!$B$4:$L$20,8,FALSE),"")</f>
        <v>-15.538314176245208</v>
      </c>
      <c r="AL9" s="152">
        <f t="shared" si="9"/>
        <v>12.149425287356323</v>
      </c>
    </row>
    <row r="10" spans="1:38" x14ac:dyDescent="0.3">
      <c r="A10" s="3" cm="1">
        <f t="array" ref="A10">SUMPRODUCT((P10&lt;=$P$6:$P$20)/COUNTIF($P$6:$P$20,$P$6:$P$20))</f>
        <v>14</v>
      </c>
      <c r="B10" s="9" t="s">
        <v>26</v>
      </c>
      <c r="C10" s="9">
        <f t="shared" si="0"/>
        <v>6</v>
      </c>
      <c r="D10" s="9">
        <f t="shared" si="1"/>
        <v>9</v>
      </c>
      <c r="E10" s="9">
        <f t="shared" si="2"/>
        <v>0</v>
      </c>
      <c r="F10" s="10">
        <f t="shared" si="10"/>
        <v>0.4</v>
      </c>
      <c r="G10" s="11">
        <f t="shared" si="3"/>
        <v>107</v>
      </c>
      <c r="H10" s="104">
        <f t="shared" si="4"/>
        <v>1395</v>
      </c>
      <c r="I10" s="6">
        <f>COUNTIFS('Playoff Data'!B:B,'Owner View'!$C$2,'Playoff Data'!C:C,'Owner View'!B10,'Playoff Data'!H:H,"W")</f>
        <v>0</v>
      </c>
      <c r="J10" s="6">
        <f>COUNTIFS('Playoff Data'!B:B,'Owner View'!$C$2,'Playoff Data'!C:C,'Owner View'!B10,'Playoff Data'!H:H,"L")</f>
        <v>1</v>
      </c>
      <c r="K10" s="6">
        <f>COUNTIFS('Playoff Data'!B:B,'Owner View'!$C$2,'Playoff Data'!C:C,'Owner View'!B10,'Playoff Data'!H:H,"T")</f>
        <v>0</v>
      </c>
      <c r="L10" s="108">
        <f t="shared" si="11"/>
        <v>0</v>
      </c>
      <c r="M10" s="6">
        <f t="shared" si="5"/>
        <v>6</v>
      </c>
      <c r="N10" s="6">
        <f t="shared" si="6"/>
        <v>10</v>
      </c>
      <c r="O10" s="6">
        <f t="shared" si="7"/>
        <v>0</v>
      </c>
      <c r="P10" s="10">
        <f t="shared" si="12"/>
        <v>0.375</v>
      </c>
      <c r="S10" s="159">
        <v>5</v>
      </c>
      <c r="T10" s="118" t="s">
        <v>27</v>
      </c>
      <c r="U10" s="172" t="s">
        <v>48</v>
      </c>
      <c r="V10" s="151">
        <f>IFERROR(AVERAGEIFS(points,managers,'Owner View'!T10,opponent,'Owner View'!U10,outcome,"W"),"")</f>
        <v>98.5</v>
      </c>
      <c r="W10" s="152">
        <f>IFERROR(V10-VLOOKUP(T10,'SFFL Main Page'!$B$4:$L$20,9,FALSE),"")</f>
        <v>3.0106382978723474</v>
      </c>
      <c r="X10" s="153">
        <f>IFERROR(COUNTIFS(managers,'Owner View'!T10,opponent,'Owner View'!U10,outcome,"W"),"")</f>
        <v>2</v>
      </c>
      <c r="Y10" s="151">
        <f>IFERROR(AVERAGEIFS(points,managers,'Owner View'!T10,opponent,'Owner View'!U10,outcome,"L"),"")</f>
        <v>69.5</v>
      </c>
      <c r="Z10" s="152">
        <f>IFERROR(Y10-VLOOKUP(T10,'SFFL Main Page'!$B$4:$L$20,10,FALSE),"")</f>
        <v>-0.46491228070175339</v>
      </c>
      <c r="AA10" s="153">
        <f>IFERROR(COUNTIFS(managers,'Owner View'!T10,opponent,'Owner View'!U10,outcome,"L"),"")</f>
        <v>4</v>
      </c>
      <c r="AB10" s="166">
        <f t="shared" si="13"/>
        <v>79.166666666666671</v>
      </c>
      <c r="AC10" s="152">
        <f>IFERROR(AB10-VLOOKUP(T10,'SFFL Main Page'!$B$4:$L$20,8,FALSE),"")</f>
        <v>-2.3333333333333286</v>
      </c>
      <c r="AD10" s="151">
        <f>IFERROR(AVERAGEIFS(points,managers,'Owner View'!U10,opponent,'Owner View'!T10,outcome,"W"),"")</f>
        <v>119</v>
      </c>
      <c r="AE10" s="152">
        <f>IFERROR(AD10-VLOOKUP(U10,'SFFL Main Page'!$B$4:$L$20,9,FALSE),"")</f>
        <v>10.254878048780483</v>
      </c>
      <c r="AF10" s="153">
        <f>IFERROR(COUNTIFS(managers,'Owner View'!U10,opponent,'Owner View'!T10,outcome,"W"),"")</f>
        <v>4</v>
      </c>
      <c r="AG10" s="151">
        <f>IFERROR(AVERAGEIFS(points,managers,'Owner View'!U10,opponent,'Owner View'!T10,outcome,"L"),"")</f>
        <v>75.5</v>
      </c>
      <c r="AH10" s="152">
        <f>IFERROR(AG10-VLOOKUP(U10,'SFFL Main Page'!$B$4:$L$20,10,FALSE),"")</f>
        <v>-9.2575757575757507</v>
      </c>
      <c r="AI10" s="153">
        <f>IFERROR(COUNTIFS(managers,'Owner View'!U10,opponent,'Owner View'!T10,outcome,"L"),"")</f>
        <v>2</v>
      </c>
      <c r="AJ10" s="151">
        <f t="shared" si="8"/>
        <v>104.5</v>
      </c>
      <c r="AK10" s="169">
        <f>IFERROR(AJ10-VLOOKUP(U10,'SFFL Main Page'!$B$4:$L$20,8,FALSE),"")</f>
        <v>6.4520270270270288</v>
      </c>
      <c r="AL10" s="152">
        <f t="shared" si="9"/>
        <v>-8.7853603603603574</v>
      </c>
    </row>
    <row r="11" spans="1:38" x14ac:dyDescent="0.3">
      <c r="A11" s="3" cm="1">
        <f t="array" ref="A11">SUMPRODUCT((P11&lt;=$P$6:$P$20)/COUNTIF($P$6:$P$20,$P$6:$P$20))</f>
        <v>12</v>
      </c>
      <c r="B11" s="9" t="s">
        <v>48</v>
      </c>
      <c r="C11" s="9">
        <f t="shared" si="0"/>
        <v>6</v>
      </c>
      <c r="D11" s="9">
        <f t="shared" si="1"/>
        <v>8</v>
      </c>
      <c r="E11" s="9">
        <f t="shared" si="2"/>
        <v>0</v>
      </c>
      <c r="F11" s="10">
        <f t="shared" si="10"/>
        <v>0.42857142857142855</v>
      </c>
      <c r="G11" s="11">
        <f t="shared" si="3"/>
        <v>-111</v>
      </c>
      <c r="H11" s="104">
        <f t="shared" si="4"/>
        <v>1236</v>
      </c>
      <c r="I11" s="6">
        <f>COUNTIFS('Playoff Data'!B:B,'Owner View'!$C$2,'Playoff Data'!C:C,'Owner View'!B11,'Playoff Data'!H:H,"W")</f>
        <v>0</v>
      </c>
      <c r="J11" s="6">
        <f>COUNTIFS('Playoff Data'!B:B,'Owner View'!$C$2,'Playoff Data'!C:C,'Owner View'!B11,'Playoff Data'!H:H,"L")</f>
        <v>0</v>
      </c>
      <c r="K11" s="6">
        <f>COUNTIFS('Playoff Data'!B:B,'Owner View'!$C$2,'Playoff Data'!C:C,'Owner View'!B11,'Playoff Data'!H:H,"T")</f>
        <v>0</v>
      </c>
      <c r="L11" s="108" t="str">
        <f t="shared" si="11"/>
        <v/>
      </c>
      <c r="M11" s="6">
        <f t="shared" si="5"/>
        <v>6</v>
      </c>
      <c r="N11" s="6">
        <f t="shared" si="6"/>
        <v>8</v>
      </c>
      <c r="O11" s="6">
        <f t="shared" si="7"/>
        <v>0</v>
      </c>
      <c r="P11" s="10">
        <f t="shared" si="12"/>
        <v>0.42857142857142855</v>
      </c>
      <c r="S11" s="159">
        <v>6</v>
      </c>
      <c r="T11" s="118" t="s">
        <v>27</v>
      </c>
      <c r="U11" s="172" t="s">
        <v>29</v>
      </c>
      <c r="V11" s="151">
        <f>IFERROR(AVERAGEIFS(points,managers,'Owner View'!T11,opponent,'Owner View'!U11,outcome,"W"),"")</f>
        <v>91.857142857142861</v>
      </c>
      <c r="W11" s="152">
        <f>IFERROR(V11-VLOOKUP(T11,'SFFL Main Page'!$B$4:$L$20,9,FALSE),"")</f>
        <v>-3.6322188449847914</v>
      </c>
      <c r="X11" s="153">
        <f>IFERROR(COUNTIFS(managers,'Owner View'!T11,opponent,'Owner View'!U11,outcome,"W"),"")</f>
        <v>7</v>
      </c>
      <c r="Y11" s="151">
        <f>IFERROR(AVERAGEIFS(points,managers,'Owner View'!T11,opponent,'Owner View'!U11,outcome,"L"),"")</f>
        <v>78.5</v>
      </c>
      <c r="Z11" s="152">
        <f>IFERROR(Y11-VLOOKUP(T11,'SFFL Main Page'!$B$4:$L$20,10,FALSE),"")</f>
        <v>8.5350877192982466</v>
      </c>
      <c r="AA11" s="153">
        <f>IFERROR(COUNTIFS(managers,'Owner View'!T11,opponent,'Owner View'!U11,outcome,"L"),"")</f>
        <v>2</v>
      </c>
      <c r="AB11" s="166">
        <f t="shared" si="13"/>
        <v>88.888888888888886</v>
      </c>
      <c r="AC11" s="152">
        <f>IFERROR(AB11-VLOOKUP(T11,'SFFL Main Page'!$B$4:$L$20,8,FALSE),"")</f>
        <v>7.3888888888888857</v>
      </c>
      <c r="AD11" s="151">
        <f>IFERROR(AVERAGEIFS(points,managers,'Owner View'!U11,opponent,'Owner View'!T11,outcome,"W"),"")</f>
        <v>90.5</v>
      </c>
      <c r="AE11" s="152">
        <f>IFERROR(AD11-VLOOKUP(U11,'SFFL Main Page'!$B$4:$L$20,9,FALSE),"")</f>
        <v>-10.570588235294125</v>
      </c>
      <c r="AF11" s="153">
        <f>IFERROR(COUNTIFS(managers,'Owner View'!U11,opponent,'Owner View'!T11,outcome,"W"),"")</f>
        <v>2</v>
      </c>
      <c r="AG11" s="151">
        <f>IFERROR(AVERAGEIFS(points,managers,'Owner View'!U11,opponent,'Owner View'!T11,outcome,"L"),"")</f>
        <v>74.285714285714292</v>
      </c>
      <c r="AH11" s="152">
        <f>IFERROR(AG11-VLOOKUP(U11,'SFFL Main Page'!$B$4:$L$20,10,FALSE),"")</f>
        <v>-3.8392857142857082</v>
      </c>
      <c r="AI11" s="153">
        <f>IFERROR(COUNTIFS(managers,'Owner View'!U11,opponent,'Owner View'!T11,outcome,"L"),"")</f>
        <v>7</v>
      </c>
      <c r="AJ11" s="151">
        <f t="shared" si="8"/>
        <v>77.888888888888886</v>
      </c>
      <c r="AK11" s="169">
        <f>IFERROR(AJ11-VLOOKUP(U11,'SFFL Main Page'!$B$4:$L$20,8,FALSE),"")</f>
        <v>-11.513409961685824</v>
      </c>
      <c r="AL11" s="152">
        <f t="shared" si="9"/>
        <v>18.902298850574709</v>
      </c>
    </row>
    <row r="12" spans="1:38" x14ac:dyDescent="0.3">
      <c r="A12" s="3" cm="1">
        <f t="array" ref="A12">SUMPRODUCT((P12&lt;=$P$6:$P$20)/COUNTIF($P$6:$P$20,$P$6:$P$20))</f>
        <v>10</v>
      </c>
      <c r="B12" s="9" t="s">
        <v>29</v>
      </c>
      <c r="C12" s="9">
        <f t="shared" si="0"/>
        <v>6</v>
      </c>
      <c r="D12" s="9">
        <f t="shared" si="1"/>
        <v>8</v>
      </c>
      <c r="E12" s="9">
        <f t="shared" si="2"/>
        <v>0</v>
      </c>
      <c r="F12" s="10">
        <f t="shared" si="10"/>
        <v>0.42857142857142855</v>
      </c>
      <c r="G12" s="11">
        <f t="shared" si="3"/>
        <v>-190</v>
      </c>
      <c r="H12" s="104">
        <f t="shared" si="4"/>
        <v>1155</v>
      </c>
      <c r="I12" s="6">
        <f>COUNTIFS('Playoff Data'!B:B,'Owner View'!$C$2,'Playoff Data'!C:C,'Owner View'!B12,'Playoff Data'!H:H,"W")</f>
        <v>1</v>
      </c>
      <c r="J12" s="6">
        <f>COUNTIFS('Playoff Data'!B:B,'Owner View'!$C$2,'Playoff Data'!C:C,'Owner View'!B12,'Playoff Data'!H:H,"L")</f>
        <v>0</v>
      </c>
      <c r="K12" s="6">
        <f>COUNTIFS('Playoff Data'!B:B,'Owner View'!$C$2,'Playoff Data'!C:C,'Owner View'!B12,'Playoff Data'!H:H,"T")</f>
        <v>0</v>
      </c>
      <c r="L12" s="108">
        <f t="shared" si="11"/>
        <v>1</v>
      </c>
      <c r="M12" s="6">
        <f t="shared" si="5"/>
        <v>7</v>
      </c>
      <c r="N12" s="6">
        <f t="shared" si="6"/>
        <v>8</v>
      </c>
      <c r="O12" s="6">
        <f t="shared" si="7"/>
        <v>0</v>
      </c>
      <c r="P12" s="10">
        <f t="shared" si="12"/>
        <v>0.46666666666666667</v>
      </c>
      <c r="S12" s="159">
        <v>7</v>
      </c>
      <c r="T12" s="118" t="s">
        <v>27</v>
      </c>
      <c r="U12" s="172" t="s">
        <v>43</v>
      </c>
      <c r="V12" s="151">
        <f>IFERROR(AVERAGEIFS(points,managers,'Owner View'!T12,opponent,'Owner View'!U12,outcome,"W"),"")</f>
        <v>92</v>
      </c>
      <c r="W12" s="152">
        <f>IFERROR(V12-VLOOKUP(T12,'SFFL Main Page'!$B$4:$L$20,9,FALSE),"")</f>
        <v>-3.4893617021276526</v>
      </c>
      <c r="X12" s="153">
        <f>IFERROR(COUNTIFS(managers,'Owner View'!T12,opponent,'Owner View'!U12,outcome,"W"),"")</f>
        <v>5</v>
      </c>
      <c r="Y12" s="151">
        <f>IFERROR(AVERAGEIFS(points,managers,'Owner View'!T12,opponent,'Owner View'!U12,outcome,"L"),"")</f>
        <v>58.666666666666664</v>
      </c>
      <c r="Z12" s="152">
        <f>IFERROR(Y12-VLOOKUP(T12,'SFFL Main Page'!$B$4:$L$20,10,FALSE),"")</f>
        <v>-11.298245614035089</v>
      </c>
      <c r="AA12" s="153">
        <f>IFERROR(COUNTIFS(managers,'Owner View'!T12,opponent,'Owner View'!U12,outcome,"L"),"")</f>
        <v>6</v>
      </c>
      <c r="AB12" s="166">
        <f t="shared" si="13"/>
        <v>73.818181818181813</v>
      </c>
      <c r="AC12" s="152">
        <f>IFERROR(AB12-VLOOKUP(T12,'SFFL Main Page'!$B$4:$L$20,8,FALSE),"")</f>
        <v>-7.681818181818187</v>
      </c>
      <c r="AD12" s="151">
        <f>IFERROR(AVERAGEIFS(points,managers,'Owner View'!U12,opponent,'Owner View'!T12,outcome,"W"),"")</f>
        <v>88.5</v>
      </c>
      <c r="AE12" s="152">
        <f>IFERROR(AD12-VLOOKUP(U12,'SFFL Main Page'!$B$4:$L$20,9,FALSE),"")</f>
        <v>-12.327160493827165</v>
      </c>
      <c r="AF12" s="153">
        <f>IFERROR(COUNTIFS(managers,'Owner View'!U12,opponent,'Owner View'!T12,outcome,"W"),"")</f>
        <v>6</v>
      </c>
      <c r="AG12" s="151">
        <f>IFERROR(AVERAGEIFS(points,managers,'Owner View'!U12,opponent,'Owner View'!T12,outcome,"L"),"")</f>
        <v>76.2</v>
      </c>
      <c r="AH12" s="152">
        <f>IFERROR(AG12-VLOOKUP(U12,'SFFL Main Page'!$B$4:$L$20,10,FALSE),"")</f>
        <v>0.83043478260870529</v>
      </c>
      <c r="AI12" s="153">
        <f>IFERROR(COUNTIFS(managers,'Owner View'!U12,opponent,'Owner View'!T12,outcome,"L"),"")</f>
        <v>5</v>
      </c>
      <c r="AJ12" s="151">
        <f t="shared" si="8"/>
        <v>82.909090909090907</v>
      </c>
      <c r="AK12" s="169">
        <f>IFERROR(AJ12-VLOOKUP(U12,'SFFL Main Page'!$B$4:$L$20,8,FALSE),"")</f>
        <v>-4.3322884012539191</v>
      </c>
      <c r="AL12" s="152">
        <f t="shared" si="9"/>
        <v>-3.3495297805642679</v>
      </c>
    </row>
    <row r="13" spans="1:38" x14ac:dyDescent="0.3">
      <c r="A13" s="3" cm="1">
        <f t="array" ref="A13">SUMPRODUCT((P13&lt;=$P$6:$P$20)/COUNTIF($P$6:$P$20,$P$6:$P$20))</f>
        <v>9</v>
      </c>
      <c r="B13" s="9" t="s">
        <v>473</v>
      </c>
      <c r="C13" s="9">
        <f>COUNTIFS(managers,$C$2,opponent,B13,outcome,"W")</f>
        <v>1</v>
      </c>
      <c r="D13" s="9">
        <f>COUNTIFS(managers,$C$2,opponent,B13,outcome,"L")</f>
        <v>1</v>
      </c>
      <c r="E13" s="9">
        <f>COUNTIFS(managers,$C$2,opponent,B13,outcome,"T")</f>
        <v>0</v>
      </c>
      <c r="F13" s="10">
        <f>IFERROR((C13+(0.5*E13))/SUM(C13:E13),"")</f>
        <v>0.5</v>
      </c>
      <c r="G13" s="11">
        <f>SUMIFS(diff,managers,$C$2,opponent,B13)</f>
        <v>-26</v>
      </c>
      <c r="H13" s="104">
        <f>SUMIFS(points,managers,$C$2,opponent,B13)</f>
        <v>212</v>
      </c>
      <c r="I13" s="6">
        <f>COUNTIFS('Playoff Data'!B:B,'Owner View'!$C$2,'Playoff Data'!C:C,'Owner View'!B13,'Playoff Data'!H:H,"W")</f>
        <v>0</v>
      </c>
      <c r="J13" s="6">
        <f>COUNTIFS('Playoff Data'!B:B,'Owner View'!$C$2,'Playoff Data'!C:C,'Owner View'!B13,'Playoff Data'!H:H,"L")</f>
        <v>0</v>
      </c>
      <c r="K13" s="6">
        <f>COUNTIFS('Playoff Data'!B:B,'Owner View'!$C$2,'Playoff Data'!C:C,'Owner View'!B13,'Playoff Data'!H:H,"T")</f>
        <v>0</v>
      </c>
      <c r="L13" s="108" t="str">
        <f>IFERROR((I13+(0.5*K13))/SUM(I13:K13),"")</f>
        <v/>
      </c>
      <c r="M13" s="6">
        <f t="shared" ref="M13:O14" si="14">C13+I13</f>
        <v>1</v>
      </c>
      <c r="N13" s="6">
        <f t="shared" si="14"/>
        <v>1</v>
      </c>
      <c r="O13" s="6">
        <f t="shared" si="14"/>
        <v>0</v>
      </c>
      <c r="P13" s="10">
        <f>IFERROR((M13+(0.5*O13))/SUM(M13:O13),"")</f>
        <v>0.5</v>
      </c>
      <c r="S13" s="159">
        <v>8</v>
      </c>
      <c r="T13" s="118" t="s">
        <v>27</v>
      </c>
      <c r="U13" s="172" t="s">
        <v>473</v>
      </c>
      <c r="V13" s="151" t="str">
        <f>IFERROR(AVERAGEIFS(points,managers,'Owner View'!T13,opponent,'Owner View'!U13,outcome,"W"),"")</f>
        <v/>
      </c>
      <c r="W13" s="152" t="str">
        <f>IFERROR(V13-VLOOKUP(T13,'SFFL Main Page'!$B$4:$L$20,9,FALSE),"")</f>
        <v/>
      </c>
      <c r="X13" s="153">
        <f>IFERROR(COUNTIFS(managers,'Owner View'!T13,opponent,'Owner View'!U13,outcome,"W"),"")</f>
        <v>0</v>
      </c>
      <c r="Y13" s="151" t="str">
        <f>IFERROR(AVERAGEIFS(points,managers,'Owner View'!T13,opponent,'Owner View'!U13,outcome,"L"),"")</f>
        <v/>
      </c>
      <c r="Z13" s="152" t="str">
        <f>IFERROR(Y13-VLOOKUP(T13,'SFFL Main Page'!$B$4:$L$20,10,FALSE),"")</f>
        <v/>
      </c>
      <c r="AA13" s="153">
        <f>IFERROR(COUNTIFS(managers,'Owner View'!T13,opponent,'Owner View'!U13,outcome,"L"),"")</f>
        <v>0</v>
      </c>
      <c r="AB13" s="166" t="str">
        <f t="shared" si="13"/>
        <v/>
      </c>
      <c r="AC13" s="152" t="str">
        <f>IFERROR(AB13-VLOOKUP(T13,'SFFL Main Page'!$B$4:$L$20,8,FALSE),"")</f>
        <v/>
      </c>
      <c r="AD13" s="151" t="str">
        <f>IFERROR(AVERAGEIFS(points,managers,'Owner View'!U13,opponent,'Owner View'!T13,outcome,"W"),"")</f>
        <v/>
      </c>
      <c r="AE13" s="152" t="str">
        <f>IFERROR(AD13-VLOOKUP(U13,'SFFL Main Page'!$B$4:$L$20,9,FALSE),"")</f>
        <v/>
      </c>
      <c r="AF13" s="153">
        <f>IFERROR(COUNTIFS(managers,'Owner View'!U13,opponent,'Owner View'!T13,outcome,"W"),"")</f>
        <v>0</v>
      </c>
      <c r="AG13" s="151" t="str">
        <f>IFERROR(AVERAGEIFS(points,managers,'Owner View'!U13,opponent,'Owner View'!T13,outcome,"L"),"")</f>
        <v/>
      </c>
      <c r="AH13" s="152" t="str">
        <f>IFERROR(AG13-VLOOKUP(U13,'SFFL Main Page'!$B$4:$L$20,10,FALSE),"")</f>
        <v/>
      </c>
      <c r="AI13" s="153">
        <f>IFERROR(COUNTIFS(managers,'Owner View'!U13,opponent,'Owner View'!T13,outcome,"L"),"")</f>
        <v>0</v>
      </c>
      <c r="AJ13" s="151" t="str">
        <f t="shared" ref="AJ13:AJ76" si="15">IFERROR(((AD13*AF13)+(AG13*AI13))/SUM(AF13,AI13),"")</f>
        <v/>
      </c>
      <c r="AK13" s="169" t="str">
        <f>IFERROR(AJ13-VLOOKUP(U13,'SFFL Main Page'!$B$4:$L$20,8,FALSE),"")</f>
        <v/>
      </c>
      <c r="AL13" s="152" t="str">
        <f t="shared" ref="AL13:AL76" si="16">IFERROR(AC13-AK13,"")</f>
        <v/>
      </c>
    </row>
    <row r="14" spans="1:38" x14ac:dyDescent="0.3">
      <c r="A14" s="3" cm="1">
        <f t="array" ref="A14">SUMPRODUCT((P14&lt;=$P$6:$P$20)/COUNTIF($P$6:$P$20,$P$6:$P$20))</f>
        <v>9</v>
      </c>
      <c r="B14" s="9" t="s">
        <v>472</v>
      </c>
      <c r="C14" s="9">
        <f>COUNTIFS(managers,$C$2,opponent,B14,outcome,"W")</f>
        <v>1</v>
      </c>
      <c r="D14" s="9">
        <f>COUNTIFS(managers,$C$2,opponent,B14,outcome,"L")</f>
        <v>1</v>
      </c>
      <c r="E14" s="9">
        <f>COUNTIFS(managers,$C$2,opponent,B14,outcome,"T")</f>
        <v>0</v>
      </c>
      <c r="F14" s="10">
        <f>IFERROR((C14+(0.5*E14))/SUM(C14:E14),"")</f>
        <v>0.5</v>
      </c>
      <c r="G14" s="11">
        <f>SUMIFS(diff,managers,$C$2,opponent,B14)</f>
        <v>-16</v>
      </c>
      <c r="H14" s="104">
        <f>SUMIFS(points,managers,$C$2,opponent,B14)</f>
        <v>208</v>
      </c>
      <c r="I14" s="6">
        <f>COUNTIFS('Playoff Data'!B:B,'Owner View'!$C$2,'Playoff Data'!C:C,'Owner View'!B14,'Playoff Data'!H:H,"W")</f>
        <v>0</v>
      </c>
      <c r="J14" s="6">
        <f>COUNTIFS('Playoff Data'!B:B,'Owner View'!$C$2,'Playoff Data'!C:C,'Owner View'!B14,'Playoff Data'!H:H,"L")</f>
        <v>0</v>
      </c>
      <c r="K14" s="6">
        <f>COUNTIFS('Playoff Data'!B:B,'Owner View'!$C$2,'Playoff Data'!C:C,'Owner View'!B14,'Playoff Data'!H:H,"T")</f>
        <v>0</v>
      </c>
      <c r="L14" s="108" t="str">
        <f>IFERROR((I14+(0.5*K14))/SUM(I14:K14),"")</f>
        <v/>
      </c>
      <c r="M14" s="6">
        <f t="shared" si="14"/>
        <v>1</v>
      </c>
      <c r="N14" s="6">
        <f t="shared" si="14"/>
        <v>1</v>
      </c>
      <c r="O14" s="6">
        <f t="shared" si="14"/>
        <v>0</v>
      </c>
      <c r="P14" s="10">
        <f>IFERROR((M14+(0.5*O14))/SUM(M14:O14),"")</f>
        <v>0.5</v>
      </c>
      <c r="S14" s="159">
        <v>9</v>
      </c>
      <c r="T14" s="118" t="s">
        <v>27</v>
      </c>
      <c r="U14" s="172" t="s">
        <v>472</v>
      </c>
      <c r="V14" s="151" t="str">
        <f>IFERROR(AVERAGEIFS(points,managers,'Owner View'!T14,opponent,'Owner View'!U14,outcome,"W"),"")</f>
        <v/>
      </c>
      <c r="W14" s="152" t="str">
        <f>IFERROR(V14-VLOOKUP(T14,'SFFL Main Page'!$B$4:$L$20,9,FALSE),"")</f>
        <v/>
      </c>
      <c r="X14" s="153">
        <f>IFERROR(COUNTIFS(managers,'Owner View'!T14,opponent,'Owner View'!U14,outcome,"W"),"")</f>
        <v>0</v>
      </c>
      <c r="Y14" s="151" t="str">
        <f>IFERROR(AVERAGEIFS(points,managers,'Owner View'!T14,opponent,'Owner View'!U14,outcome,"L"),"")</f>
        <v/>
      </c>
      <c r="Z14" s="152" t="str">
        <f>IFERROR(Y14-VLOOKUP(T14,'SFFL Main Page'!$B$4:$L$20,10,FALSE),"")</f>
        <v/>
      </c>
      <c r="AA14" s="153">
        <f>IFERROR(COUNTIFS(managers,'Owner View'!T14,opponent,'Owner View'!U14,outcome,"L"),"")</f>
        <v>0</v>
      </c>
      <c r="AB14" s="166" t="str">
        <f t="shared" si="13"/>
        <v/>
      </c>
      <c r="AC14" s="152" t="str">
        <f>IFERROR(AB14-VLOOKUP(T14,'SFFL Main Page'!$B$4:$L$20,8,FALSE),"")</f>
        <v/>
      </c>
      <c r="AD14" s="151" t="str">
        <f>IFERROR(AVERAGEIFS(points,managers,'Owner View'!U14,opponent,'Owner View'!T14,outcome,"W"),"")</f>
        <v/>
      </c>
      <c r="AE14" s="152" t="str">
        <f>IFERROR(AD14-VLOOKUP(U14,'SFFL Main Page'!$B$4:$L$20,9,FALSE),"")</f>
        <v/>
      </c>
      <c r="AF14" s="153">
        <f>IFERROR(COUNTIFS(managers,'Owner View'!U14,opponent,'Owner View'!T14,outcome,"W"),"")</f>
        <v>0</v>
      </c>
      <c r="AG14" s="151" t="str">
        <f>IFERROR(AVERAGEIFS(points,managers,'Owner View'!U14,opponent,'Owner View'!T14,outcome,"L"),"")</f>
        <v/>
      </c>
      <c r="AH14" s="152" t="str">
        <f>IFERROR(AG14-VLOOKUP(U14,'SFFL Main Page'!$B$4:$L$20,10,FALSE),"")</f>
        <v/>
      </c>
      <c r="AI14" s="153">
        <f>IFERROR(COUNTIFS(managers,'Owner View'!U14,opponent,'Owner View'!T14,outcome,"L"),"")</f>
        <v>0</v>
      </c>
      <c r="AJ14" s="151" t="str">
        <f t="shared" si="15"/>
        <v/>
      </c>
      <c r="AK14" s="169" t="str">
        <f>IFERROR(AJ14-VLOOKUP(U14,'SFFL Main Page'!$B$4:$L$20,8,FALSE),"")</f>
        <v/>
      </c>
      <c r="AL14" s="152" t="str">
        <f t="shared" si="16"/>
        <v/>
      </c>
    </row>
    <row r="15" spans="1:38" x14ac:dyDescent="0.3">
      <c r="A15" s="3" cm="1">
        <f t="array" ref="A15">SUMPRODUCT((P15&lt;=$P$6:$P$20)/COUNTIF($P$6:$P$20,$P$6:$P$20))</f>
        <v>3</v>
      </c>
      <c r="B15" s="9" t="s">
        <v>43</v>
      </c>
      <c r="C15" s="9">
        <f t="shared" si="0"/>
        <v>10</v>
      </c>
      <c r="D15" s="9">
        <f t="shared" si="1"/>
        <v>4</v>
      </c>
      <c r="E15" s="9">
        <f t="shared" si="2"/>
        <v>0</v>
      </c>
      <c r="F15" s="10">
        <f t="shared" si="10"/>
        <v>0.7142857142857143</v>
      </c>
      <c r="G15" s="11">
        <f t="shared" si="3"/>
        <v>80</v>
      </c>
      <c r="H15" s="104">
        <f t="shared" si="4"/>
        <v>1229</v>
      </c>
      <c r="I15" s="6">
        <f>COUNTIFS('Playoff Data'!B:B,'Owner View'!$C$2,'Playoff Data'!C:C,'Owner View'!B15,'Playoff Data'!H:H,"W")</f>
        <v>0</v>
      </c>
      <c r="J15" s="6">
        <f>COUNTIFS('Playoff Data'!B:B,'Owner View'!$C$2,'Playoff Data'!C:C,'Owner View'!B15,'Playoff Data'!H:H,"L")</f>
        <v>0</v>
      </c>
      <c r="K15" s="6">
        <f>COUNTIFS('Playoff Data'!B:B,'Owner View'!$C$2,'Playoff Data'!C:C,'Owner View'!B15,'Playoff Data'!H:H,"T")</f>
        <v>0</v>
      </c>
      <c r="L15" s="108" t="str">
        <f t="shared" si="11"/>
        <v/>
      </c>
      <c r="M15" s="6">
        <f t="shared" si="5"/>
        <v>10</v>
      </c>
      <c r="N15" s="6">
        <f t="shared" si="6"/>
        <v>4</v>
      </c>
      <c r="O15" s="6">
        <f t="shared" si="7"/>
        <v>0</v>
      </c>
      <c r="P15" s="10">
        <f t="shared" si="12"/>
        <v>0.7142857142857143</v>
      </c>
      <c r="S15" s="159">
        <v>10</v>
      </c>
      <c r="T15" s="118" t="s">
        <v>27</v>
      </c>
      <c r="U15" s="172" t="s">
        <v>22</v>
      </c>
      <c r="V15" s="151">
        <f>IFERROR(AVERAGEIFS(points,managers,'Owner View'!T15,opponent,'Owner View'!U15,outcome,"W"),"")</f>
        <v>95.333333333333329</v>
      </c>
      <c r="W15" s="152">
        <f>IFERROR(V15-VLOOKUP(T15,'SFFL Main Page'!$B$4:$L$20,9,FALSE),"")</f>
        <v>-0.15602836879432402</v>
      </c>
      <c r="X15" s="153">
        <f>IFERROR(COUNTIFS(managers,'Owner View'!T15,opponent,'Owner View'!U15,outcome,"W"),"")</f>
        <v>6</v>
      </c>
      <c r="Y15" s="151">
        <f>IFERROR(AVERAGEIFS(points,managers,'Owner View'!T15,opponent,'Owner View'!U15,outcome,"L"),"")</f>
        <v>65.666666666666671</v>
      </c>
      <c r="Z15" s="152">
        <f>IFERROR(Y15-VLOOKUP(T15,'SFFL Main Page'!$B$4:$L$20,10,FALSE),"")</f>
        <v>-4.298245614035082</v>
      </c>
      <c r="AA15" s="153">
        <f>IFERROR(COUNTIFS(managers,'Owner View'!T15,opponent,'Owner View'!U15,outcome,"L"),"")</f>
        <v>3</v>
      </c>
      <c r="AB15" s="166">
        <f t="shared" si="13"/>
        <v>85.444444444444443</v>
      </c>
      <c r="AC15" s="152">
        <f>IFERROR(AB15-VLOOKUP(T15,'SFFL Main Page'!$B$4:$L$20,8,FALSE),"")</f>
        <v>3.9444444444444429</v>
      </c>
      <c r="AD15" s="151">
        <f>IFERROR(AVERAGEIFS(points,managers,'Owner View'!U15,opponent,'Owner View'!T15,outcome,"W"),"")</f>
        <v>93.666666666666671</v>
      </c>
      <c r="AE15" s="152">
        <f>IFERROR(AD15-VLOOKUP(U15,'SFFL Main Page'!$B$4:$L$20,9,FALSE),"")</f>
        <v>-8.7136150234741763</v>
      </c>
      <c r="AF15" s="153">
        <f>IFERROR(COUNTIFS(managers,'Owner View'!U15,opponent,'Owner View'!T15,outcome,"W"),"")</f>
        <v>3</v>
      </c>
      <c r="AG15" s="151">
        <f>IFERROR(AVERAGEIFS(points,managers,'Owner View'!U15,opponent,'Owner View'!T15,outcome,"L"),"")</f>
        <v>64.166666666666671</v>
      </c>
      <c r="AH15" s="152">
        <f>IFERROR(AG15-VLOOKUP(U15,'SFFL Main Page'!$B$4:$L$20,10,FALSE),"")</f>
        <v>-15.784313725490193</v>
      </c>
      <c r="AI15" s="153">
        <f>IFERROR(COUNTIFS(managers,'Owner View'!U15,opponent,'Owner View'!T15,outcome,"L"),"")</f>
        <v>6</v>
      </c>
      <c r="AJ15" s="151">
        <f t="shared" si="15"/>
        <v>74</v>
      </c>
      <c r="AK15" s="169">
        <f>IFERROR(AJ15-VLOOKUP(U15,'SFFL Main Page'!$B$4:$L$20,8,FALSE),"")</f>
        <v>-15.160919540229884</v>
      </c>
      <c r="AL15" s="152">
        <f t="shared" si="16"/>
        <v>19.105363984674327</v>
      </c>
    </row>
    <row r="16" spans="1:38" x14ac:dyDescent="0.3">
      <c r="A16" s="3" cm="1">
        <f t="array" ref="A16">SUMPRODUCT((P16&lt;=$P$6:$P$20)/COUNTIF($P$6:$P$20,$P$6:$P$20))</f>
        <v>4</v>
      </c>
      <c r="B16" s="9" t="s">
        <v>22</v>
      </c>
      <c r="C16" s="9">
        <f t="shared" si="0"/>
        <v>10</v>
      </c>
      <c r="D16" s="9">
        <f t="shared" si="1"/>
        <v>5</v>
      </c>
      <c r="E16" s="9">
        <f t="shared" si="2"/>
        <v>0</v>
      </c>
      <c r="F16" s="10">
        <f t="shared" si="10"/>
        <v>0.66666666666666663</v>
      </c>
      <c r="G16" s="11">
        <f t="shared" si="3"/>
        <v>174</v>
      </c>
      <c r="H16" s="104">
        <f t="shared" si="4"/>
        <v>1503</v>
      </c>
      <c r="I16" s="6">
        <f>COUNTIFS('Playoff Data'!B:B,'Owner View'!$C$2,'Playoff Data'!C:C,'Owner View'!B16,'Playoff Data'!H:H,"W")</f>
        <v>0</v>
      </c>
      <c r="J16" s="6">
        <f>COUNTIFS('Playoff Data'!B:B,'Owner View'!$C$2,'Playoff Data'!C:C,'Owner View'!B16,'Playoff Data'!H:H,"L")</f>
        <v>0</v>
      </c>
      <c r="K16" s="6">
        <f>COUNTIFS('Playoff Data'!B:B,'Owner View'!$C$2,'Playoff Data'!C:C,'Owner View'!B16,'Playoff Data'!H:H,"T")</f>
        <v>0</v>
      </c>
      <c r="L16" s="108" t="str">
        <f t="shared" si="11"/>
        <v/>
      </c>
      <c r="M16" s="6">
        <f t="shared" si="5"/>
        <v>10</v>
      </c>
      <c r="N16" s="6">
        <f t="shared" si="6"/>
        <v>5</v>
      </c>
      <c r="O16" s="6">
        <f t="shared" si="7"/>
        <v>0</v>
      </c>
      <c r="P16" s="10">
        <f t="shared" si="12"/>
        <v>0.66666666666666663</v>
      </c>
      <c r="S16" s="159">
        <v>11</v>
      </c>
      <c r="T16" s="118" t="s">
        <v>27</v>
      </c>
      <c r="U16" s="172" t="s">
        <v>30</v>
      </c>
      <c r="V16" s="151">
        <f>IFERROR(AVERAGEIFS(points,managers,'Owner View'!T16,opponent,'Owner View'!U16,outcome,"W"),"")</f>
        <v>98.8</v>
      </c>
      <c r="W16" s="152">
        <f>IFERROR(V16-VLOOKUP(T16,'SFFL Main Page'!$B$4:$L$20,9,FALSE),"")</f>
        <v>3.3106382978723445</v>
      </c>
      <c r="X16" s="153">
        <f>IFERROR(COUNTIFS(managers,'Owner View'!T16,opponent,'Owner View'!U16,outcome,"W"),"")</f>
        <v>5</v>
      </c>
      <c r="Y16" s="151">
        <f>IFERROR(AVERAGEIFS(points,managers,'Owner View'!T16,opponent,'Owner View'!U16,outcome,"L"),"")</f>
        <v>77.333333333333329</v>
      </c>
      <c r="Z16" s="152">
        <f>IFERROR(Y16-VLOOKUP(T16,'SFFL Main Page'!$B$4:$L$20,10,FALSE),"")</f>
        <v>7.3684210526315752</v>
      </c>
      <c r="AA16" s="153">
        <f>IFERROR(COUNTIFS(managers,'Owner View'!T16,opponent,'Owner View'!U16,outcome,"L"),"")</f>
        <v>9</v>
      </c>
      <c r="AB16" s="166">
        <f t="shared" si="13"/>
        <v>85</v>
      </c>
      <c r="AC16" s="152">
        <f>IFERROR(AB16-VLOOKUP(T16,'SFFL Main Page'!$B$4:$L$20,8,FALSE),"")</f>
        <v>3.5</v>
      </c>
      <c r="AD16" s="151">
        <f>IFERROR(AVERAGEIFS(points,managers,'Owner View'!U16,opponent,'Owner View'!T16,outcome,"W"),"")</f>
        <v>91.333333333333329</v>
      </c>
      <c r="AE16" s="152">
        <f>IFERROR(AD16-VLOOKUP(U16,'SFFL Main Page'!$B$4:$L$20,9,FALSE),"")</f>
        <v>-11.566666666666677</v>
      </c>
      <c r="AF16" s="153">
        <f>IFERROR(COUNTIFS(managers,'Owner View'!U16,opponent,'Owner View'!T16,outcome,"W"),"")</f>
        <v>9</v>
      </c>
      <c r="AG16" s="151">
        <f>IFERROR(AVERAGEIFS(points,managers,'Owner View'!U16,opponent,'Owner View'!T16,outcome,"L"),"")</f>
        <v>82.4</v>
      </c>
      <c r="AH16" s="152">
        <f>IFERROR(AG16-VLOOKUP(U16,'SFFL Main Page'!$B$4:$L$20,10,FALSE),"")</f>
        <v>0.46451612903226192</v>
      </c>
      <c r="AI16" s="153">
        <f>IFERROR(COUNTIFS(managers,'Owner View'!U16,opponent,'Owner View'!T16,outcome,"L"),"")</f>
        <v>5</v>
      </c>
      <c r="AJ16" s="151">
        <f t="shared" si="15"/>
        <v>88.142857142857139</v>
      </c>
      <c r="AK16" s="169">
        <f>IFERROR(AJ16-VLOOKUP(U16,'SFFL Main Page'!$B$4:$L$20,8,FALSE),"")</f>
        <v>-3.426108374384242</v>
      </c>
      <c r="AL16" s="152">
        <f t="shared" si="16"/>
        <v>6.926108374384242</v>
      </c>
    </row>
    <row r="17" spans="1:38" x14ac:dyDescent="0.3">
      <c r="A17" s="3" cm="1">
        <f t="array" ref="A17">SUMPRODUCT((P17&lt;=$P$6:$P$20)/COUNTIF($P$6:$P$20,$P$6:$P$20))</f>
        <v>6</v>
      </c>
      <c r="B17" s="9" t="s">
        <v>30</v>
      </c>
      <c r="C17" s="9">
        <f t="shared" si="0"/>
        <v>9</v>
      </c>
      <c r="D17" s="9">
        <f t="shared" si="1"/>
        <v>6</v>
      </c>
      <c r="E17" s="9">
        <f t="shared" si="2"/>
        <v>0</v>
      </c>
      <c r="F17" s="10">
        <f t="shared" si="10"/>
        <v>0.6</v>
      </c>
      <c r="G17" s="11">
        <f t="shared" si="3"/>
        <v>35</v>
      </c>
      <c r="H17" s="104">
        <f t="shared" si="4"/>
        <v>1400</v>
      </c>
      <c r="I17" s="6">
        <f>COUNTIFS('Playoff Data'!B:B,'Owner View'!$C$2,'Playoff Data'!C:C,'Owner View'!B17,'Playoff Data'!H:H,"W")</f>
        <v>1</v>
      </c>
      <c r="J17" s="6">
        <f>COUNTIFS('Playoff Data'!B:B,'Owner View'!$C$2,'Playoff Data'!C:C,'Owner View'!B17,'Playoff Data'!H:H,"L")</f>
        <v>1</v>
      </c>
      <c r="K17" s="6">
        <f>COUNTIFS('Playoff Data'!B:B,'Owner View'!$C$2,'Playoff Data'!C:C,'Owner View'!B17,'Playoff Data'!H:H,"T")</f>
        <v>0</v>
      </c>
      <c r="L17" s="108">
        <f t="shared" si="11"/>
        <v>0.5</v>
      </c>
      <c r="M17" s="6">
        <f t="shared" si="5"/>
        <v>10</v>
      </c>
      <c r="N17" s="6">
        <f t="shared" si="6"/>
        <v>7</v>
      </c>
      <c r="O17" s="6">
        <f t="shared" si="7"/>
        <v>0</v>
      </c>
      <c r="P17" s="10">
        <f t="shared" si="12"/>
        <v>0.58823529411764708</v>
      </c>
      <c r="S17" s="159">
        <v>12</v>
      </c>
      <c r="T17" s="118" t="s">
        <v>27</v>
      </c>
      <c r="U17" s="172" t="s">
        <v>23</v>
      </c>
      <c r="V17" s="151">
        <f>IFERROR(AVERAGEIFS(points,managers,'Owner View'!T17,opponent,'Owner View'!U17,outcome,"W"),"")</f>
        <v>107.75</v>
      </c>
      <c r="W17" s="152">
        <f>IFERROR(V17-VLOOKUP(T17,'SFFL Main Page'!$B$4:$L$20,9,FALSE),"")</f>
        <v>12.260638297872347</v>
      </c>
      <c r="X17" s="153">
        <f>IFERROR(COUNTIFS(managers,'Owner View'!T17,opponent,'Owner View'!U17,outcome,"W"),"")</f>
        <v>4</v>
      </c>
      <c r="Y17" s="151">
        <f>IFERROR(AVERAGEIFS(points,managers,'Owner View'!T17,opponent,'Owner View'!U17,outcome,"L"),"")</f>
        <v>72.714285714285708</v>
      </c>
      <c r="Z17" s="152">
        <f>IFERROR(Y17-VLOOKUP(T17,'SFFL Main Page'!$B$4:$L$20,10,FALSE),"")</f>
        <v>2.7493734335839548</v>
      </c>
      <c r="AA17" s="153">
        <f>IFERROR(COUNTIFS(managers,'Owner View'!T17,opponent,'Owner View'!U17,outcome,"L"),"")</f>
        <v>7</v>
      </c>
      <c r="AB17" s="166">
        <f t="shared" si="13"/>
        <v>85.454545454545453</v>
      </c>
      <c r="AC17" s="152">
        <f>IFERROR(AB17-VLOOKUP(T17,'SFFL Main Page'!$B$4:$L$20,8,FALSE),"")</f>
        <v>3.9545454545454533</v>
      </c>
      <c r="AD17" s="151">
        <f>IFERROR(AVERAGEIFS(points,managers,'Owner View'!U17,opponent,'Owner View'!T17,outcome,"W"),"")</f>
        <v>101.85714285714286</v>
      </c>
      <c r="AE17" s="152">
        <f>IFERROR(AD17-VLOOKUP(U17,'SFFL Main Page'!$B$4:$L$20,9,FALSE),"")</f>
        <v>-1.0683890577507498</v>
      </c>
      <c r="AF17" s="153">
        <f>IFERROR(COUNTIFS(managers,'Owner View'!U17,opponent,'Owner View'!T17,outcome,"W"),"")</f>
        <v>7</v>
      </c>
      <c r="AG17" s="151">
        <f>IFERROR(AVERAGEIFS(points,managers,'Owner View'!U17,opponent,'Owner View'!T17,outcome,"L"),"")</f>
        <v>68.75</v>
      </c>
      <c r="AH17" s="152">
        <f>IFERROR(AG17-VLOOKUP(U17,'SFFL Main Page'!$B$4:$L$20,10,FALSE),"")</f>
        <v>-11.882911392405063</v>
      </c>
      <c r="AI17" s="153">
        <f>IFERROR(COUNTIFS(managers,'Owner View'!U17,opponent,'Owner View'!T17,outcome,"L"),"")</f>
        <v>4</v>
      </c>
      <c r="AJ17" s="151">
        <f t="shared" si="15"/>
        <v>89.818181818181813</v>
      </c>
      <c r="AK17" s="169">
        <f>IFERROR(AJ17-VLOOKUP(U17,'SFFL Main Page'!$B$4:$L$20,8,FALSE),"")</f>
        <v>-3.0208986415883032</v>
      </c>
      <c r="AL17" s="152">
        <f t="shared" si="16"/>
        <v>6.9754440961337565</v>
      </c>
    </row>
    <row r="18" spans="1:38" x14ac:dyDescent="0.3">
      <c r="A18" s="3" cm="1">
        <f t="array" ref="A18">SUMPRODUCT((P18&lt;=$P$6:$P$20)/COUNTIF($P$6:$P$20,$P$6:$P$20))</f>
        <v>1</v>
      </c>
      <c r="B18" s="9" t="s">
        <v>23</v>
      </c>
      <c r="C18" s="9">
        <f t="shared" si="0"/>
        <v>0</v>
      </c>
      <c r="D18" s="9">
        <f t="shared" si="1"/>
        <v>0</v>
      </c>
      <c r="E18" s="9">
        <f t="shared" si="2"/>
        <v>0</v>
      </c>
      <c r="F18" s="10" t="str">
        <f t="shared" si="10"/>
        <v/>
      </c>
      <c r="G18" s="11">
        <f t="shared" si="3"/>
        <v>0</v>
      </c>
      <c r="H18" s="104">
        <f t="shared" si="4"/>
        <v>0</v>
      </c>
      <c r="I18" s="6">
        <f>COUNTIFS('Playoff Data'!B:B,'Owner View'!$C$2,'Playoff Data'!C:C,'Owner View'!B18,'Playoff Data'!H:H,"W")</f>
        <v>0</v>
      </c>
      <c r="J18" s="6">
        <f>COUNTIFS('Playoff Data'!B:B,'Owner View'!$C$2,'Playoff Data'!C:C,'Owner View'!B18,'Playoff Data'!H:H,"L")</f>
        <v>0</v>
      </c>
      <c r="K18" s="6">
        <f>COUNTIFS('Playoff Data'!B:B,'Owner View'!$C$2,'Playoff Data'!C:C,'Owner View'!B18,'Playoff Data'!H:H,"T")</f>
        <v>0</v>
      </c>
      <c r="L18" s="108" t="str">
        <f t="shared" si="11"/>
        <v/>
      </c>
      <c r="M18" s="6">
        <f t="shared" si="5"/>
        <v>0</v>
      </c>
      <c r="N18" s="6">
        <f t="shared" si="6"/>
        <v>0</v>
      </c>
      <c r="O18" s="6">
        <f t="shared" si="7"/>
        <v>0</v>
      </c>
      <c r="P18" s="10" t="str">
        <f t="shared" si="12"/>
        <v/>
      </c>
      <c r="S18" s="159">
        <v>13</v>
      </c>
      <c r="T18" s="118" t="s">
        <v>27</v>
      </c>
      <c r="U18" s="172" t="s">
        <v>28</v>
      </c>
      <c r="V18" s="151">
        <f>IFERROR(AVERAGEIFS(points,managers,'Owner View'!T18,opponent,'Owner View'!U18,outcome,"W"),"")</f>
        <v>110.33333333333333</v>
      </c>
      <c r="W18" s="152">
        <f>IFERROR(V18-VLOOKUP(T18,'SFFL Main Page'!$B$4:$L$20,9,FALSE),"")</f>
        <v>14.843971631205676</v>
      </c>
      <c r="X18" s="153">
        <f>IFERROR(COUNTIFS(managers,'Owner View'!T18,opponent,'Owner View'!U18,outcome,"W"),"")</f>
        <v>3</v>
      </c>
      <c r="Y18" s="151">
        <f>IFERROR(AVERAGEIFS(points,managers,'Owner View'!T18,opponent,'Owner View'!U18,outcome,"L"),"")</f>
        <v>70.5</v>
      </c>
      <c r="Z18" s="152">
        <f>IFERROR(Y18-VLOOKUP(T18,'SFFL Main Page'!$B$4:$L$20,10,FALSE),"")</f>
        <v>0.53508771929824661</v>
      </c>
      <c r="AA18" s="153">
        <f>IFERROR(COUNTIFS(managers,'Owner View'!T18,opponent,'Owner View'!U18,outcome,"L"),"")</f>
        <v>6</v>
      </c>
      <c r="AB18" s="166">
        <f t="shared" si="13"/>
        <v>83.777777777777771</v>
      </c>
      <c r="AC18" s="152">
        <f>IFERROR(AB18-VLOOKUP(T18,'SFFL Main Page'!$B$4:$L$20,8,FALSE),"")</f>
        <v>2.2777777777777715</v>
      </c>
      <c r="AD18" s="151">
        <f>IFERROR(AVERAGEIFS(points,managers,'Owner View'!U18,opponent,'Owner View'!T18,outcome,"W"),"")</f>
        <v>103.66666666666667</v>
      </c>
      <c r="AE18" s="152">
        <f>IFERROR(AD18-VLOOKUP(U18,'SFFL Main Page'!$B$4:$L$20,9,FALSE),"")</f>
        <v>-2.6666666666666572</v>
      </c>
      <c r="AF18" s="153">
        <f>IFERROR(COUNTIFS(managers,'Owner View'!U18,opponent,'Owner View'!T18,outcome,"W"),"")</f>
        <v>6</v>
      </c>
      <c r="AG18" s="151">
        <f>IFERROR(AVERAGEIFS(points,managers,'Owner View'!U18,opponent,'Owner View'!T18,outcome,"L"),"")</f>
        <v>73</v>
      </c>
      <c r="AH18" s="152">
        <f>IFERROR(AG18-VLOOKUP(U18,'SFFL Main Page'!$B$4:$L$20,10,FALSE),"")</f>
        <v>-7.91463414634147</v>
      </c>
      <c r="AI18" s="153">
        <f>IFERROR(COUNTIFS(managers,'Owner View'!U18,opponent,'Owner View'!T18,outcome,"L"),"")</f>
        <v>3</v>
      </c>
      <c r="AJ18" s="151">
        <f t="shared" si="15"/>
        <v>93.444444444444443</v>
      </c>
      <c r="AK18" s="169">
        <f>IFERROR(AJ18-VLOOKUP(U18,'SFFL Main Page'!$B$4:$L$20,8,FALSE),"")</f>
        <v>-0.77969348659003401</v>
      </c>
      <c r="AL18" s="152">
        <f t="shared" si="16"/>
        <v>3.0574712643678055</v>
      </c>
    </row>
    <row r="19" spans="1:38" x14ac:dyDescent="0.3">
      <c r="A19" s="3" cm="1">
        <f t="array" ref="A19">SUMPRODUCT((P19&lt;=$P$6:$P$20)/COUNTIF($P$6:$P$20,$P$6:$P$20))</f>
        <v>8</v>
      </c>
      <c r="B19" s="9" t="s">
        <v>28</v>
      </c>
      <c r="C19" s="9">
        <f t="shared" si="0"/>
        <v>8</v>
      </c>
      <c r="D19" s="9">
        <f t="shared" si="1"/>
        <v>6</v>
      </c>
      <c r="E19" s="9">
        <f t="shared" si="2"/>
        <v>1</v>
      </c>
      <c r="F19" s="10">
        <f t="shared" si="10"/>
        <v>0.56666666666666665</v>
      </c>
      <c r="G19" s="11">
        <f t="shared" si="3"/>
        <v>19</v>
      </c>
      <c r="H19" s="104">
        <f t="shared" si="4"/>
        <v>1419</v>
      </c>
      <c r="I19" s="6">
        <f>COUNTIFS('Playoff Data'!B:B,'Owner View'!$C$2,'Playoff Data'!C:C,'Owner View'!B19,'Playoff Data'!H:H,"W")</f>
        <v>0</v>
      </c>
      <c r="J19" s="6">
        <f>COUNTIFS('Playoff Data'!B:B,'Owner View'!$C$2,'Playoff Data'!C:C,'Owner View'!B19,'Playoff Data'!H:H,"L")</f>
        <v>1</v>
      </c>
      <c r="K19" s="6">
        <f>COUNTIFS('Playoff Data'!B:B,'Owner View'!$C$2,'Playoff Data'!C:C,'Owner View'!B19,'Playoff Data'!H:H,"T")</f>
        <v>0</v>
      </c>
      <c r="L19" s="108">
        <f t="shared" si="11"/>
        <v>0</v>
      </c>
      <c r="M19" s="6">
        <f t="shared" si="5"/>
        <v>8</v>
      </c>
      <c r="N19" s="6">
        <f t="shared" si="6"/>
        <v>7</v>
      </c>
      <c r="O19" s="6">
        <f t="shared" si="7"/>
        <v>1</v>
      </c>
      <c r="P19" s="10">
        <f t="shared" si="12"/>
        <v>0.53125</v>
      </c>
      <c r="S19" s="159">
        <v>14</v>
      </c>
      <c r="T19" s="118" t="s">
        <v>27</v>
      </c>
      <c r="U19" s="172" t="s">
        <v>24</v>
      </c>
      <c r="V19" s="151">
        <f>IFERROR(AVERAGEIFS(points,managers,'Owner View'!T19,opponent,'Owner View'!U19,outcome,"W"),"")</f>
        <v>95</v>
      </c>
      <c r="W19" s="152">
        <f>IFERROR(V19-VLOOKUP(T19,'SFFL Main Page'!$B$4:$L$20,9,FALSE),"")</f>
        <v>-0.48936170212765262</v>
      </c>
      <c r="X19" s="153">
        <f>IFERROR(COUNTIFS(managers,'Owner View'!T19,opponent,'Owner View'!U19,outcome,"W"),"")</f>
        <v>4</v>
      </c>
      <c r="Y19" s="151">
        <f>IFERROR(AVERAGEIFS(points,managers,'Owner View'!T19,opponent,'Owner View'!U19,outcome,"L"),"")</f>
        <v>66.285714285714292</v>
      </c>
      <c r="Z19" s="152">
        <f>IFERROR(Y19-VLOOKUP(T19,'SFFL Main Page'!$B$4:$L$20,10,FALSE),"")</f>
        <v>-3.6791979949874616</v>
      </c>
      <c r="AA19" s="153">
        <f>IFERROR(COUNTIFS(managers,'Owner View'!T19,opponent,'Owner View'!U19,outcome,"L"),"")</f>
        <v>7</v>
      </c>
      <c r="AB19" s="166">
        <f t="shared" si="13"/>
        <v>76.727272727272734</v>
      </c>
      <c r="AC19" s="152">
        <f>IFERROR(AB19-VLOOKUP(T19,'SFFL Main Page'!$B$4:$L$20,8,FALSE),"")</f>
        <v>-4.7727272727272663</v>
      </c>
      <c r="AD19" s="151">
        <f>IFERROR(AVERAGEIFS(points,managers,'Owner View'!U19,opponent,'Owner View'!T19,outcome,"W"),"")</f>
        <v>101.71428571428571</v>
      </c>
      <c r="AE19" s="152">
        <f>IFERROR(AD19-VLOOKUP(U19,'SFFL Main Page'!$B$4:$L$20,9,FALSE),"")</f>
        <v>-3.0447504302926092</v>
      </c>
      <c r="AF19" s="153">
        <f>IFERROR(COUNTIFS(managers,'Owner View'!U19,opponent,'Owner View'!T19,outcome,"W"),"")</f>
        <v>7</v>
      </c>
      <c r="AG19" s="151">
        <f>IFERROR(AVERAGEIFS(points,managers,'Owner View'!U19,opponent,'Owner View'!T19,outcome,"L"),"")</f>
        <v>77.25</v>
      </c>
      <c r="AH19" s="152">
        <f>IFERROR(AG19-VLOOKUP(U19,'SFFL Main Page'!$B$4:$L$20,10,FALSE),"")</f>
        <v>0.689560439560438</v>
      </c>
      <c r="AI19" s="153">
        <f>IFERROR(COUNTIFS(managers,'Owner View'!U19,opponent,'Owner View'!T19,outcome,"L"),"")</f>
        <v>4</v>
      </c>
      <c r="AJ19" s="151">
        <f t="shared" si="15"/>
        <v>92.818181818181813</v>
      </c>
      <c r="AK19" s="169">
        <f>IFERROR(AJ19-VLOOKUP(U19,'SFFL Main Page'!$B$4:$L$20,8,FALSE),"")</f>
        <v>2.8066875653082519</v>
      </c>
      <c r="AL19" s="152">
        <f t="shared" si="16"/>
        <v>-7.5794148380355182</v>
      </c>
    </row>
    <row r="20" spans="1:38" ht="15" thickBot="1" x14ac:dyDescent="0.35">
      <c r="A20" s="3" cm="1">
        <f t="array" ref="A20">SUMPRODUCT((P20&lt;=$P$6:$P$20)/COUNTIF($P$6:$P$20,$P$6:$P$20))</f>
        <v>7</v>
      </c>
      <c r="B20" s="95" t="s">
        <v>24</v>
      </c>
      <c r="C20" s="95">
        <f t="shared" si="0"/>
        <v>13</v>
      </c>
      <c r="D20" s="95">
        <f t="shared" si="1"/>
        <v>10</v>
      </c>
      <c r="E20" s="95">
        <f t="shared" si="2"/>
        <v>0</v>
      </c>
      <c r="F20" s="96">
        <f t="shared" si="10"/>
        <v>0.56521739130434778</v>
      </c>
      <c r="G20" s="97">
        <f t="shared" si="3"/>
        <v>204</v>
      </c>
      <c r="H20" s="105">
        <f t="shared" si="4"/>
        <v>2120</v>
      </c>
      <c r="I20" s="95">
        <f>COUNTIFS('Playoff Data'!B:B,'Owner View'!$C$2,'Playoff Data'!C:C,'Owner View'!B20,'Playoff Data'!H:H,"W")</f>
        <v>1</v>
      </c>
      <c r="J20" s="95">
        <f>COUNTIFS('Playoff Data'!B:B,'Owner View'!$C$2,'Playoff Data'!C:C,'Owner View'!B20,'Playoff Data'!H:H,"L")</f>
        <v>1</v>
      </c>
      <c r="K20" s="95">
        <f>COUNTIFS('Playoff Data'!B:B,'Owner View'!$C$2,'Playoff Data'!C:C,'Owner View'!B20,'Playoff Data'!H:H,"T")</f>
        <v>0</v>
      </c>
      <c r="L20" s="109">
        <f t="shared" si="11"/>
        <v>0.5</v>
      </c>
      <c r="M20" s="95">
        <f t="shared" si="5"/>
        <v>14</v>
      </c>
      <c r="N20" s="95">
        <f t="shared" si="6"/>
        <v>11</v>
      </c>
      <c r="O20" s="95">
        <f t="shared" si="7"/>
        <v>0</v>
      </c>
      <c r="P20" s="96">
        <f t="shared" si="12"/>
        <v>0.56000000000000005</v>
      </c>
      <c r="S20" s="159">
        <v>15</v>
      </c>
      <c r="T20" s="118" t="s">
        <v>227</v>
      </c>
      <c r="U20" s="172" t="s">
        <v>27</v>
      </c>
      <c r="V20" s="151" t="str">
        <f>IFERROR(AVERAGEIFS(points,managers,'Owner View'!T20,opponent,'Owner View'!U20,outcome,"W"),"")</f>
        <v/>
      </c>
      <c r="W20" s="152" t="str">
        <f>IFERROR(V20-VLOOKUP(T20,'SFFL Main Page'!$B$4:$L$20,9,FALSE),"")</f>
        <v/>
      </c>
      <c r="X20" s="153">
        <f>IFERROR(COUNTIFS(managers,'Owner View'!T20,opponent,'Owner View'!U20,outcome,"W"),"")</f>
        <v>0</v>
      </c>
      <c r="Y20" s="151" t="str">
        <f>IFERROR(AVERAGEIFS(points,managers,'Owner View'!T20,opponent,'Owner View'!U20,outcome,"L"),"")</f>
        <v/>
      </c>
      <c r="Z20" s="152" t="str">
        <f>IFERROR(Y20-VLOOKUP(T20,'SFFL Main Page'!$B$4:$L$20,10,FALSE),"")</f>
        <v/>
      </c>
      <c r="AA20" s="153">
        <f>IFERROR(COUNTIFS(managers,'Owner View'!T20,opponent,'Owner View'!U20,outcome,"L"),"")</f>
        <v>0</v>
      </c>
      <c r="AB20" s="166" t="str">
        <f t="shared" si="13"/>
        <v/>
      </c>
      <c r="AC20" s="152" t="str">
        <f>IFERROR(AB20-VLOOKUP(T20,'SFFL Main Page'!$B$4:$L$20,8,FALSE),"")</f>
        <v/>
      </c>
      <c r="AD20" s="151" t="str">
        <f>IFERROR(AVERAGEIFS(points,managers,'Owner View'!U20,opponent,'Owner View'!T20,outcome,"W"),"")</f>
        <v/>
      </c>
      <c r="AE20" s="152" t="str">
        <f>IFERROR(AD20-VLOOKUP(U20,'SFFL Main Page'!$B$4:$L$20,9,FALSE),"")</f>
        <v/>
      </c>
      <c r="AF20" s="153">
        <f>IFERROR(COUNTIFS(managers,'Owner View'!U20,opponent,'Owner View'!T20,outcome,"W"),"")</f>
        <v>0</v>
      </c>
      <c r="AG20" s="151" t="str">
        <f>IFERROR(AVERAGEIFS(points,managers,'Owner View'!U20,opponent,'Owner View'!T20,outcome,"L"),"")</f>
        <v/>
      </c>
      <c r="AH20" s="152" t="str">
        <f>IFERROR(AG20-VLOOKUP(U20,'SFFL Main Page'!$B$4:$L$20,10,FALSE),"")</f>
        <v/>
      </c>
      <c r="AI20" s="153">
        <f>IFERROR(COUNTIFS(managers,'Owner View'!U20,opponent,'Owner View'!T20,outcome,"L"),"")</f>
        <v>0</v>
      </c>
      <c r="AJ20" s="151" t="str">
        <f t="shared" si="15"/>
        <v/>
      </c>
      <c r="AK20" s="169" t="str">
        <f>IFERROR(AJ20-VLOOKUP(U20,'SFFL Main Page'!$B$4:$L$20,8,FALSE),"")</f>
        <v/>
      </c>
      <c r="AL20" s="152" t="str">
        <f t="shared" si="16"/>
        <v/>
      </c>
    </row>
    <row r="21" spans="1:38" ht="15" thickTop="1" x14ac:dyDescent="0.3">
      <c r="A21" s="3" t="str">
        <f>IFERROR(RANK(#REF!,$F$6:$F$20),"")</f>
        <v/>
      </c>
      <c r="B21" s="98" t="s">
        <v>41</v>
      </c>
      <c r="C21" s="98">
        <f>SUM(C6:C20)</f>
        <v>94</v>
      </c>
      <c r="D21" s="98">
        <f>SUM(D6:D20)</f>
        <v>79</v>
      </c>
      <c r="E21" s="98">
        <f>SUM(E6:E20)</f>
        <v>1</v>
      </c>
      <c r="F21" s="99">
        <f t="shared" si="10"/>
        <v>0.5431034482758621</v>
      </c>
      <c r="G21" s="100">
        <f>SUMIF(managers,$C$2,diff)</f>
        <v>278</v>
      </c>
      <c r="H21" s="98">
        <f>SUMIF(managers,C2,points)</f>
        <v>16154</v>
      </c>
      <c r="I21" s="98">
        <f>SUM(I6:I20)</f>
        <v>5</v>
      </c>
      <c r="J21" s="98">
        <f>SUM(J6:J20)</f>
        <v>6</v>
      </c>
      <c r="K21" s="98">
        <f>SUM(K6:K20)</f>
        <v>0</v>
      </c>
      <c r="L21" s="99">
        <f t="shared" si="11"/>
        <v>0.45454545454545453</v>
      </c>
      <c r="M21" s="98">
        <f>SUM(M6:M20)</f>
        <v>99</v>
      </c>
      <c r="N21" s="98">
        <f>SUM(N6:N20)</f>
        <v>85</v>
      </c>
      <c r="O21" s="98">
        <f>SUM(O6:O20)</f>
        <v>1</v>
      </c>
      <c r="P21" s="99">
        <f t="shared" si="12"/>
        <v>0.53783783783783778</v>
      </c>
      <c r="S21" s="159">
        <v>16</v>
      </c>
      <c r="T21" s="118" t="s">
        <v>227</v>
      </c>
      <c r="U21" s="172" t="s">
        <v>25</v>
      </c>
      <c r="V21" s="151">
        <f>IFERROR(AVERAGEIFS(points,managers,'Owner View'!T21,opponent,'Owner View'!U21,outcome,"W"),"")</f>
        <v>111</v>
      </c>
      <c r="W21" s="152">
        <f>IFERROR(V21-VLOOKUP(T21,'SFFL Main Page'!$B$4:$L$20,9,FALSE),"")</f>
        <v>2.3103448275862064</v>
      </c>
      <c r="X21" s="153">
        <f>IFERROR(COUNTIFS(managers,'Owner View'!T21,opponent,'Owner View'!U21,outcome,"W"),"")</f>
        <v>1</v>
      </c>
      <c r="Y21" s="151">
        <f>IFERROR(AVERAGEIFS(points,managers,'Owner View'!T21,opponent,'Owner View'!U21,outcome,"L"),"")</f>
        <v>79.25</v>
      </c>
      <c r="Z21" s="152">
        <f>IFERROR(Y21-VLOOKUP(T21,'SFFL Main Page'!$B$4:$L$20,10,FALSE),"")</f>
        <v>-2.33536585365853</v>
      </c>
      <c r="AA21" s="153">
        <f>IFERROR(COUNTIFS(managers,'Owner View'!T21,opponent,'Owner View'!U21,outcome,"L"),"")</f>
        <v>4</v>
      </c>
      <c r="AB21" s="166">
        <f t="shared" si="13"/>
        <v>85.6</v>
      </c>
      <c r="AC21" s="152">
        <f>IFERROR(AB21-VLOOKUP(T21,'SFFL Main Page'!$B$4:$L$20,8,FALSE),"")</f>
        <v>-7.2142857142857224</v>
      </c>
      <c r="AD21" s="151">
        <f>IFERROR(AVERAGEIFS(points,managers,'Owner View'!U21,opponent,'Owner View'!T21,outcome,"W"),"")</f>
        <v>100</v>
      </c>
      <c r="AE21" s="152">
        <f>IFERROR(AD21-VLOOKUP(U21,'SFFL Main Page'!$B$4:$L$20,9,FALSE),"")</f>
        <v>-1.7701149425287355</v>
      </c>
      <c r="AF21" s="153">
        <f>IFERROR(COUNTIFS(managers,'Owner View'!U21,opponent,'Owner View'!T21,outcome,"W"),"")</f>
        <v>4</v>
      </c>
      <c r="AG21" s="151">
        <f>IFERROR(AVERAGEIFS(points,managers,'Owner View'!U21,opponent,'Owner View'!T21,outcome,"L"),"")</f>
        <v>86</v>
      </c>
      <c r="AH21" s="152">
        <f>IFERROR(AG21-VLOOKUP(U21,'SFFL Main Page'!$B$4:$L$20,10,FALSE),"")</f>
        <v>8.0595238095238102</v>
      </c>
      <c r="AI21" s="153">
        <f>IFERROR(COUNTIFS(managers,'Owner View'!U21,opponent,'Owner View'!T21,outcome,"L"),"")</f>
        <v>1</v>
      </c>
      <c r="AJ21" s="151">
        <f t="shared" si="15"/>
        <v>97.2</v>
      </c>
      <c r="AK21" s="169">
        <f>IFERROR(AJ21-VLOOKUP(U21,'SFFL Main Page'!$B$4:$L$20,8,FALSE),"")</f>
        <v>7.2114942528735639</v>
      </c>
      <c r="AL21" s="152">
        <f t="shared" si="16"/>
        <v>-14.425779967159286</v>
      </c>
    </row>
    <row r="22" spans="1:38" x14ac:dyDescent="0.3">
      <c r="A22" s="3" t="str">
        <f>IFERROR(RANK(#REF!,$F$6:$F$20),"")</f>
        <v/>
      </c>
      <c r="H22" s="3"/>
      <c r="S22" s="159">
        <v>17</v>
      </c>
      <c r="T22" s="118" t="s">
        <v>227</v>
      </c>
      <c r="U22" s="172" t="s">
        <v>47</v>
      </c>
      <c r="V22" s="151">
        <f>IFERROR(AVERAGEIFS(points,managers,'Owner View'!T22,opponent,'Owner View'!U22,outcome,"W"),"")</f>
        <v>77</v>
      </c>
      <c r="W22" s="152">
        <f>IFERROR(V22-VLOOKUP(T22,'SFFL Main Page'!$B$4:$L$20,9,FALSE),"")</f>
        <v>-31.689655172413794</v>
      </c>
      <c r="X22" s="153">
        <f>IFERROR(COUNTIFS(managers,'Owner View'!T22,opponent,'Owner View'!U22,outcome,"W"),"")</f>
        <v>1</v>
      </c>
      <c r="Y22" s="151">
        <f>IFERROR(AVERAGEIFS(points,managers,'Owner View'!T22,opponent,'Owner View'!U22,outcome,"L"),"")</f>
        <v>82.6</v>
      </c>
      <c r="Z22" s="152">
        <f>IFERROR(Y22-VLOOKUP(T22,'SFFL Main Page'!$B$4:$L$20,10,FALSE),"")</f>
        <v>1.0146341463414643</v>
      </c>
      <c r="AA22" s="153">
        <f>IFERROR(COUNTIFS(managers,'Owner View'!T22,opponent,'Owner View'!U22,outcome,"L"),"")</f>
        <v>5</v>
      </c>
      <c r="AB22" s="166">
        <f t="shared" si="13"/>
        <v>81.666666666666671</v>
      </c>
      <c r="AC22" s="152">
        <f>IFERROR(AB22-VLOOKUP(T22,'SFFL Main Page'!$B$4:$L$20,8,FALSE),"")</f>
        <v>-11.147619047619045</v>
      </c>
      <c r="AD22" s="151">
        <f>IFERROR(AVERAGEIFS(points,managers,'Owner View'!U22,opponent,'Owner View'!T22,outcome,"W"),"")</f>
        <v>118.8</v>
      </c>
      <c r="AE22" s="152">
        <f>IFERROR(AD22-VLOOKUP(U22,'SFFL Main Page'!$B$4:$L$20,9,FALSE),"")</f>
        <v>13.442105263157899</v>
      </c>
      <c r="AF22" s="153">
        <f>IFERROR(COUNTIFS(managers,'Owner View'!U22,opponent,'Owner View'!T22,outcome,"W"),"")</f>
        <v>5</v>
      </c>
      <c r="AG22" s="151">
        <f>IFERROR(AVERAGEIFS(points,managers,'Owner View'!U22,opponent,'Owner View'!T22,outcome,"L"),"")</f>
        <v>66</v>
      </c>
      <c r="AH22" s="152">
        <f>IFERROR(AG22-VLOOKUP(U22,'SFFL Main Page'!$B$4:$L$20,10,FALSE),"")</f>
        <v>-17.57692307692308</v>
      </c>
      <c r="AI22" s="153">
        <f>IFERROR(COUNTIFS(managers,'Owner View'!U22,opponent,'Owner View'!T22,outcome,"L"),"")</f>
        <v>1</v>
      </c>
      <c r="AJ22" s="151">
        <f t="shared" si="15"/>
        <v>110</v>
      </c>
      <c r="AK22" s="169">
        <f>IFERROR(AJ22-VLOOKUP(U22,'SFFL Main Page'!$B$4:$L$20,8,FALSE),"")</f>
        <v>12.439189189189193</v>
      </c>
      <c r="AL22" s="152">
        <f t="shared" si="16"/>
        <v>-23.586808236808238</v>
      </c>
    </row>
    <row r="23" spans="1:38" x14ac:dyDescent="0.3">
      <c r="A23" s="3"/>
      <c r="B23" s="12" t="s">
        <v>44</v>
      </c>
      <c r="C23" s="17">
        <v>1</v>
      </c>
      <c r="D23" s="16" t="str" cm="1">
        <f t="array" ref="D23">_xlfn.TEXTJOIN(",",TRUE,IF((C23+1)=$A$6:$A$20,$B$6:$B$20,""))</f>
        <v>Arnold</v>
      </c>
      <c r="E23" s="16"/>
      <c r="F23" s="16"/>
      <c r="G23" s="16"/>
      <c r="H23" s="3"/>
      <c r="I23" s="3"/>
      <c r="S23" s="159">
        <v>18</v>
      </c>
      <c r="T23" s="118" t="s">
        <v>227</v>
      </c>
      <c r="U23" s="172" t="s">
        <v>26</v>
      </c>
      <c r="V23" s="151">
        <f>IFERROR(AVERAGEIFS(points,managers,'Owner View'!T23,opponent,'Owner View'!U23,outcome,"W"),"")</f>
        <v>115</v>
      </c>
      <c r="W23" s="152">
        <f>IFERROR(V23-VLOOKUP(T23,'SFFL Main Page'!$B$4:$L$20,9,FALSE),"")</f>
        <v>6.3103448275862064</v>
      </c>
      <c r="X23" s="153">
        <f>IFERROR(COUNTIFS(managers,'Owner View'!T23,opponent,'Owner View'!U23,outcome,"W"),"")</f>
        <v>2</v>
      </c>
      <c r="Y23" s="151">
        <f>IFERROR(AVERAGEIFS(points,managers,'Owner View'!T23,opponent,'Owner View'!U23,outcome,"L"),"")</f>
        <v>95.333333333333329</v>
      </c>
      <c r="Z23" s="152">
        <f>IFERROR(Y23-VLOOKUP(T23,'SFFL Main Page'!$B$4:$L$20,10,FALSE),"")</f>
        <v>13.747967479674799</v>
      </c>
      <c r="AA23" s="153">
        <f>IFERROR(COUNTIFS(managers,'Owner View'!T23,opponent,'Owner View'!U23,outcome,"L"),"")</f>
        <v>3</v>
      </c>
      <c r="AB23" s="166">
        <f t="shared" si="13"/>
        <v>103.2</v>
      </c>
      <c r="AC23" s="152">
        <f>IFERROR(AB23-VLOOKUP(T23,'SFFL Main Page'!$B$4:$L$20,8,FALSE),"")</f>
        <v>10.385714285714286</v>
      </c>
      <c r="AD23" s="151">
        <f>IFERROR(AVERAGEIFS(points,managers,'Owner View'!U23,opponent,'Owner View'!T23,outcome,"W"),"")</f>
        <v>125</v>
      </c>
      <c r="AE23" s="152">
        <f>IFERROR(AD23-VLOOKUP(U23,'SFFL Main Page'!$B$4:$L$20,9,FALSE),"")</f>
        <v>21.447916666666671</v>
      </c>
      <c r="AF23" s="153">
        <f>IFERROR(COUNTIFS(managers,'Owner View'!U23,opponent,'Owner View'!T23,outcome,"W"),"")</f>
        <v>3</v>
      </c>
      <c r="AG23" s="151">
        <f>IFERROR(AVERAGEIFS(points,managers,'Owner View'!U23,opponent,'Owner View'!T23,outcome,"L"),"")</f>
        <v>83</v>
      </c>
      <c r="AH23" s="152">
        <f>IFERROR(AG23-VLOOKUP(U23,'SFFL Main Page'!$B$4:$L$20,10,FALSE),"")</f>
        <v>5.4675324675324646</v>
      </c>
      <c r="AI23" s="153">
        <f>IFERROR(COUNTIFS(managers,'Owner View'!U23,opponent,'Owner View'!T23,outcome,"L"),"")</f>
        <v>2</v>
      </c>
      <c r="AJ23" s="151">
        <f t="shared" si="15"/>
        <v>108.2</v>
      </c>
      <c r="AK23" s="169">
        <f>IFERROR(AJ23-VLOOKUP(U23,'SFFL Main Page'!$B$4:$L$20,8,FALSE),"")</f>
        <v>16.217241379310352</v>
      </c>
      <c r="AL23" s="152">
        <f t="shared" si="16"/>
        <v>-5.8315270935960655</v>
      </c>
    </row>
    <row r="24" spans="1:38" x14ac:dyDescent="0.3">
      <c r="A24" s="3"/>
      <c r="C24" s="17">
        <v>2</v>
      </c>
      <c r="D24" s="16" t="str" cm="1">
        <f t="array" ref="D24">_xlfn.TEXTJOIN(",",TRUE,IF((C24+1)=$A$6:$A$20,$B$6:$B$20,""))</f>
        <v>Emily</v>
      </c>
      <c r="E24" s="16"/>
      <c r="F24" s="16"/>
      <c r="G24" s="16"/>
      <c r="H24" s="3"/>
      <c r="I24" s="3"/>
      <c r="S24" s="159">
        <v>19</v>
      </c>
      <c r="T24" s="118" t="s">
        <v>227</v>
      </c>
      <c r="U24" s="172" t="s">
        <v>48</v>
      </c>
      <c r="V24" s="151">
        <f>IFERROR(AVERAGEIFS(points,managers,'Owner View'!T24,opponent,'Owner View'!U24,outcome,"W"),"")</f>
        <v>120</v>
      </c>
      <c r="W24" s="152">
        <f>IFERROR(V24-VLOOKUP(T24,'SFFL Main Page'!$B$4:$L$20,9,FALSE),"")</f>
        <v>11.310344827586206</v>
      </c>
      <c r="X24" s="153">
        <f>IFERROR(COUNTIFS(managers,'Owner View'!T24,opponent,'Owner View'!U24,outcome,"W"),"")</f>
        <v>1</v>
      </c>
      <c r="Y24" s="151">
        <f>IFERROR(AVERAGEIFS(points,managers,'Owner View'!T24,opponent,'Owner View'!U24,outcome,"L"),"")</f>
        <v>85.8</v>
      </c>
      <c r="Z24" s="152">
        <f>IFERROR(Y24-VLOOKUP(T24,'SFFL Main Page'!$B$4:$L$20,10,FALSE),"")</f>
        <v>4.2146341463414672</v>
      </c>
      <c r="AA24" s="153">
        <f>IFERROR(COUNTIFS(managers,'Owner View'!T24,opponent,'Owner View'!U24,outcome,"L"),"")</f>
        <v>5</v>
      </c>
      <c r="AB24" s="166">
        <f t="shared" si="13"/>
        <v>91.5</v>
      </c>
      <c r="AC24" s="152">
        <f>IFERROR(AB24-VLOOKUP(T24,'SFFL Main Page'!$B$4:$L$20,8,FALSE),"")</f>
        <v>-1.3142857142857167</v>
      </c>
      <c r="AD24" s="151">
        <f>IFERROR(AVERAGEIFS(points,managers,'Owner View'!U24,opponent,'Owner View'!T24,outcome,"W"),"")</f>
        <v>114.8</v>
      </c>
      <c r="AE24" s="152">
        <f>IFERROR(AD24-VLOOKUP(U24,'SFFL Main Page'!$B$4:$L$20,9,FALSE),"")</f>
        <v>6.0548780487804805</v>
      </c>
      <c r="AF24" s="153">
        <f>IFERROR(COUNTIFS(managers,'Owner View'!U24,opponent,'Owner View'!T24,outcome,"W"),"")</f>
        <v>5</v>
      </c>
      <c r="AG24" s="151">
        <f>IFERROR(AVERAGEIFS(points,managers,'Owner View'!U24,opponent,'Owner View'!T24,outcome,"L"),"")</f>
        <v>77</v>
      </c>
      <c r="AH24" s="152">
        <f>IFERROR(AG24-VLOOKUP(U24,'SFFL Main Page'!$B$4:$L$20,10,FALSE),"")</f>
        <v>-7.7575757575757507</v>
      </c>
      <c r="AI24" s="153">
        <f>IFERROR(COUNTIFS(managers,'Owner View'!U24,opponent,'Owner View'!T24,outcome,"L"),"")</f>
        <v>1</v>
      </c>
      <c r="AJ24" s="151">
        <f t="shared" si="15"/>
        <v>108.5</v>
      </c>
      <c r="AK24" s="169">
        <f>IFERROR(AJ24-VLOOKUP(U24,'SFFL Main Page'!$B$4:$L$20,8,FALSE),"")</f>
        <v>10.452027027027029</v>
      </c>
      <c r="AL24" s="152">
        <f t="shared" si="16"/>
        <v>-11.766312741312746</v>
      </c>
    </row>
    <row r="25" spans="1:38" x14ac:dyDescent="0.3">
      <c r="A25" s="3"/>
      <c r="C25" s="17">
        <v>3</v>
      </c>
      <c r="D25" s="16" t="str" cm="1">
        <f t="array" ref="D25">_xlfn.TEXTJOIN(",",TRUE,IF((C25+1)=$A$6:$A$20,$B$6:$B$20,""))</f>
        <v>Mark</v>
      </c>
      <c r="E25" s="16"/>
      <c r="F25" s="16"/>
      <c r="G25" s="16"/>
      <c r="H25" s="3"/>
      <c r="I25" s="3"/>
      <c r="J25" s="16"/>
      <c r="S25" s="159">
        <v>20</v>
      </c>
      <c r="T25" s="118" t="s">
        <v>227</v>
      </c>
      <c r="U25" s="172" t="s">
        <v>29</v>
      </c>
      <c r="V25" s="151">
        <f>IFERROR(AVERAGEIFS(points,managers,'Owner View'!T25,opponent,'Owner View'!U25,outcome,"W"),"")</f>
        <v>105</v>
      </c>
      <c r="W25" s="152">
        <f>IFERROR(V25-VLOOKUP(T25,'SFFL Main Page'!$B$4:$L$20,9,FALSE),"")</f>
        <v>-3.6896551724137936</v>
      </c>
      <c r="X25" s="153">
        <f>IFERROR(COUNTIFS(managers,'Owner View'!T25,opponent,'Owner View'!U25,outcome,"W"),"")</f>
        <v>2</v>
      </c>
      <c r="Y25" s="151">
        <f>IFERROR(AVERAGEIFS(points,managers,'Owner View'!T25,opponent,'Owner View'!U25,outcome,"L"),"")</f>
        <v>70</v>
      </c>
      <c r="Z25" s="152">
        <f>IFERROR(Y25-VLOOKUP(T25,'SFFL Main Page'!$B$4:$L$20,10,FALSE),"")</f>
        <v>-11.58536585365853</v>
      </c>
      <c r="AA25" s="153">
        <f>IFERROR(COUNTIFS(managers,'Owner View'!T25,opponent,'Owner View'!U25,outcome,"L"),"")</f>
        <v>3</v>
      </c>
      <c r="AB25" s="166">
        <f t="shared" si="13"/>
        <v>84</v>
      </c>
      <c r="AC25" s="152">
        <f>IFERROR(AB25-VLOOKUP(T25,'SFFL Main Page'!$B$4:$L$20,8,FALSE),"")</f>
        <v>-8.8142857142857167</v>
      </c>
      <c r="AD25" s="151">
        <f>IFERROR(AVERAGEIFS(points,managers,'Owner View'!U25,opponent,'Owner View'!T25,outcome,"W"),"")</f>
        <v>101.66666666666667</v>
      </c>
      <c r="AE25" s="152">
        <f>IFERROR(AD25-VLOOKUP(U25,'SFFL Main Page'!$B$4:$L$20,9,FALSE),"")</f>
        <v>0.5960784313725469</v>
      </c>
      <c r="AF25" s="153">
        <f>IFERROR(COUNTIFS(managers,'Owner View'!U25,opponent,'Owner View'!T25,outcome,"W"),"")</f>
        <v>3</v>
      </c>
      <c r="AG25" s="151">
        <f>IFERROR(AVERAGEIFS(points,managers,'Owner View'!U25,opponent,'Owner View'!T25,outcome,"L"),"")</f>
        <v>103.5</v>
      </c>
      <c r="AH25" s="152">
        <f>IFERROR(AG25-VLOOKUP(U25,'SFFL Main Page'!$B$4:$L$20,10,FALSE),"")</f>
        <v>25.375</v>
      </c>
      <c r="AI25" s="153">
        <f>IFERROR(COUNTIFS(managers,'Owner View'!U25,opponent,'Owner View'!T25,outcome,"L"),"")</f>
        <v>2</v>
      </c>
      <c r="AJ25" s="151">
        <f t="shared" si="15"/>
        <v>102.4</v>
      </c>
      <c r="AK25" s="169">
        <f>IFERROR(AJ25-VLOOKUP(U25,'SFFL Main Page'!$B$4:$L$20,8,FALSE),"")</f>
        <v>12.997701149425296</v>
      </c>
      <c r="AL25" s="152">
        <f t="shared" si="16"/>
        <v>-21.811986863711013</v>
      </c>
    </row>
    <row r="26" spans="1:38" x14ac:dyDescent="0.3">
      <c r="A26" s="3"/>
      <c r="C26" s="16"/>
      <c r="D26" s="16"/>
      <c r="E26" s="16"/>
      <c r="F26" s="16"/>
      <c r="G26" s="16"/>
      <c r="H26" s="3"/>
      <c r="I26" s="16"/>
      <c r="J26" s="16"/>
      <c r="S26" s="159">
        <v>21</v>
      </c>
      <c r="T26" s="118" t="s">
        <v>227</v>
      </c>
      <c r="U26" s="172" t="s">
        <v>43</v>
      </c>
      <c r="V26" s="151">
        <f>IFERROR(AVERAGEIFS(points,managers,'Owner View'!T26,opponent,'Owner View'!U26,outcome,"W"),"")</f>
        <v>101.66666666666667</v>
      </c>
      <c r="W26" s="152">
        <f>IFERROR(V26-VLOOKUP(T26,'SFFL Main Page'!$B$4:$L$20,9,FALSE),"")</f>
        <v>-7.0229885057471222</v>
      </c>
      <c r="X26" s="153">
        <f>IFERROR(COUNTIFS(managers,'Owner View'!T26,opponent,'Owner View'!U26,outcome,"W"),"")</f>
        <v>3</v>
      </c>
      <c r="Y26" s="151">
        <f>IFERROR(AVERAGEIFS(points,managers,'Owner View'!T26,opponent,'Owner View'!U26,outcome,"L"),"")</f>
        <v>75</v>
      </c>
      <c r="Z26" s="152">
        <f>IFERROR(Y26-VLOOKUP(T26,'SFFL Main Page'!$B$4:$L$20,10,FALSE),"")</f>
        <v>-6.58536585365853</v>
      </c>
      <c r="AA26" s="153">
        <f>IFERROR(COUNTIFS(managers,'Owner View'!T26,opponent,'Owner View'!U26,outcome,"L"),"")</f>
        <v>3</v>
      </c>
      <c r="AB26" s="166">
        <f t="shared" si="13"/>
        <v>88.333333333333329</v>
      </c>
      <c r="AC26" s="152">
        <f>IFERROR(AB26-VLOOKUP(T26,'SFFL Main Page'!$B$4:$L$20,8,FALSE),"")</f>
        <v>-4.4809523809523881</v>
      </c>
      <c r="AD26" s="151">
        <f>IFERROR(AVERAGEIFS(points,managers,'Owner View'!U26,opponent,'Owner View'!T26,outcome,"W"),"")</f>
        <v>94</v>
      </c>
      <c r="AE26" s="152">
        <f>IFERROR(AD26-VLOOKUP(U26,'SFFL Main Page'!$B$4:$L$20,9,FALSE),"")</f>
        <v>-6.8271604938271651</v>
      </c>
      <c r="AF26" s="153">
        <f>IFERROR(COUNTIFS(managers,'Owner View'!U26,opponent,'Owner View'!T26,outcome,"W"),"")</f>
        <v>3</v>
      </c>
      <c r="AG26" s="151">
        <f>IFERROR(AVERAGEIFS(points,managers,'Owner View'!U26,opponent,'Owner View'!T26,outcome,"L"),"")</f>
        <v>81.333333333333329</v>
      </c>
      <c r="AH26" s="152">
        <f>IFERROR(AG26-VLOOKUP(U26,'SFFL Main Page'!$B$4:$L$20,10,FALSE),"")</f>
        <v>5.963768115942031</v>
      </c>
      <c r="AI26" s="153">
        <f>IFERROR(COUNTIFS(managers,'Owner View'!U26,opponent,'Owner View'!T26,outcome,"L"),"")</f>
        <v>3</v>
      </c>
      <c r="AJ26" s="151">
        <f t="shared" si="15"/>
        <v>87.666666666666671</v>
      </c>
      <c r="AK26" s="169">
        <f>IFERROR(AJ26-VLOOKUP(U26,'SFFL Main Page'!$B$4:$L$20,8,FALSE),"")</f>
        <v>0.42528735632184578</v>
      </c>
      <c r="AL26" s="152">
        <f t="shared" si="16"/>
        <v>-4.9062397372742339</v>
      </c>
    </row>
    <row r="27" spans="1:38" x14ac:dyDescent="0.3">
      <c r="A27" s="3">
        <f>MAX(A6:A20)</f>
        <v>14</v>
      </c>
      <c r="B27" s="12" t="s">
        <v>45</v>
      </c>
      <c r="C27" s="17">
        <v>1</v>
      </c>
      <c r="D27" s="16" t="str" cm="1">
        <f t="array" ref="D27">_xlfn.TEXTJOIN(",",TRUE,IF((A27)=$A$6:$A$20,$B$6:$B$20,""))</f>
        <v>Brian</v>
      </c>
      <c r="E27" s="16"/>
      <c r="F27" s="16"/>
      <c r="G27" s="16"/>
      <c r="H27" s="3"/>
      <c r="I27" s="16"/>
      <c r="J27" s="16"/>
      <c r="S27" s="159">
        <v>22</v>
      </c>
      <c r="T27" s="118" t="s">
        <v>227</v>
      </c>
      <c r="U27" s="172" t="s">
        <v>473</v>
      </c>
      <c r="V27" s="151">
        <f>IFERROR(AVERAGEIFS(points,managers,'Owner View'!T27,opponent,'Owner View'!U27,outcome,"W"),"")</f>
        <v>100.33333333333333</v>
      </c>
      <c r="W27" s="152">
        <f>IFERROR(V27-VLOOKUP(T27,'SFFL Main Page'!$B$4:$L$20,9,FALSE),"")</f>
        <v>-8.356321839080465</v>
      </c>
      <c r="X27" s="153">
        <f>IFERROR(COUNTIFS(managers,'Owner View'!T27,opponent,'Owner View'!U27,outcome,"W"),"")</f>
        <v>3</v>
      </c>
      <c r="Y27" s="151" t="str">
        <f>IFERROR(AVERAGEIFS(points,managers,'Owner View'!T27,opponent,'Owner View'!U27,outcome,"L"),"")</f>
        <v/>
      </c>
      <c r="Z27" s="152" t="str">
        <f>IFERROR(Y27-VLOOKUP(T27,'SFFL Main Page'!$B$4:$L$20,10,FALSE),"")</f>
        <v/>
      </c>
      <c r="AA27" s="153">
        <f>IFERROR(COUNTIFS(managers,'Owner View'!T27,opponent,'Owner View'!U27,outcome,"L"),"")</f>
        <v>0</v>
      </c>
      <c r="AB27" s="166" t="str">
        <f t="shared" si="13"/>
        <v/>
      </c>
      <c r="AC27" s="152" t="str">
        <f>IFERROR(AB27-VLOOKUP(T27,'SFFL Main Page'!$B$4:$L$20,8,FALSE),"")</f>
        <v/>
      </c>
      <c r="AD27" s="151" t="str">
        <f>IFERROR(AVERAGEIFS(points,managers,'Owner View'!U27,opponent,'Owner View'!T27,outcome,"W"),"")</f>
        <v/>
      </c>
      <c r="AE27" s="152" t="str">
        <f>IFERROR(AD27-VLOOKUP(U27,'SFFL Main Page'!$B$4:$L$20,9,FALSE),"")</f>
        <v/>
      </c>
      <c r="AF27" s="153">
        <f>IFERROR(COUNTIFS(managers,'Owner View'!U27,opponent,'Owner View'!T27,outcome,"W"),"")</f>
        <v>0</v>
      </c>
      <c r="AG27" s="151">
        <f>IFERROR(AVERAGEIFS(points,managers,'Owner View'!U27,opponent,'Owner View'!T27,outcome,"L"),"")</f>
        <v>77.333333333333329</v>
      </c>
      <c r="AH27" s="152">
        <f>IFERROR(AG27-VLOOKUP(U27,'SFFL Main Page'!$B$4:$L$20,10,FALSE),"")</f>
        <v>-15.824561403508781</v>
      </c>
      <c r="AI27" s="153">
        <f>IFERROR(COUNTIFS(managers,'Owner View'!U27,opponent,'Owner View'!T27,outcome,"L"),"")</f>
        <v>3</v>
      </c>
      <c r="AJ27" s="151" t="str">
        <f t="shared" si="15"/>
        <v/>
      </c>
      <c r="AK27" s="169" t="str">
        <f>IFERROR(AJ27-VLOOKUP(U27,'SFFL Main Page'!$B$4:$L$20,8,FALSE),"")</f>
        <v/>
      </c>
      <c r="AL27" s="152" t="str">
        <f t="shared" si="16"/>
        <v/>
      </c>
    </row>
    <row r="28" spans="1:38" x14ac:dyDescent="0.3">
      <c r="A28" s="3">
        <f>MAX(A6:A20)-1</f>
        <v>13</v>
      </c>
      <c r="C28" s="17">
        <v>2</v>
      </c>
      <c r="D28" s="16" t="str" cm="1">
        <f t="array" ref="D28">_xlfn.TEXTJOIN(",",TRUE,IF((A28)=$A$6:$A$20,$B$6:$B$20,""))</f>
        <v>Brent</v>
      </c>
      <c r="E28" s="16"/>
      <c r="F28" s="16"/>
      <c r="G28" s="16"/>
      <c r="H28" s="3"/>
      <c r="I28" s="16"/>
      <c r="J28" s="16"/>
      <c r="S28" s="159">
        <v>23</v>
      </c>
      <c r="T28" s="118" t="s">
        <v>227</v>
      </c>
      <c r="U28" s="172" t="s">
        <v>472</v>
      </c>
      <c r="V28" s="151">
        <f>IFERROR(AVERAGEIFS(points,managers,'Owner View'!T28,opponent,'Owner View'!U28,outcome,"W"),"")</f>
        <v>117.5</v>
      </c>
      <c r="W28" s="152">
        <f>IFERROR(V28-VLOOKUP(T28,'SFFL Main Page'!$B$4:$L$20,9,FALSE),"")</f>
        <v>8.8103448275862064</v>
      </c>
      <c r="X28" s="153">
        <f>IFERROR(COUNTIFS(managers,'Owner View'!T28,opponent,'Owner View'!U28,outcome,"W"),"")</f>
        <v>2</v>
      </c>
      <c r="Y28" s="151" t="str">
        <f>IFERROR(AVERAGEIFS(points,managers,'Owner View'!T28,opponent,'Owner View'!U28,outcome,"L"),"")</f>
        <v/>
      </c>
      <c r="Z28" s="152" t="str">
        <f>IFERROR(Y28-VLOOKUP(T28,'SFFL Main Page'!$B$4:$L$20,10,FALSE),"")</f>
        <v/>
      </c>
      <c r="AA28" s="153">
        <f>IFERROR(COUNTIFS(managers,'Owner View'!T28,opponent,'Owner View'!U28,outcome,"L"),"")</f>
        <v>0</v>
      </c>
      <c r="AB28" s="166" t="str">
        <f t="shared" si="13"/>
        <v/>
      </c>
      <c r="AC28" s="152" t="str">
        <f>IFERROR(AB28-VLOOKUP(T28,'SFFL Main Page'!$B$4:$L$20,8,FALSE),"")</f>
        <v/>
      </c>
      <c r="AD28" s="151" t="str">
        <f>IFERROR(AVERAGEIFS(points,managers,'Owner View'!U28,opponent,'Owner View'!T28,outcome,"W"),"")</f>
        <v/>
      </c>
      <c r="AE28" s="152" t="str">
        <f>IFERROR(AD28-VLOOKUP(U28,'SFFL Main Page'!$B$4:$L$20,9,FALSE),"")</f>
        <v/>
      </c>
      <c r="AF28" s="153">
        <f>IFERROR(COUNTIFS(managers,'Owner View'!U28,opponent,'Owner View'!T28,outcome,"W"),"")</f>
        <v>0</v>
      </c>
      <c r="AG28" s="151">
        <f>IFERROR(AVERAGEIFS(points,managers,'Owner View'!U28,opponent,'Owner View'!T28,outcome,"L"),"")</f>
        <v>101.5</v>
      </c>
      <c r="AH28" s="152">
        <f>IFERROR(AG28-VLOOKUP(U28,'SFFL Main Page'!$B$4:$L$20,10,FALSE),"")</f>
        <v>3.970588235294116</v>
      </c>
      <c r="AI28" s="153">
        <f>IFERROR(COUNTIFS(managers,'Owner View'!U28,opponent,'Owner View'!T28,outcome,"L"),"")</f>
        <v>2</v>
      </c>
      <c r="AJ28" s="151" t="str">
        <f t="shared" si="15"/>
        <v/>
      </c>
      <c r="AK28" s="169" t="str">
        <f>IFERROR(AJ28-VLOOKUP(U28,'SFFL Main Page'!$B$4:$L$20,8,FALSE),"")</f>
        <v/>
      </c>
      <c r="AL28" s="152" t="str">
        <f t="shared" si="16"/>
        <v/>
      </c>
    </row>
    <row r="29" spans="1:38" x14ac:dyDescent="0.3">
      <c r="A29" s="3">
        <f>MAX(A6:A20)-2</f>
        <v>12</v>
      </c>
      <c r="C29" s="18">
        <v>3</v>
      </c>
      <c r="D29" s="16" t="str" cm="1">
        <f t="array" ref="D29">_xlfn.TEXTJOIN(",",TRUE,IF((A29)=$A$6:$A$20,$B$6:$B$20,""))</f>
        <v>Charles</v>
      </c>
      <c r="H29" s="3"/>
      <c r="I29" s="16"/>
      <c r="J29" s="16"/>
      <c r="S29" s="159">
        <v>24</v>
      </c>
      <c r="T29" s="118" t="s">
        <v>227</v>
      </c>
      <c r="U29" s="172" t="s">
        <v>22</v>
      </c>
      <c r="V29" s="151">
        <f>IFERROR(AVERAGEIFS(points,managers,'Owner View'!T29,opponent,'Owner View'!U29,outcome,"W"),"")</f>
        <v>115.33333333333333</v>
      </c>
      <c r="W29" s="152">
        <f>IFERROR(V29-VLOOKUP(T29,'SFFL Main Page'!$B$4:$L$20,9,FALSE),"")</f>
        <v>6.643678160919535</v>
      </c>
      <c r="X29" s="153">
        <f>IFERROR(COUNTIFS(managers,'Owner View'!T29,opponent,'Owner View'!U29,outcome,"W"),"")</f>
        <v>3</v>
      </c>
      <c r="Y29" s="151">
        <f>IFERROR(AVERAGEIFS(points,managers,'Owner View'!T29,opponent,'Owner View'!U29,outcome,"L"),"")</f>
        <v>79.333333333333329</v>
      </c>
      <c r="Z29" s="152">
        <f>IFERROR(Y29-VLOOKUP(T29,'SFFL Main Page'!$B$4:$L$20,10,FALSE),"")</f>
        <v>-2.2520325203252014</v>
      </c>
      <c r="AA29" s="153">
        <f>IFERROR(COUNTIFS(managers,'Owner View'!T29,opponent,'Owner View'!U29,outcome,"L"),"")</f>
        <v>6</v>
      </c>
      <c r="AB29" s="166">
        <f t="shared" si="13"/>
        <v>91.333333333333329</v>
      </c>
      <c r="AC29" s="152">
        <f>IFERROR(AB29-VLOOKUP(T29,'SFFL Main Page'!$B$4:$L$20,8,FALSE),"")</f>
        <v>-1.4809523809523881</v>
      </c>
      <c r="AD29" s="151">
        <f>IFERROR(AVERAGEIFS(points,managers,'Owner View'!U29,opponent,'Owner View'!T29,outcome,"W"),"")</f>
        <v>112.66666666666667</v>
      </c>
      <c r="AE29" s="152">
        <f>IFERROR(AD29-VLOOKUP(U29,'SFFL Main Page'!$B$4:$L$20,9,FALSE),"")</f>
        <v>10.286384976525824</v>
      </c>
      <c r="AF29" s="153">
        <f>IFERROR(COUNTIFS(managers,'Owner View'!U29,opponent,'Owner View'!T29,outcome,"W"),"")</f>
        <v>6</v>
      </c>
      <c r="AG29" s="151">
        <f>IFERROR(AVERAGEIFS(points,managers,'Owner View'!U29,opponent,'Owner View'!T29,outcome,"L"),"")</f>
        <v>83.333333333333329</v>
      </c>
      <c r="AH29" s="152">
        <f>IFERROR(AG29-VLOOKUP(U29,'SFFL Main Page'!$B$4:$L$20,10,FALSE),"")</f>
        <v>3.3823529411764639</v>
      </c>
      <c r="AI29" s="153">
        <f>IFERROR(COUNTIFS(managers,'Owner View'!U29,opponent,'Owner View'!T29,outcome,"L"),"")</f>
        <v>3</v>
      </c>
      <c r="AJ29" s="151">
        <f t="shared" si="15"/>
        <v>102.88888888888889</v>
      </c>
      <c r="AK29" s="169">
        <f>IFERROR(AJ29-VLOOKUP(U29,'SFFL Main Page'!$B$4:$L$20,8,FALSE),"")</f>
        <v>13.727969348659002</v>
      </c>
      <c r="AL29" s="152">
        <f t="shared" si="16"/>
        <v>-15.20892172961139</v>
      </c>
    </row>
    <row r="30" spans="1:38" x14ac:dyDescent="0.3">
      <c r="H30" s="3"/>
      <c r="I30" s="16"/>
      <c r="J30" s="16"/>
      <c r="S30" s="159">
        <v>25</v>
      </c>
      <c r="T30" s="118" t="s">
        <v>227</v>
      </c>
      <c r="U30" s="172" t="s">
        <v>30</v>
      </c>
      <c r="V30" s="151">
        <f>IFERROR(AVERAGEIFS(points,managers,'Owner View'!T30,opponent,'Owner View'!U30,outcome,"W"),"")</f>
        <v>116.75</v>
      </c>
      <c r="W30" s="152">
        <f>IFERROR(V30-VLOOKUP(T30,'SFFL Main Page'!$B$4:$L$20,9,FALSE),"")</f>
        <v>8.0603448275862064</v>
      </c>
      <c r="X30" s="153">
        <f>IFERROR(COUNTIFS(managers,'Owner View'!T30,opponent,'Owner View'!U30,outcome,"W"),"")</f>
        <v>4</v>
      </c>
      <c r="Y30" s="151">
        <f>IFERROR(AVERAGEIFS(points,managers,'Owner View'!T30,opponent,'Owner View'!U30,outcome,"L"),"")</f>
        <v>73</v>
      </c>
      <c r="Z30" s="152">
        <f>IFERROR(Y30-VLOOKUP(T30,'SFFL Main Page'!$B$4:$L$20,10,FALSE),"")</f>
        <v>-8.58536585365853</v>
      </c>
      <c r="AA30" s="153">
        <f>IFERROR(COUNTIFS(managers,'Owner View'!T30,opponent,'Owner View'!U30,outcome,"L"),"")</f>
        <v>1</v>
      </c>
      <c r="AB30" s="166">
        <f t="shared" si="13"/>
        <v>108</v>
      </c>
      <c r="AC30" s="152">
        <f>IFERROR(AB30-VLOOKUP(T30,'SFFL Main Page'!$B$4:$L$20,8,FALSE),"")</f>
        <v>15.185714285714283</v>
      </c>
      <c r="AD30" s="151">
        <f>IFERROR(AVERAGEIFS(points,managers,'Owner View'!U30,opponent,'Owner View'!T30,outcome,"W"),"")</f>
        <v>81</v>
      </c>
      <c r="AE30" s="152">
        <f>IFERROR(AD30-VLOOKUP(U30,'SFFL Main Page'!$B$4:$L$20,9,FALSE),"")</f>
        <v>-21.900000000000006</v>
      </c>
      <c r="AF30" s="153">
        <f>IFERROR(COUNTIFS(managers,'Owner View'!U30,opponent,'Owner View'!T30,outcome,"W"),"")</f>
        <v>1</v>
      </c>
      <c r="AG30" s="151">
        <f>IFERROR(AVERAGEIFS(points,managers,'Owner View'!U30,opponent,'Owner View'!T30,outcome,"L"),"")</f>
        <v>88.75</v>
      </c>
      <c r="AH30" s="152">
        <f>IFERROR(AG30-VLOOKUP(U30,'SFFL Main Page'!$B$4:$L$20,10,FALSE),"")</f>
        <v>6.8145161290322562</v>
      </c>
      <c r="AI30" s="153">
        <f>IFERROR(COUNTIFS(managers,'Owner View'!U30,opponent,'Owner View'!T30,outcome,"L"),"")</f>
        <v>4</v>
      </c>
      <c r="AJ30" s="151">
        <f t="shared" si="15"/>
        <v>87.2</v>
      </c>
      <c r="AK30" s="169">
        <f>IFERROR(AJ30-VLOOKUP(U30,'SFFL Main Page'!$B$4:$L$20,8,FALSE),"")</f>
        <v>-4.3689655172413779</v>
      </c>
      <c r="AL30" s="152">
        <f t="shared" si="16"/>
        <v>19.554679802955661</v>
      </c>
    </row>
    <row r="31" spans="1:38" ht="15" thickBot="1" x14ac:dyDescent="0.35">
      <c r="H31" s="3"/>
      <c r="I31" s="16"/>
      <c r="J31" s="16"/>
      <c r="S31" s="159">
        <v>26</v>
      </c>
      <c r="T31" s="118" t="s">
        <v>227</v>
      </c>
      <c r="U31" s="172" t="s">
        <v>23</v>
      </c>
      <c r="V31" s="151">
        <f>IFERROR(AVERAGEIFS(points,managers,'Owner View'!T31,opponent,'Owner View'!U31,outcome,"W"),"")</f>
        <v>126</v>
      </c>
      <c r="W31" s="152">
        <f>IFERROR(V31-VLOOKUP(T31,'SFFL Main Page'!$B$4:$L$20,9,FALSE),"")</f>
        <v>17.310344827586206</v>
      </c>
      <c r="X31" s="153">
        <f>IFERROR(COUNTIFS(managers,'Owner View'!T31,opponent,'Owner View'!U31,outcome,"W"),"")</f>
        <v>1</v>
      </c>
      <c r="Y31" s="151">
        <f>IFERROR(AVERAGEIFS(points,managers,'Owner View'!T31,opponent,'Owner View'!U31,outcome,"L"),"")</f>
        <v>91.5</v>
      </c>
      <c r="Z31" s="152">
        <f>IFERROR(Y31-VLOOKUP(T31,'SFFL Main Page'!$B$4:$L$20,10,FALSE),"")</f>
        <v>9.91463414634147</v>
      </c>
      <c r="AA31" s="153">
        <f>IFERROR(COUNTIFS(managers,'Owner View'!T31,opponent,'Owner View'!U31,outcome,"L"),"")</f>
        <v>6</v>
      </c>
      <c r="AB31" s="166">
        <f t="shared" si="13"/>
        <v>96.428571428571431</v>
      </c>
      <c r="AC31" s="152">
        <f>IFERROR(AB31-VLOOKUP(T31,'SFFL Main Page'!$B$4:$L$20,8,FALSE),"")</f>
        <v>3.6142857142857139</v>
      </c>
      <c r="AD31" s="151">
        <f>IFERROR(AVERAGEIFS(points,managers,'Owner View'!U31,opponent,'Owner View'!T31,outcome,"W"),"")</f>
        <v>119</v>
      </c>
      <c r="AE31" s="152">
        <f>IFERROR(AD31-VLOOKUP(U31,'SFFL Main Page'!$B$4:$L$20,9,FALSE),"")</f>
        <v>16.074468085106389</v>
      </c>
      <c r="AF31" s="153">
        <f>IFERROR(COUNTIFS(managers,'Owner View'!U31,opponent,'Owner View'!T31,outcome,"W"),"")</f>
        <v>6</v>
      </c>
      <c r="AG31" s="151">
        <f>IFERROR(AVERAGEIFS(points,managers,'Owner View'!U31,opponent,'Owner View'!T31,outcome,"L"),"")</f>
        <v>110</v>
      </c>
      <c r="AH31" s="152">
        <f>IFERROR(AG31-VLOOKUP(U31,'SFFL Main Page'!$B$4:$L$20,10,FALSE),"")</f>
        <v>29.367088607594937</v>
      </c>
      <c r="AI31" s="153">
        <f>IFERROR(COUNTIFS(managers,'Owner View'!U31,opponent,'Owner View'!T31,outcome,"L"),"")</f>
        <v>1</v>
      </c>
      <c r="AJ31" s="151">
        <f t="shared" si="15"/>
        <v>117.71428571428571</v>
      </c>
      <c r="AK31" s="169">
        <f>IFERROR(AJ31-VLOOKUP(U31,'SFFL Main Page'!$B$4:$L$20,8,FALSE),"")</f>
        <v>24.875205254515592</v>
      </c>
      <c r="AL31" s="152">
        <f t="shared" si="16"/>
        <v>-21.260919540229878</v>
      </c>
    </row>
    <row r="32" spans="1:38" ht="15" thickBot="1" x14ac:dyDescent="0.35">
      <c r="B32" s="114" t="s">
        <v>39</v>
      </c>
      <c r="C32" s="199" t="s">
        <v>458</v>
      </c>
      <c r="D32" s="200"/>
      <c r="E32" s="200"/>
      <c r="F32" s="200"/>
      <c r="G32" s="200"/>
      <c r="H32" s="201"/>
      <c r="I32" s="202" t="s">
        <v>459</v>
      </c>
      <c r="J32" s="203"/>
      <c r="K32" s="203"/>
      <c r="L32" s="203"/>
      <c r="M32" s="203"/>
      <c r="N32" s="204"/>
      <c r="S32" s="159">
        <v>27</v>
      </c>
      <c r="T32" s="118" t="s">
        <v>227</v>
      </c>
      <c r="U32" s="172" t="s">
        <v>28</v>
      </c>
      <c r="V32" s="151">
        <f>IFERROR(AVERAGEIFS(points,managers,'Owner View'!T32,opponent,'Owner View'!U32,outcome,"W"),"")</f>
        <v>107</v>
      </c>
      <c r="W32" s="152">
        <f>IFERROR(V32-VLOOKUP(T32,'SFFL Main Page'!$B$4:$L$20,9,FALSE),"")</f>
        <v>-1.6896551724137936</v>
      </c>
      <c r="X32" s="153">
        <f>IFERROR(COUNTIFS(managers,'Owner View'!T32,opponent,'Owner View'!U32,outcome,"W"),"")</f>
        <v>3</v>
      </c>
      <c r="Y32" s="151">
        <f>IFERROR(AVERAGEIFS(points,managers,'Owner View'!T32,opponent,'Owner View'!U32,outcome,"L"),"")</f>
        <v>86.5</v>
      </c>
      <c r="Z32" s="152">
        <f>IFERROR(Y32-VLOOKUP(T32,'SFFL Main Page'!$B$4:$L$20,10,FALSE),"")</f>
        <v>4.91463414634147</v>
      </c>
      <c r="AA32" s="153">
        <f>IFERROR(COUNTIFS(managers,'Owner View'!T32,opponent,'Owner View'!U32,outcome,"L"),"")</f>
        <v>2</v>
      </c>
      <c r="AB32" s="166">
        <f t="shared" si="13"/>
        <v>98.8</v>
      </c>
      <c r="AC32" s="152">
        <f>IFERROR(AB32-VLOOKUP(T32,'SFFL Main Page'!$B$4:$L$20,8,FALSE),"")</f>
        <v>5.9857142857142804</v>
      </c>
      <c r="AD32" s="151">
        <f>IFERROR(AVERAGEIFS(points,managers,'Owner View'!U32,opponent,'Owner View'!T32,outcome,"W"),"")</f>
        <v>116.5</v>
      </c>
      <c r="AE32" s="152">
        <f>IFERROR(AD32-VLOOKUP(U32,'SFFL Main Page'!$B$4:$L$20,9,FALSE),"")</f>
        <v>10.166666666666671</v>
      </c>
      <c r="AF32" s="153">
        <f>IFERROR(COUNTIFS(managers,'Owner View'!U32,opponent,'Owner View'!T32,outcome,"W"),"")</f>
        <v>2</v>
      </c>
      <c r="AG32" s="151">
        <f>IFERROR(AVERAGEIFS(points,managers,'Owner View'!U32,opponent,'Owner View'!T32,outcome,"L"),"")</f>
        <v>82.666666666666671</v>
      </c>
      <c r="AH32" s="152">
        <f>IFERROR(AG32-VLOOKUP(U32,'SFFL Main Page'!$B$4:$L$20,10,FALSE),"")</f>
        <v>1.7520325203252014</v>
      </c>
      <c r="AI32" s="153">
        <f>IFERROR(COUNTIFS(managers,'Owner View'!U32,opponent,'Owner View'!T32,outcome,"L"),"")</f>
        <v>3</v>
      </c>
      <c r="AJ32" s="151">
        <f t="shared" si="15"/>
        <v>96.2</v>
      </c>
      <c r="AK32" s="169">
        <f>IFERROR(AJ32-VLOOKUP(U32,'SFFL Main Page'!$B$4:$L$20,8,FALSE),"")</f>
        <v>1.975862068965526</v>
      </c>
      <c r="AL32" s="152">
        <f t="shared" si="16"/>
        <v>4.0098522167487545</v>
      </c>
    </row>
    <row r="33" spans="2:38" x14ac:dyDescent="0.3">
      <c r="B33" s="115" t="s">
        <v>21</v>
      </c>
      <c r="C33" s="116" t="s">
        <v>8</v>
      </c>
      <c r="D33" s="116"/>
      <c r="E33" s="116" t="s">
        <v>9</v>
      </c>
      <c r="F33" s="117"/>
      <c r="G33" s="117" t="s">
        <v>41</v>
      </c>
      <c r="H33" s="116"/>
      <c r="I33" s="116" t="s">
        <v>8</v>
      </c>
      <c r="J33" s="116"/>
      <c r="K33" s="116" t="s">
        <v>9</v>
      </c>
      <c r="L33" s="117"/>
      <c r="M33" s="117" t="s">
        <v>41</v>
      </c>
      <c r="N33" s="116"/>
      <c r="O33" s="116" t="s">
        <v>460</v>
      </c>
      <c r="S33" s="159">
        <v>28</v>
      </c>
      <c r="T33" s="118" t="s">
        <v>227</v>
      </c>
      <c r="U33" s="172" t="s">
        <v>24</v>
      </c>
      <c r="V33" s="151">
        <f>IFERROR(AVERAGEIFS(points,managers,'Owner View'!T33,opponent,'Owner View'!U33,outcome,"W"),"")</f>
        <v>101</v>
      </c>
      <c r="W33" s="152">
        <f>IFERROR(V33-VLOOKUP(T33,'SFFL Main Page'!$B$4:$L$20,9,FALSE),"")</f>
        <v>-7.6896551724137936</v>
      </c>
      <c r="X33" s="153">
        <f>IFERROR(COUNTIFS(managers,'Owner View'!T33,opponent,'Owner View'!U33,outcome,"W"),"")</f>
        <v>3</v>
      </c>
      <c r="Y33" s="151">
        <f>IFERROR(AVERAGEIFS(points,managers,'Owner View'!T33,opponent,'Owner View'!U33,outcome,"L"),"")</f>
        <v>64.666666666666671</v>
      </c>
      <c r="Z33" s="152">
        <f>IFERROR(Y33-VLOOKUP(T33,'SFFL Main Page'!$B$4:$L$20,10,FALSE),"")</f>
        <v>-16.918699186991859</v>
      </c>
      <c r="AA33" s="153">
        <f>IFERROR(COUNTIFS(managers,'Owner View'!T33,opponent,'Owner View'!U33,outcome,"L"),"")</f>
        <v>3</v>
      </c>
      <c r="AB33" s="166">
        <f t="shared" si="13"/>
        <v>82.833333333333329</v>
      </c>
      <c r="AC33" s="152">
        <f>IFERROR(AB33-VLOOKUP(T33,'SFFL Main Page'!$B$4:$L$20,8,FALSE),"")</f>
        <v>-9.9809523809523881</v>
      </c>
      <c r="AD33" s="151">
        <f>IFERROR(AVERAGEIFS(points,managers,'Owner View'!U33,opponent,'Owner View'!T33,outcome,"W"),"")</f>
        <v>101.33333333333333</v>
      </c>
      <c r="AE33" s="152">
        <f>IFERROR(AD33-VLOOKUP(U33,'SFFL Main Page'!$B$4:$L$20,9,FALSE),"")</f>
        <v>-3.4257028112449888</v>
      </c>
      <c r="AF33" s="153">
        <f>IFERROR(COUNTIFS(managers,'Owner View'!U33,opponent,'Owner View'!T33,outcome,"W"),"")</f>
        <v>3</v>
      </c>
      <c r="AG33" s="151">
        <f>IFERROR(AVERAGEIFS(points,managers,'Owner View'!U33,opponent,'Owner View'!T33,outcome,"L"),"")</f>
        <v>92.666666666666671</v>
      </c>
      <c r="AH33" s="152">
        <f>IFERROR(AG33-VLOOKUP(U33,'SFFL Main Page'!$B$4:$L$20,10,FALSE),"")</f>
        <v>16.106227106227109</v>
      </c>
      <c r="AI33" s="153">
        <f>IFERROR(COUNTIFS(managers,'Owner View'!U33,opponent,'Owner View'!T33,outcome,"L"),"")</f>
        <v>3</v>
      </c>
      <c r="AJ33" s="151">
        <f t="shared" si="15"/>
        <v>97</v>
      </c>
      <c r="AK33" s="169">
        <f>IFERROR(AJ33-VLOOKUP(U33,'SFFL Main Page'!$B$4:$L$20,8,FALSE),"")</f>
        <v>6.9885057471264389</v>
      </c>
      <c r="AL33" s="152">
        <f t="shared" si="16"/>
        <v>-16.969458128078827</v>
      </c>
    </row>
    <row r="34" spans="2:38" x14ac:dyDescent="0.3">
      <c r="B34" s="118" t="s">
        <v>27</v>
      </c>
      <c r="C34" s="119">
        <f>IFERROR(AVERAGEIFS(points,managers,'Owner View'!$C$2,opponent,'Owner View'!B34,outcome,"W"),"")</f>
        <v>101.85714285714286</v>
      </c>
      <c r="D34" s="120">
        <f>IFERROR(C34-$C$47,"")</f>
        <v>-1.0683890577507498</v>
      </c>
      <c r="E34" s="119">
        <f>IFERROR(AVERAGEIFS(points,managers,'Owner View'!$C$2,opponent,'Owner View'!B34,outcome,"L"),"")</f>
        <v>68.75</v>
      </c>
      <c r="F34" s="120">
        <f>IFERROR(E34-$E$47,"")</f>
        <v>-11.882911392405063</v>
      </c>
      <c r="G34" s="119">
        <f t="shared" ref="G34:G40" si="17">IFERROR(((C34*C6)+(E34*D6))/SUM(C6:D6),"")</f>
        <v>89.818181818181813</v>
      </c>
      <c r="H34" s="121">
        <f>IFERROR(G34-$G$47,"")</f>
        <v>-3.0208986415883032</v>
      </c>
      <c r="I34" s="119">
        <f>IFERROR(AVERAGEIFS(points,managers,'Owner View'!B34,opponent,'Owner View'!$C$2,outcome,"W"),"")</f>
        <v>107.75</v>
      </c>
      <c r="J34" s="120">
        <f>IFERROR(I34-'SFFL Main Page'!J5,"")</f>
        <v>12.260638297872347</v>
      </c>
      <c r="K34" s="119">
        <f>IFERROR(AVERAGEIFS(points,managers,'Owner View'!B34,opponent,'Owner View'!$C$2,outcome,"L"),"")</f>
        <v>72.714285714285708</v>
      </c>
      <c r="L34" s="120">
        <f>IFERROR(K34-'SFFL Main Page'!K5,"")</f>
        <v>2.7493734335839548</v>
      </c>
      <c r="M34" s="119">
        <f t="shared" ref="M34:M40" si="18">IFERROR(((I34*D6)+(K34*C6))/SUM(C6:D6),"")</f>
        <v>85.454545454545453</v>
      </c>
      <c r="N34" s="121">
        <f>IFERROR(M34-'SFFL Main Page'!I5,"")</f>
        <v>3.9545454545454533</v>
      </c>
      <c r="O34" s="122">
        <f>IFERROR(H34-N34,"")</f>
        <v>-6.9754440961337565</v>
      </c>
      <c r="S34" s="159">
        <v>29</v>
      </c>
      <c r="T34" s="118" t="s">
        <v>25</v>
      </c>
      <c r="U34" s="172" t="s">
        <v>27</v>
      </c>
      <c r="V34" s="151">
        <f>IFERROR(AVERAGEIFS(points,managers,'Owner View'!T34,opponent,'Owner View'!U34,outcome,"W"),"")</f>
        <v>93.333333333333329</v>
      </c>
      <c r="W34" s="152">
        <f>IFERROR(V34-VLOOKUP(T34,'SFFL Main Page'!$B$4:$L$20,9,FALSE),"")</f>
        <v>-8.4367816091954069</v>
      </c>
      <c r="X34" s="153">
        <f>IFERROR(COUNTIFS(managers,'Owner View'!T34,opponent,'Owner View'!U34,outcome,"W"),"")</f>
        <v>6</v>
      </c>
      <c r="Y34" s="151">
        <f>IFERROR(AVERAGEIFS(points,managers,'Owner View'!T34,opponent,'Owner View'!U34,outcome,"L"),"")</f>
        <v>68.333333333333329</v>
      </c>
      <c r="Z34" s="152">
        <f>IFERROR(Y34-VLOOKUP(T34,'SFFL Main Page'!$B$4:$L$20,10,FALSE),"")</f>
        <v>-9.6071428571428612</v>
      </c>
      <c r="AA34" s="153">
        <f>IFERROR(COUNTIFS(managers,'Owner View'!T34,opponent,'Owner View'!U34,outcome,"L"),"")</f>
        <v>3</v>
      </c>
      <c r="AB34" s="166">
        <f t="shared" si="13"/>
        <v>85</v>
      </c>
      <c r="AC34" s="152">
        <f>IFERROR(AB34-VLOOKUP(T34,'SFFL Main Page'!$B$4:$L$20,8,FALSE),"")</f>
        <v>-4.9885057471264389</v>
      </c>
      <c r="AD34" s="151">
        <f>IFERROR(AVERAGEIFS(points,managers,'Owner View'!U34,opponent,'Owner View'!T34,outcome,"W"),"")</f>
        <v>111</v>
      </c>
      <c r="AE34" s="152">
        <f>IFERROR(AD34-VLOOKUP(U34,'SFFL Main Page'!$B$4:$L$20,9,FALSE),"")</f>
        <v>15.510638297872347</v>
      </c>
      <c r="AF34" s="153">
        <f>IFERROR(COUNTIFS(managers,'Owner View'!U34,opponent,'Owner View'!T34,outcome,"W"),"")</f>
        <v>3</v>
      </c>
      <c r="AG34" s="151">
        <f>IFERROR(AVERAGEIFS(points,managers,'Owner View'!U34,opponent,'Owner View'!T34,outcome,"L"),"")</f>
        <v>68.666666666666671</v>
      </c>
      <c r="AH34" s="152">
        <f>IFERROR(AG34-VLOOKUP(U34,'SFFL Main Page'!$B$4:$L$20,10,FALSE),"")</f>
        <v>-1.298245614035082</v>
      </c>
      <c r="AI34" s="153">
        <f>IFERROR(COUNTIFS(managers,'Owner View'!U34,opponent,'Owner View'!T34,outcome,"L"),"")</f>
        <v>6</v>
      </c>
      <c r="AJ34" s="151">
        <f t="shared" si="15"/>
        <v>82.777777777777771</v>
      </c>
      <c r="AK34" s="169">
        <f>IFERROR(AJ34-VLOOKUP(U34,'SFFL Main Page'!$B$4:$L$20,8,FALSE),"")</f>
        <v>1.2777777777777715</v>
      </c>
      <c r="AL34" s="152">
        <f t="shared" si="16"/>
        <v>-6.2662835249042104</v>
      </c>
    </row>
    <row r="35" spans="2:38" x14ac:dyDescent="0.3">
      <c r="B35" s="118" t="s">
        <v>227</v>
      </c>
      <c r="C35" s="119">
        <f>IFERROR(AVERAGEIFS(points,managers,'Owner View'!$C$2,opponent,'Owner View'!B35,outcome,"W"),"")</f>
        <v>119</v>
      </c>
      <c r="D35" s="120">
        <f t="shared" ref="D35:D46" si="19">IFERROR(C35-$C$47,"")</f>
        <v>16.074468085106389</v>
      </c>
      <c r="E35" s="119">
        <f>IFERROR(AVERAGEIFS(points,managers,'Owner View'!$C$2,opponent,'Owner View'!B35,outcome,"L"),"")</f>
        <v>110</v>
      </c>
      <c r="F35" s="120">
        <f t="shared" ref="F35:F46" si="20">IFERROR(E35-$E$47,"")</f>
        <v>29.367088607594937</v>
      </c>
      <c r="G35" s="119">
        <f t="shared" si="17"/>
        <v>117.71428571428571</v>
      </c>
      <c r="H35" s="121">
        <f t="shared" ref="H35:H46" si="21">IFERROR(G35-$G$47,"")</f>
        <v>24.875205254515592</v>
      </c>
      <c r="I35" s="119">
        <f>IFERROR(AVERAGEIFS(points,managers,'Owner View'!B35,opponent,'Owner View'!$C$2,outcome,"W"),"")</f>
        <v>126</v>
      </c>
      <c r="J35" s="120">
        <f>IFERROR(I35-'SFFL Main Page'!J6,"")</f>
        <v>17.310344827586206</v>
      </c>
      <c r="K35" s="119">
        <f>IFERROR(AVERAGEIFS(points,managers,'Owner View'!B35,opponent,'Owner View'!$C$2,outcome,"L"),"")</f>
        <v>91.5</v>
      </c>
      <c r="L35" s="120">
        <f>IFERROR(K35-'SFFL Main Page'!K6,"")</f>
        <v>9.91463414634147</v>
      </c>
      <c r="M35" s="119">
        <f t="shared" si="18"/>
        <v>96.428571428571431</v>
      </c>
      <c r="N35" s="121">
        <f>IFERROR(M35-'SFFL Main Page'!I6,"")</f>
        <v>3.6142857142857139</v>
      </c>
      <c r="O35" s="122">
        <f t="shared" ref="O35:O46" si="22">IFERROR(H35-N35,"")</f>
        <v>21.260919540229878</v>
      </c>
      <c r="S35" s="159">
        <v>30</v>
      </c>
      <c r="T35" s="118" t="s">
        <v>25</v>
      </c>
      <c r="U35" s="172" t="s">
        <v>227</v>
      </c>
      <c r="V35" s="151">
        <f>IFERROR(AVERAGEIFS(points,managers,'Owner View'!T35,opponent,'Owner View'!U35,outcome,"W"),"")</f>
        <v>100</v>
      </c>
      <c r="W35" s="152">
        <f>IFERROR(V35-VLOOKUP(T35,'SFFL Main Page'!$B$4:$L$20,9,FALSE),"")</f>
        <v>-1.7701149425287355</v>
      </c>
      <c r="X35" s="153">
        <f>IFERROR(COUNTIFS(managers,'Owner View'!T35,opponent,'Owner View'!U35,outcome,"W"),"")</f>
        <v>4</v>
      </c>
      <c r="Y35" s="151">
        <f>IFERROR(AVERAGEIFS(points,managers,'Owner View'!T35,opponent,'Owner View'!U35,outcome,"L"),"")</f>
        <v>86</v>
      </c>
      <c r="Z35" s="152">
        <f>IFERROR(Y35-VLOOKUP(T35,'SFFL Main Page'!$B$4:$L$20,10,FALSE),"")</f>
        <v>8.0595238095238102</v>
      </c>
      <c r="AA35" s="153">
        <f>IFERROR(COUNTIFS(managers,'Owner View'!T35,opponent,'Owner View'!U35,outcome,"L"),"")</f>
        <v>1</v>
      </c>
      <c r="AB35" s="166">
        <f t="shared" si="13"/>
        <v>97.2</v>
      </c>
      <c r="AC35" s="152">
        <f>IFERROR(AB35-VLOOKUP(T35,'SFFL Main Page'!$B$4:$L$20,8,FALSE),"")</f>
        <v>7.2114942528735639</v>
      </c>
      <c r="AD35" s="151">
        <f>IFERROR(AVERAGEIFS(points,managers,'Owner View'!U35,opponent,'Owner View'!T35,outcome,"W"),"")</f>
        <v>111</v>
      </c>
      <c r="AE35" s="152">
        <f>IFERROR(AD35-VLOOKUP(U35,'SFFL Main Page'!$B$4:$L$20,9,FALSE),"")</f>
        <v>2.3103448275862064</v>
      </c>
      <c r="AF35" s="153">
        <f>IFERROR(COUNTIFS(managers,'Owner View'!U35,opponent,'Owner View'!T35,outcome,"W"),"")</f>
        <v>1</v>
      </c>
      <c r="AG35" s="151">
        <f>IFERROR(AVERAGEIFS(points,managers,'Owner View'!U35,opponent,'Owner View'!T35,outcome,"L"),"")</f>
        <v>79.25</v>
      </c>
      <c r="AH35" s="152">
        <f>IFERROR(AG35-VLOOKUP(U35,'SFFL Main Page'!$B$4:$L$20,10,FALSE),"")</f>
        <v>-2.33536585365853</v>
      </c>
      <c r="AI35" s="153">
        <f>IFERROR(COUNTIFS(managers,'Owner View'!U35,opponent,'Owner View'!T35,outcome,"L"),"")</f>
        <v>4</v>
      </c>
      <c r="AJ35" s="151">
        <f t="shared" si="15"/>
        <v>85.6</v>
      </c>
      <c r="AK35" s="169">
        <f>IFERROR(AJ35-VLOOKUP(U35,'SFFL Main Page'!$B$4:$L$20,8,FALSE),"")</f>
        <v>-7.2142857142857224</v>
      </c>
      <c r="AL35" s="152">
        <f t="shared" si="16"/>
        <v>14.425779967159286</v>
      </c>
    </row>
    <row r="36" spans="2:38" x14ac:dyDescent="0.3">
      <c r="B36" s="118" t="s">
        <v>25</v>
      </c>
      <c r="C36" s="119">
        <f>IFERROR(AVERAGEIFS(points,managers,'Owner View'!$C$2,opponent,'Owner View'!B36,outcome,"W"),"")</f>
        <v>98.142857142857139</v>
      </c>
      <c r="D36" s="120">
        <f t="shared" si="19"/>
        <v>-4.7826747720364722</v>
      </c>
      <c r="E36" s="119">
        <f>IFERROR(AVERAGEIFS(points,managers,'Owner View'!$C$2,opponent,'Owner View'!B36,outcome,"L"),"")</f>
        <v>86</v>
      </c>
      <c r="F36" s="120">
        <f t="shared" si="20"/>
        <v>5.3670886075949369</v>
      </c>
      <c r="G36" s="119">
        <f t="shared" si="17"/>
        <v>91.3125</v>
      </c>
      <c r="H36" s="121">
        <f>IFERROR(G36-$G$47,"")</f>
        <v>-1.5265804597701162</v>
      </c>
      <c r="I36" s="119">
        <f>IFERROR(AVERAGEIFS(points,managers,'Owner View'!B36,opponent,'Owner View'!$C$2,outcome,"W"),"")</f>
        <v>111.11111111111111</v>
      </c>
      <c r="J36" s="120">
        <f>IFERROR(I36-'SFFL Main Page'!J7,"")</f>
        <v>9.3409961685823788</v>
      </c>
      <c r="K36" s="119">
        <f>IFERROR(AVERAGEIFS(points,managers,'Owner View'!B36,opponent,'Owner View'!$C$2,outcome,"L"),"")</f>
        <v>80</v>
      </c>
      <c r="L36" s="120">
        <f>IFERROR(K36-'SFFL Main Page'!K7,"")</f>
        <v>2.0595238095238102</v>
      </c>
      <c r="M36" s="119">
        <f t="shared" si="18"/>
        <v>97.5</v>
      </c>
      <c r="N36" s="121">
        <f>IFERROR(M36-'SFFL Main Page'!I7,"")</f>
        <v>7.5114942528735611</v>
      </c>
      <c r="O36" s="122">
        <f t="shared" si="22"/>
        <v>-9.0380747126436773</v>
      </c>
      <c r="S36" s="159">
        <v>31</v>
      </c>
      <c r="T36" s="118" t="s">
        <v>25</v>
      </c>
      <c r="U36" s="172" t="s">
        <v>47</v>
      </c>
      <c r="V36" s="151">
        <f>IFERROR(AVERAGEIFS(points,managers,'Owner View'!T36,opponent,'Owner View'!U36,outcome,"W"),"")</f>
        <v>100.8</v>
      </c>
      <c r="W36" s="152">
        <f>IFERROR(V36-VLOOKUP(T36,'SFFL Main Page'!$B$4:$L$20,9,FALSE),"")</f>
        <v>-0.97011494252873831</v>
      </c>
      <c r="X36" s="153">
        <f>IFERROR(COUNTIFS(managers,'Owner View'!T36,opponent,'Owner View'!U36,outcome,"W"),"")</f>
        <v>5</v>
      </c>
      <c r="Y36" s="151">
        <f>IFERROR(AVERAGEIFS(points,managers,'Owner View'!T36,opponent,'Owner View'!U36,outcome,"L"),"")</f>
        <v>79.888888888888886</v>
      </c>
      <c r="Z36" s="152">
        <f>IFERROR(Y36-VLOOKUP(T36,'SFFL Main Page'!$B$4:$L$20,10,FALSE),"")</f>
        <v>1.9484126984126959</v>
      </c>
      <c r="AA36" s="153">
        <f>IFERROR(COUNTIFS(managers,'Owner View'!T36,opponent,'Owner View'!U36,outcome,"L"),"")</f>
        <v>9</v>
      </c>
      <c r="AB36" s="166">
        <f t="shared" si="13"/>
        <v>87.357142857142861</v>
      </c>
      <c r="AC36" s="152">
        <f>IFERROR(AB36-VLOOKUP(T36,'SFFL Main Page'!$B$4:$L$20,8,FALSE),"")</f>
        <v>-2.6313628899835777</v>
      </c>
      <c r="AD36" s="151">
        <f>IFERROR(AVERAGEIFS(points,managers,'Owner View'!U36,opponent,'Owner View'!T36,outcome,"W"),"")</f>
        <v>100.88888888888889</v>
      </c>
      <c r="AE36" s="152">
        <f>IFERROR(AD36-VLOOKUP(U36,'SFFL Main Page'!$B$4:$L$20,9,FALSE),"")</f>
        <v>-4.4690058479532127</v>
      </c>
      <c r="AF36" s="153">
        <f>IFERROR(COUNTIFS(managers,'Owner View'!U36,opponent,'Owner View'!T36,outcome,"W"),"")</f>
        <v>9</v>
      </c>
      <c r="AG36" s="151">
        <f>IFERROR(AVERAGEIFS(points,managers,'Owner View'!U36,opponent,'Owner View'!T36,outcome,"L"),"")</f>
        <v>92.2</v>
      </c>
      <c r="AH36" s="152">
        <f>IFERROR(AG36-VLOOKUP(U36,'SFFL Main Page'!$B$4:$L$20,10,FALSE),"")</f>
        <v>8.6230769230769226</v>
      </c>
      <c r="AI36" s="153">
        <f>IFERROR(COUNTIFS(managers,'Owner View'!U36,opponent,'Owner View'!T36,outcome,"L"),"")</f>
        <v>5</v>
      </c>
      <c r="AJ36" s="151">
        <f t="shared" si="15"/>
        <v>97.785714285714292</v>
      </c>
      <c r="AK36" s="169">
        <f>IFERROR(AJ36-VLOOKUP(U36,'SFFL Main Page'!$B$4:$L$20,8,FALSE),"")</f>
        <v>0.22490347490348483</v>
      </c>
      <c r="AL36" s="152">
        <f t="shared" si="16"/>
        <v>-2.8562663648870625</v>
      </c>
    </row>
    <row r="37" spans="2:38" x14ac:dyDescent="0.3">
      <c r="B37" s="118" t="s">
        <v>47</v>
      </c>
      <c r="C37" s="119">
        <f>IFERROR(AVERAGEIFS(points,managers,'Owner View'!$C$2,opponent,'Owner View'!B37,outcome,"W"),"")</f>
        <v>109.5</v>
      </c>
      <c r="D37" s="120">
        <f t="shared" si="19"/>
        <v>6.574468085106389</v>
      </c>
      <c r="E37" s="119">
        <f>IFERROR(AVERAGEIFS(points,managers,'Owner View'!$C$2,opponent,'Owner View'!B37,outcome,"L"),"")</f>
        <v>80.857142857142861</v>
      </c>
      <c r="F37" s="120">
        <f t="shared" si="20"/>
        <v>0.22423146473779809</v>
      </c>
      <c r="G37" s="119">
        <f t="shared" si="17"/>
        <v>91.272727272727266</v>
      </c>
      <c r="H37" s="121">
        <f t="shared" si="21"/>
        <v>-1.56635318704285</v>
      </c>
      <c r="I37" s="119">
        <f>IFERROR(AVERAGEIFS(points,managers,'Owner View'!B37,opponent,'Owner View'!$C$2,outcome,"W"),"")</f>
        <v>111.71428571428571</v>
      </c>
      <c r="J37" s="120">
        <f>IFERROR(I37-'SFFL Main Page'!J8,"")</f>
        <v>6.3563909774436098</v>
      </c>
      <c r="K37" s="119">
        <f>IFERROR(AVERAGEIFS(points,managers,'Owner View'!B37,opponent,'Owner View'!$C$2,outcome,"L"),"")</f>
        <v>79.5</v>
      </c>
      <c r="L37" s="120">
        <f>IFERROR(K37-'SFFL Main Page'!K8,"")</f>
        <v>-4.0769230769230802</v>
      </c>
      <c r="M37" s="119">
        <f t="shared" si="18"/>
        <v>100</v>
      </c>
      <c r="N37" s="121">
        <f>IFERROR(M37-'SFFL Main Page'!I8,"")</f>
        <v>2.439189189189193</v>
      </c>
      <c r="O37" s="122">
        <f t="shared" si="22"/>
        <v>-4.005542376232043</v>
      </c>
      <c r="S37" s="159">
        <v>32</v>
      </c>
      <c r="T37" s="118" t="s">
        <v>25</v>
      </c>
      <c r="U37" s="172" t="s">
        <v>26</v>
      </c>
      <c r="V37" s="151">
        <f>IFERROR(AVERAGEIFS(points,managers,'Owner View'!T37,opponent,'Owner View'!U37,outcome,"W"),"")</f>
        <v>105.85714285714286</v>
      </c>
      <c r="W37" s="152">
        <f>IFERROR(V37-VLOOKUP(T37,'SFFL Main Page'!$B$4:$L$20,9,FALSE),"")</f>
        <v>4.0870279146141257</v>
      </c>
      <c r="X37" s="153">
        <f>IFERROR(COUNTIFS(managers,'Owner View'!T37,opponent,'Owner View'!U37,outcome,"W"),"")</f>
        <v>7</v>
      </c>
      <c r="Y37" s="151">
        <f>IFERROR(AVERAGEIFS(points,managers,'Owner View'!T37,opponent,'Owner View'!U37,outcome,"L"),"")</f>
        <v>72.5</v>
      </c>
      <c r="Z37" s="152">
        <f>IFERROR(Y37-VLOOKUP(T37,'SFFL Main Page'!$B$4:$L$20,10,FALSE),"")</f>
        <v>-5.4404761904761898</v>
      </c>
      <c r="AA37" s="153">
        <f>IFERROR(COUNTIFS(managers,'Owner View'!T37,opponent,'Owner View'!U37,outcome,"L"),"")</f>
        <v>6</v>
      </c>
      <c r="AB37" s="166">
        <f t="shared" si="13"/>
        <v>90.461538461538467</v>
      </c>
      <c r="AC37" s="152">
        <f>IFERROR(AB37-VLOOKUP(T37,'SFFL Main Page'!$B$4:$L$20,8,FALSE),"")</f>
        <v>0.4730327144120281</v>
      </c>
      <c r="AD37" s="151">
        <f>IFERROR(AVERAGEIFS(points,managers,'Owner View'!U37,opponent,'Owner View'!T37,outcome,"W"),"")</f>
        <v>113.5</v>
      </c>
      <c r="AE37" s="152">
        <f>IFERROR(AD37-VLOOKUP(U37,'SFFL Main Page'!$B$4:$L$20,9,FALSE),"")</f>
        <v>9.9479166666666714</v>
      </c>
      <c r="AF37" s="153">
        <f>IFERROR(COUNTIFS(managers,'Owner View'!U37,opponent,'Owner View'!T37,outcome,"W"),"")</f>
        <v>6</v>
      </c>
      <c r="AG37" s="151">
        <f>IFERROR(AVERAGEIFS(points,managers,'Owner View'!U37,opponent,'Owner View'!T37,outcome,"L"),"")</f>
        <v>74.714285714285708</v>
      </c>
      <c r="AH37" s="152">
        <f>IFERROR(AG37-VLOOKUP(U37,'SFFL Main Page'!$B$4:$L$20,10,FALSE),"")</f>
        <v>-2.8181818181818272</v>
      </c>
      <c r="AI37" s="153">
        <f>IFERROR(COUNTIFS(managers,'Owner View'!U37,opponent,'Owner View'!T37,outcome,"L"),"")</f>
        <v>7</v>
      </c>
      <c r="AJ37" s="151">
        <f t="shared" si="15"/>
        <v>92.615384615384613</v>
      </c>
      <c r="AK37" s="169">
        <f>IFERROR(AJ37-VLOOKUP(U37,'SFFL Main Page'!$B$4:$L$20,8,FALSE),"")</f>
        <v>0.63262599469496195</v>
      </c>
      <c r="AL37" s="152">
        <f t="shared" si="16"/>
        <v>-0.15959328028293385</v>
      </c>
    </row>
    <row r="38" spans="2:38" x14ac:dyDescent="0.3">
      <c r="B38" s="118" t="s">
        <v>26</v>
      </c>
      <c r="C38" s="119">
        <f>IFERROR(AVERAGEIFS(points,managers,'Owner View'!$C$2,opponent,'Owner View'!B38,outcome,"W"),"")</f>
        <v>109.83333333333333</v>
      </c>
      <c r="D38" s="120">
        <f t="shared" si="19"/>
        <v>6.9078014184397176</v>
      </c>
      <c r="E38" s="119">
        <f>IFERROR(AVERAGEIFS(points,managers,'Owner View'!$C$2,opponent,'Owner View'!B38,outcome,"L"),"")</f>
        <v>81.777777777777771</v>
      </c>
      <c r="F38" s="120">
        <f t="shared" si="20"/>
        <v>1.1448663853727084</v>
      </c>
      <c r="G38" s="119">
        <f t="shared" si="17"/>
        <v>93</v>
      </c>
      <c r="H38" s="121">
        <f t="shared" si="21"/>
        <v>0.16091954022988375</v>
      </c>
      <c r="I38" s="119">
        <f>IFERROR(AVERAGEIFS(points,managers,'Owner View'!B38,opponent,'Owner View'!$C$2,outcome,"W"),"")</f>
        <v>92.333333333333329</v>
      </c>
      <c r="J38" s="120">
        <f>IFERROR(I38-'SFFL Main Page'!J9,"")</f>
        <v>-11.21875</v>
      </c>
      <c r="K38" s="119">
        <f>IFERROR(AVERAGEIFS(points,managers,'Owner View'!B38,opponent,'Owner View'!$C$2,outcome,"L"),"")</f>
        <v>76.166666666666671</v>
      </c>
      <c r="L38" s="120">
        <f>IFERROR(K38-'SFFL Main Page'!K9,"")</f>
        <v>-1.365800865800864</v>
      </c>
      <c r="M38" s="119">
        <f t="shared" si="18"/>
        <v>85.86666666666666</v>
      </c>
      <c r="N38" s="121">
        <f>IFERROR(M38-'SFFL Main Page'!I9,"")</f>
        <v>-6.1160919540229912</v>
      </c>
      <c r="O38" s="122">
        <f t="shared" si="22"/>
        <v>6.277011494252875</v>
      </c>
      <c r="S38" s="159">
        <v>33</v>
      </c>
      <c r="T38" s="118" t="s">
        <v>25</v>
      </c>
      <c r="U38" s="172" t="s">
        <v>48</v>
      </c>
      <c r="V38" s="151">
        <f>IFERROR(AVERAGEIFS(points,managers,'Owner View'!T38,opponent,'Owner View'!U38,outcome,"W"),"")</f>
        <v>92.875</v>
      </c>
      <c r="W38" s="152">
        <f>IFERROR(V38-VLOOKUP(T38,'SFFL Main Page'!$B$4:$L$20,9,FALSE),"")</f>
        <v>-8.8951149425287355</v>
      </c>
      <c r="X38" s="153">
        <f>IFERROR(COUNTIFS(managers,'Owner View'!T38,opponent,'Owner View'!U38,outcome,"W"),"")</f>
        <v>8</v>
      </c>
      <c r="Y38" s="151">
        <f>IFERROR(AVERAGEIFS(points,managers,'Owner View'!T38,opponent,'Owner View'!U38,outcome,"L"),"")</f>
        <v>80.555555555555557</v>
      </c>
      <c r="Z38" s="152">
        <f>IFERROR(Y38-VLOOKUP(T38,'SFFL Main Page'!$B$4:$L$20,10,FALSE),"")</f>
        <v>2.6150793650793673</v>
      </c>
      <c r="AA38" s="153">
        <f>IFERROR(COUNTIFS(managers,'Owner View'!T38,opponent,'Owner View'!U38,outcome,"L"),"")</f>
        <v>9</v>
      </c>
      <c r="AB38" s="166">
        <f t="shared" si="13"/>
        <v>86.352941176470594</v>
      </c>
      <c r="AC38" s="152">
        <f>IFERROR(AB38-VLOOKUP(T38,'SFFL Main Page'!$B$4:$L$20,8,FALSE),"")</f>
        <v>-3.6355645706558448</v>
      </c>
      <c r="AD38" s="151">
        <f>IFERROR(AVERAGEIFS(points,managers,'Owner View'!U38,opponent,'Owner View'!T38,outcome,"W"),"")</f>
        <v>104</v>
      </c>
      <c r="AE38" s="152">
        <f>IFERROR(AD38-VLOOKUP(U38,'SFFL Main Page'!$B$4:$L$20,9,FALSE),"")</f>
        <v>-4.7451219512195166</v>
      </c>
      <c r="AF38" s="153">
        <f>IFERROR(COUNTIFS(managers,'Owner View'!U38,opponent,'Owner View'!T38,outcome,"W"),"")</f>
        <v>9</v>
      </c>
      <c r="AG38" s="151">
        <f>IFERROR(AVERAGEIFS(points,managers,'Owner View'!U38,opponent,'Owner View'!T38,outcome,"L"),"")</f>
        <v>78.625</v>
      </c>
      <c r="AH38" s="152">
        <f>IFERROR(AG38-VLOOKUP(U38,'SFFL Main Page'!$B$4:$L$20,10,FALSE),"")</f>
        <v>-6.1325757575757507</v>
      </c>
      <c r="AI38" s="153">
        <f>IFERROR(COUNTIFS(managers,'Owner View'!U38,opponent,'Owner View'!T38,outcome,"L"),"")</f>
        <v>8</v>
      </c>
      <c r="AJ38" s="151">
        <f t="shared" si="15"/>
        <v>92.058823529411768</v>
      </c>
      <c r="AK38" s="169">
        <f>IFERROR(AJ38-VLOOKUP(U38,'SFFL Main Page'!$B$4:$L$20,8,FALSE),"")</f>
        <v>-5.9891494435612032</v>
      </c>
      <c r="AL38" s="152">
        <f t="shared" si="16"/>
        <v>2.3535848729053583</v>
      </c>
    </row>
    <row r="39" spans="2:38" x14ac:dyDescent="0.3">
      <c r="B39" s="118" t="s">
        <v>48</v>
      </c>
      <c r="C39" s="119">
        <f>IFERROR(AVERAGEIFS(points,managers,'Owner View'!$C$2,opponent,'Owner View'!B39,outcome,"W"),"")</f>
        <v>112.5</v>
      </c>
      <c r="D39" s="120">
        <f t="shared" si="19"/>
        <v>9.574468085106389</v>
      </c>
      <c r="E39" s="119">
        <f>IFERROR(AVERAGEIFS(points,managers,'Owner View'!$C$2,opponent,'Owner View'!B39,outcome,"L"),"")</f>
        <v>70.125</v>
      </c>
      <c r="F39" s="120">
        <f t="shared" si="20"/>
        <v>-10.507911392405063</v>
      </c>
      <c r="G39" s="119">
        <f t="shared" si="17"/>
        <v>88.285714285714292</v>
      </c>
      <c r="H39" s="121">
        <f t="shared" si="21"/>
        <v>-4.5533661740558244</v>
      </c>
      <c r="I39" s="119">
        <f>IFERROR(AVERAGEIFS(points,managers,'Owner View'!B39,opponent,'Owner View'!$C$2,outcome,"W"),"")</f>
        <v>100.875</v>
      </c>
      <c r="J39" s="120">
        <f>IFERROR(I39-'SFFL Main Page'!J10,"")</f>
        <v>-7.8701219512195166</v>
      </c>
      <c r="K39" s="119">
        <f>IFERROR(AVERAGEIFS(points,managers,'Owner View'!B39,opponent,'Owner View'!$C$2,outcome,"L"),"")</f>
        <v>90</v>
      </c>
      <c r="L39" s="120">
        <f>IFERROR(K39-'SFFL Main Page'!K10,"")</f>
        <v>5.2424242424242493</v>
      </c>
      <c r="M39" s="119">
        <f t="shared" si="18"/>
        <v>96.214285714285708</v>
      </c>
      <c r="N39" s="121">
        <f>IFERROR(M39-'SFFL Main Page'!I10,"")</f>
        <v>-1.833687258687263</v>
      </c>
      <c r="O39" s="122">
        <f t="shared" si="22"/>
        <v>-2.7196789153685614</v>
      </c>
      <c r="S39" s="159">
        <v>34</v>
      </c>
      <c r="T39" s="118" t="s">
        <v>25</v>
      </c>
      <c r="U39" s="172" t="s">
        <v>29</v>
      </c>
      <c r="V39" s="151">
        <f>IFERROR(AVERAGEIFS(points,managers,'Owner View'!T39,opponent,'Owner View'!U39,outcome,"W"),"")</f>
        <v>106.5</v>
      </c>
      <c r="W39" s="152">
        <f>IFERROR(V39-VLOOKUP(T39,'SFFL Main Page'!$B$4:$L$20,9,FALSE),"")</f>
        <v>4.7298850574712645</v>
      </c>
      <c r="X39" s="153">
        <f>IFERROR(COUNTIFS(managers,'Owner View'!T39,opponent,'Owner View'!U39,outcome,"W"),"")</f>
        <v>6</v>
      </c>
      <c r="Y39" s="151">
        <f>IFERROR(AVERAGEIFS(points,managers,'Owner View'!T39,opponent,'Owner View'!U39,outcome,"L"),"")</f>
        <v>84</v>
      </c>
      <c r="Z39" s="152">
        <f>IFERROR(Y39-VLOOKUP(T39,'SFFL Main Page'!$B$4:$L$20,10,FALSE),"")</f>
        <v>6.0595238095238102</v>
      </c>
      <c r="AA39" s="153">
        <f>IFERROR(COUNTIFS(managers,'Owner View'!T39,opponent,'Owner View'!U39,outcome,"L"),"")</f>
        <v>7</v>
      </c>
      <c r="AB39" s="166">
        <f t="shared" si="13"/>
        <v>94.384615384615387</v>
      </c>
      <c r="AC39" s="152">
        <f>IFERROR(AB39-VLOOKUP(T39,'SFFL Main Page'!$B$4:$L$20,8,FALSE),"")</f>
        <v>4.3961096374889479</v>
      </c>
      <c r="AD39" s="151">
        <f>IFERROR(AVERAGEIFS(points,managers,'Owner View'!U39,opponent,'Owner View'!T39,outcome,"W"),"")</f>
        <v>102.57142857142857</v>
      </c>
      <c r="AE39" s="152">
        <f>IFERROR(AD39-VLOOKUP(U39,'SFFL Main Page'!$B$4:$L$20,9,FALSE),"")</f>
        <v>1.5008403361344449</v>
      </c>
      <c r="AF39" s="153">
        <f>IFERROR(COUNTIFS(managers,'Owner View'!U39,opponent,'Owner View'!T39,outcome,"W"),"")</f>
        <v>7</v>
      </c>
      <c r="AG39" s="151">
        <f>IFERROR(AVERAGEIFS(points,managers,'Owner View'!U39,opponent,'Owner View'!T39,outcome,"L"),"")</f>
        <v>85.833333333333329</v>
      </c>
      <c r="AH39" s="152">
        <f>IFERROR(AG39-VLOOKUP(U39,'SFFL Main Page'!$B$4:$L$20,10,FALSE),"")</f>
        <v>7.7083333333333286</v>
      </c>
      <c r="AI39" s="153">
        <f>IFERROR(COUNTIFS(managers,'Owner View'!U39,opponent,'Owner View'!T39,outcome,"L"),"")</f>
        <v>6</v>
      </c>
      <c r="AJ39" s="151">
        <f t="shared" si="15"/>
        <v>94.84615384615384</v>
      </c>
      <c r="AK39" s="169">
        <f>IFERROR(AJ39-VLOOKUP(U39,'SFFL Main Page'!$B$4:$L$20,8,FALSE),"")</f>
        <v>5.4438549955791302</v>
      </c>
      <c r="AL39" s="152">
        <f t="shared" si="16"/>
        <v>-1.0477453580901823</v>
      </c>
    </row>
    <row r="40" spans="2:38" x14ac:dyDescent="0.3">
      <c r="B40" s="118" t="s">
        <v>29</v>
      </c>
      <c r="C40" s="119">
        <f>IFERROR(AVERAGEIFS(points,managers,'Owner View'!$C$2,opponent,'Owner View'!B40,outcome,"W"),"")</f>
        <v>92.166666666666671</v>
      </c>
      <c r="D40" s="120">
        <f t="shared" si="19"/>
        <v>-10.75886524822694</v>
      </c>
      <c r="E40" s="119">
        <f>IFERROR(AVERAGEIFS(points,managers,'Owner View'!$C$2,opponent,'Owner View'!B40,outcome,"L"),"")</f>
        <v>75.25</v>
      </c>
      <c r="F40" s="120">
        <f t="shared" si="20"/>
        <v>-5.3829113924050631</v>
      </c>
      <c r="G40" s="119">
        <f t="shared" si="17"/>
        <v>82.5</v>
      </c>
      <c r="H40" s="121">
        <f t="shared" si="21"/>
        <v>-10.339080459770116</v>
      </c>
      <c r="I40" s="119">
        <f>IFERROR(AVERAGEIFS(points,managers,'Owner View'!B40,opponent,'Owner View'!$C$2,outcome,"W"),"")</f>
        <v>112.875</v>
      </c>
      <c r="J40" s="120">
        <f>IFERROR(I40-'SFFL Main Page'!J11,"")</f>
        <v>11.804411764705875</v>
      </c>
      <c r="K40" s="119">
        <f>IFERROR(AVERAGEIFS(points,managers,'Owner View'!B40,opponent,'Owner View'!$C$2,outcome,"L"),"")</f>
        <v>73.666666666666671</v>
      </c>
      <c r="L40" s="120">
        <f>IFERROR(K40-'SFFL Main Page'!K11,"")</f>
        <v>-4.4583333333333286</v>
      </c>
      <c r="M40" s="119">
        <f t="shared" si="18"/>
        <v>96.071428571428569</v>
      </c>
      <c r="N40" s="121">
        <f>IFERROR(M40-'SFFL Main Page'!I11,"")</f>
        <v>6.66912972085386</v>
      </c>
      <c r="O40" s="122">
        <f t="shared" si="22"/>
        <v>-17.008210180623976</v>
      </c>
      <c r="S40" s="159">
        <v>35</v>
      </c>
      <c r="T40" s="118" t="s">
        <v>25</v>
      </c>
      <c r="U40" s="172" t="s">
        <v>43</v>
      </c>
      <c r="V40" s="151">
        <f>IFERROR(AVERAGEIFS(points,managers,'Owner View'!T40,opponent,'Owner View'!U40,outcome,"W"),"")</f>
        <v>97.875</v>
      </c>
      <c r="W40" s="152">
        <f>IFERROR(V40-VLOOKUP(T40,'SFFL Main Page'!$B$4:$L$20,9,FALSE),"")</f>
        <v>-3.8951149425287355</v>
      </c>
      <c r="X40" s="153">
        <f>IFERROR(COUNTIFS(managers,'Owner View'!T40,opponent,'Owner View'!U40,outcome,"W"),"")</f>
        <v>8</v>
      </c>
      <c r="Y40" s="151">
        <f>IFERROR(AVERAGEIFS(points,managers,'Owner View'!T40,opponent,'Owner View'!U40,outcome,"L"),"")</f>
        <v>90</v>
      </c>
      <c r="Z40" s="152">
        <f>IFERROR(Y40-VLOOKUP(T40,'SFFL Main Page'!$B$4:$L$20,10,FALSE),"")</f>
        <v>12.05952380952381</v>
      </c>
      <c r="AA40" s="153">
        <f>IFERROR(COUNTIFS(managers,'Owner View'!T40,opponent,'Owner View'!U40,outcome,"L"),"")</f>
        <v>8</v>
      </c>
      <c r="AB40" s="166">
        <f t="shared" si="13"/>
        <v>93.9375</v>
      </c>
      <c r="AC40" s="152">
        <f>IFERROR(AB40-VLOOKUP(T40,'SFFL Main Page'!$B$4:$L$20,8,FALSE),"")</f>
        <v>3.9489942528735611</v>
      </c>
      <c r="AD40" s="151">
        <f>IFERROR(AVERAGEIFS(points,managers,'Owner View'!U40,opponent,'Owner View'!T40,outcome,"W"),"")</f>
        <v>108.625</v>
      </c>
      <c r="AE40" s="152">
        <f>IFERROR(AD40-VLOOKUP(U40,'SFFL Main Page'!$B$4:$L$20,9,FALSE),"")</f>
        <v>7.7978395061728349</v>
      </c>
      <c r="AF40" s="153">
        <f>IFERROR(COUNTIFS(managers,'Owner View'!U40,opponent,'Owner View'!T40,outcome,"W"),"")</f>
        <v>8</v>
      </c>
      <c r="AG40" s="151">
        <f>IFERROR(AVERAGEIFS(points,managers,'Owner View'!U40,opponent,'Owner View'!T40,outcome,"L"),"")</f>
        <v>72.125</v>
      </c>
      <c r="AH40" s="152">
        <f>IFERROR(AG40-VLOOKUP(U40,'SFFL Main Page'!$B$4:$L$20,10,FALSE),"")</f>
        <v>-3.2445652173912976</v>
      </c>
      <c r="AI40" s="153">
        <f>IFERROR(COUNTIFS(managers,'Owner View'!U40,opponent,'Owner View'!T40,outcome,"L"),"")</f>
        <v>8</v>
      </c>
      <c r="AJ40" s="151">
        <f t="shared" si="15"/>
        <v>90.375</v>
      </c>
      <c r="AK40" s="169">
        <f>IFERROR(AJ40-VLOOKUP(U40,'SFFL Main Page'!$B$4:$L$20,8,FALSE),"")</f>
        <v>3.1336206896551744</v>
      </c>
      <c r="AL40" s="152">
        <f t="shared" si="16"/>
        <v>0.81537356321838672</v>
      </c>
    </row>
    <row r="41" spans="2:38" x14ac:dyDescent="0.3">
      <c r="B41" s="118" t="s">
        <v>43</v>
      </c>
      <c r="C41" s="119">
        <f>IFERROR(AVERAGEIFS(points,managers,'Owner View'!$C$2,opponent,'Owner View'!B41,outcome,"W"),"")</f>
        <v>90.2</v>
      </c>
      <c r="D41" s="120">
        <f t="shared" si="19"/>
        <v>-12.725531914893608</v>
      </c>
      <c r="E41" s="119">
        <f>IFERROR(AVERAGEIFS(points,managers,'Owner View'!$C$2,opponent,'Owner View'!B41,outcome,"L"),"")</f>
        <v>81.75</v>
      </c>
      <c r="F41" s="120">
        <f t="shared" si="20"/>
        <v>1.1170886075949369</v>
      </c>
      <c r="G41" s="119">
        <f t="shared" ref="G41:G46" si="23">IFERROR(((C41*C15)+(E41*D15))/SUM(C15:D15),"")</f>
        <v>87.785714285714292</v>
      </c>
      <c r="H41" s="121">
        <f t="shared" si="21"/>
        <v>-5.0533661740558244</v>
      </c>
      <c r="I41" s="119">
        <f>IFERROR(AVERAGEIFS(points,managers,'Owner View'!B41,opponent,'Owner View'!$C$2,outcome,"W"),"")</f>
        <v>106.75</v>
      </c>
      <c r="J41" s="120">
        <f>IFERROR(I41-'SFFL Main Page'!J12,"")</f>
        <v>5.9228395061728349</v>
      </c>
      <c r="K41" s="119">
        <f>IFERROR(AVERAGEIFS(points,managers,'Owner View'!B41,opponent,'Owner View'!$C$2,outcome,"L"),"")</f>
        <v>72.2</v>
      </c>
      <c r="L41" s="120">
        <f>IFERROR(K41-'SFFL Main Page'!K12,"")</f>
        <v>-3.1695652173912947</v>
      </c>
      <c r="M41" s="119">
        <f t="shared" ref="M41:M46" si="24">IFERROR(((I41*D15)+(K41*C15))/SUM(C15:D15),"")</f>
        <v>82.071428571428569</v>
      </c>
      <c r="N41" s="121">
        <f>IFERROR(M41-'SFFL Main Page'!I12,"")</f>
        <v>-5.1699507389162562</v>
      </c>
      <c r="O41" s="122">
        <f t="shared" si="22"/>
        <v>0.11658456486043178</v>
      </c>
      <c r="S41" s="159">
        <v>36</v>
      </c>
      <c r="T41" s="118" t="s">
        <v>25</v>
      </c>
      <c r="U41" s="172" t="s">
        <v>473</v>
      </c>
      <c r="V41" s="151" t="str">
        <f>IFERROR(AVERAGEIFS(points,managers,'Owner View'!T41,opponent,'Owner View'!U41,outcome,"W"),"")</f>
        <v/>
      </c>
      <c r="W41" s="152" t="str">
        <f>IFERROR(V41-VLOOKUP(T41,'SFFL Main Page'!$B$4:$L$20,9,FALSE),"")</f>
        <v/>
      </c>
      <c r="X41" s="153">
        <f>IFERROR(COUNTIFS(managers,'Owner View'!T41,opponent,'Owner View'!U41,outcome,"W"),"")</f>
        <v>0</v>
      </c>
      <c r="Y41" s="151">
        <f>IFERROR(AVERAGEIFS(points,managers,'Owner View'!T41,opponent,'Owner View'!U41,outcome,"L"),"")</f>
        <v>57.5</v>
      </c>
      <c r="Z41" s="152">
        <f>IFERROR(Y41-VLOOKUP(T41,'SFFL Main Page'!$B$4:$L$20,10,FALSE),"")</f>
        <v>-20.44047619047619</v>
      </c>
      <c r="AA41" s="153">
        <f>IFERROR(COUNTIFS(managers,'Owner View'!T41,opponent,'Owner View'!U41,outcome,"L"),"")</f>
        <v>2</v>
      </c>
      <c r="AB41" s="166" t="str">
        <f t="shared" si="13"/>
        <v/>
      </c>
      <c r="AC41" s="152" t="str">
        <f>IFERROR(AB41-VLOOKUP(T41,'SFFL Main Page'!$B$4:$L$20,8,FALSE),"")</f>
        <v/>
      </c>
      <c r="AD41" s="151">
        <f>IFERROR(AVERAGEIFS(points,managers,'Owner View'!U41,opponent,'Owner View'!T41,outcome,"W"),"")</f>
        <v>113.5</v>
      </c>
      <c r="AE41" s="152">
        <f>IFERROR(AD41-VLOOKUP(U41,'SFFL Main Page'!$B$4:$L$20,9,FALSE),"")</f>
        <v>-9.0555555555555571</v>
      </c>
      <c r="AF41" s="153">
        <f>IFERROR(COUNTIFS(managers,'Owner View'!U41,opponent,'Owner View'!T41,outcome,"W"),"")</f>
        <v>2</v>
      </c>
      <c r="AG41" s="151" t="str">
        <f>IFERROR(AVERAGEIFS(points,managers,'Owner View'!U41,opponent,'Owner View'!T41,outcome,"L"),"")</f>
        <v/>
      </c>
      <c r="AH41" s="152" t="str">
        <f>IFERROR(AG41-VLOOKUP(U41,'SFFL Main Page'!$B$4:$L$20,10,FALSE),"")</f>
        <v/>
      </c>
      <c r="AI41" s="153">
        <f>IFERROR(COUNTIFS(managers,'Owner View'!U41,opponent,'Owner View'!T41,outcome,"L"),"")</f>
        <v>0</v>
      </c>
      <c r="AJ41" s="151" t="str">
        <f t="shared" si="15"/>
        <v/>
      </c>
      <c r="AK41" s="169" t="str">
        <f>IFERROR(AJ41-VLOOKUP(U41,'SFFL Main Page'!$B$4:$L$20,8,FALSE),"")</f>
        <v/>
      </c>
      <c r="AL41" s="152" t="str">
        <f t="shared" si="16"/>
        <v/>
      </c>
    </row>
    <row r="42" spans="2:38" x14ac:dyDescent="0.3">
      <c r="B42" s="118" t="s">
        <v>22</v>
      </c>
      <c r="C42" s="119">
        <f>IFERROR(AVERAGEIFS(points,managers,'Owner View'!$C$2,opponent,'Owner View'!B42,outcome,"W"),"")</f>
        <v>110.3</v>
      </c>
      <c r="D42" s="120">
        <f t="shared" si="19"/>
        <v>7.3744680851063862</v>
      </c>
      <c r="E42" s="119">
        <f>IFERROR(AVERAGEIFS(points,managers,'Owner View'!$C$2,opponent,'Owner View'!B42,outcome,"L"),"")</f>
        <v>80</v>
      </c>
      <c r="F42" s="120">
        <f t="shared" si="20"/>
        <v>-0.63291139240506311</v>
      </c>
      <c r="G42" s="119">
        <f t="shared" si="23"/>
        <v>100.2</v>
      </c>
      <c r="H42" s="121">
        <f t="shared" si="21"/>
        <v>7.3609195402298866</v>
      </c>
      <c r="I42" s="119">
        <f>IFERROR(AVERAGEIFS(points,managers,'Owner View'!B42,opponent,'Owner View'!$C$2,outcome,"W"),"")</f>
        <v>108.6</v>
      </c>
      <c r="J42" s="120">
        <f>IFERROR(I42-'SFFL Main Page'!J15,"")</f>
        <v>6.2197183098591466</v>
      </c>
      <c r="K42" s="119">
        <f>IFERROR(AVERAGEIFS(points,managers,'Owner View'!B42,opponent,'Owner View'!$C$2,outcome,"L"),"")</f>
        <v>78.599999999999994</v>
      </c>
      <c r="L42" s="120">
        <f>IFERROR(K42-'SFFL Main Page'!K15,"")</f>
        <v>-1.3509803921568704</v>
      </c>
      <c r="M42" s="119">
        <f t="shared" si="24"/>
        <v>88.6</v>
      </c>
      <c r="N42" s="121">
        <f>IFERROR(M42-'SFFL Main Page'!I15,"")</f>
        <v>-0.56091954022988944</v>
      </c>
      <c r="O42" s="122">
        <f t="shared" si="22"/>
        <v>7.921839080459776</v>
      </c>
      <c r="S42" s="159">
        <v>37</v>
      </c>
      <c r="T42" s="118" t="s">
        <v>25</v>
      </c>
      <c r="U42" s="172" t="s">
        <v>472</v>
      </c>
      <c r="V42" s="151">
        <f>IFERROR(AVERAGEIFS(points,managers,'Owner View'!T42,opponent,'Owner View'!U42,outcome,"W"),"")</f>
        <v>93</v>
      </c>
      <c r="W42" s="152">
        <f>IFERROR(V42-VLOOKUP(T42,'SFFL Main Page'!$B$4:$L$20,9,FALSE),"")</f>
        <v>-8.7701149425287355</v>
      </c>
      <c r="X42" s="153">
        <f>IFERROR(COUNTIFS(managers,'Owner View'!T42,opponent,'Owner View'!U42,outcome,"W"),"")</f>
        <v>1</v>
      </c>
      <c r="Y42" s="151">
        <f>IFERROR(AVERAGEIFS(points,managers,'Owner View'!T42,opponent,'Owner View'!U42,outcome,"L"),"")</f>
        <v>120</v>
      </c>
      <c r="Z42" s="152">
        <f>IFERROR(Y42-VLOOKUP(T42,'SFFL Main Page'!$B$4:$L$20,10,FALSE),"")</f>
        <v>42.05952380952381</v>
      </c>
      <c r="AA42" s="153">
        <f>IFERROR(COUNTIFS(managers,'Owner View'!T42,opponent,'Owner View'!U42,outcome,"L"),"")</f>
        <v>1</v>
      </c>
      <c r="AB42" s="166">
        <f t="shared" si="13"/>
        <v>106.5</v>
      </c>
      <c r="AC42" s="152">
        <f>IFERROR(AB42-VLOOKUP(T42,'SFFL Main Page'!$B$4:$L$20,8,FALSE),"")</f>
        <v>16.511494252873561</v>
      </c>
      <c r="AD42" s="151">
        <f>IFERROR(AVERAGEIFS(points,managers,'Owner View'!U42,opponent,'Owner View'!T42,outcome,"W"),"")</f>
        <v>121</v>
      </c>
      <c r="AE42" s="152">
        <f>IFERROR(AD42-VLOOKUP(U42,'SFFL Main Page'!$B$4:$L$20,9,FALSE),"")</f>
        <v>1.2727272727272663</v>
      </c>
      <c r="AF42" s="153">
        <f>IFERROR(COUNTIFS(managers,'Owner View'!U42,opponent,'Owner View'!T42,outcome,"W"),"")</f>
        <v>1</v>
      </c>
      <c r="AG42" s="151">
        <f>IFERROR(AVERAGEIFS(points,managers,'Owner View'!U42,opponent,'Owner View'!T42,outcome,"L"),"")</f>
        <v>67</v>
      </c>
      <c r="AH42" s="152">
        <f>IFERROR(AG42-VLOOKUP(U42,'SFFL Main Page'!$B$4:$L$20,10,FALSE),"")</f>
        <v>-30.529411764705884</v>
      </c>
      <c r="AI42" s="153">
        <f>IFERROR(COUNTIFS(managers,'Owner View'!U42,opponent,'Owner View'!T42,outcome,"L"),"")</f>
        <v>1</v>
      </c>
      <c r="AJ42" s="151">
        <f t="shared" si="15"/>
        <v>94</v>
      </c>
      <c r="AK42" s="169">
        <f>IFERROR(AJ42-VLOOKUP(U42,'SFFL Main Page'!$B$4:$L$20,8,FALSE),"")</f>
        <v>-12.25</v>
      </c>
      <c r="AL42" s="152">
        <f t="shared" si="16"/>
        <v>28.761494252873561</v>
      </c>
    </row>
    <row r="43" spans="2:38" x14ac:dyDescent="0.3">
      <c r="B43" s="118" t="s">
        <v>30</v>
      </c>
      <c r="C43" s="119">
        <f>IFERROR(AVERAGEIFS(points,managers,'Owner View'!$C$2,opponent,'Owner View'!B43,outcome,"W"),"")</f>
        <v>99.888888888888886</v>
      </c>
      <c r="D43" s="120">
        <f t="shared" si="19"/>
        <v>-3.0366430260047252</v>
      </c>
      <c r="E43" s="119">
        <f>IFERROR(AVERAGEIFS(points,managers,'Owner View'!$C$2,opponent,'Owner View'!B43,outcome,"L"),"")</f>
        <v>83.5</v>
      </c>
      <c r="F43" s="120">
        <f t="shared" si="20"/>
        <v>2.8670886075949369</v>
      </c>
      <c r="G43" s="119">
        <f t="shared" si="23"/>
        <v>93.333333333333329</v>
      </c>
      <c r="H43" s="121">
        <f t="shared" si="21"/>
        <v>0.49425287356321235</v>
      </c>
      <c r="I43" s="119">
        <f>IFERROR(AVERAGEIFS(points,managers,'Owner View'!B43,opponent,'Owner View'!$C$2,outcome,"W"),"")</f>
        <v>99.5</v>
      </c>
      <c r="J43" s="120">
        <f>IFERROR(I43-'SFFL Main Page'!J16,"")</f>
        <v>-3.4000000000000057</v>
      </c>
      <c r="K43" s="119">
        <f>IFERROR(AVERAGEIFS(points,managers,'Owner View'!B43,opponent,'Owner View'!$C$2,outcome,"L"),"")</f>
        <v>85.333333333333329</v>
      </c>
      <c r="L43" s="120">
        <f>IFERROR(K43-'SFFL Main Page'!K16,"")</f>
        <v>3.3978494623655848</v>
      </c>
      <c r="M43" s="119">
        <f t="shared" si="24"/>
        <v>91</v>
      </c>
      <c r="N43" s="121">
        <f>IFERROR(M43-'SFFL Main Page'!I16,"")</f>
        <v>-0.56896551724138078</v>
      </c>
      <c r="O43" s="122">
        <f t="shared" si="22"/>
        <v>1.0632183908045931</v>
      </c>
      <c r="S43" s="159">
        <v>38</v>
      </c>
      <c r="T43" s="118" t="s">
        <v>25</v>
      </c>
      <c r="U43" s="172" t="s">
        <v>22</v>
      </c>
      <c r="V43" s="151">
        <f>IFERROR(AVERAGEIFS(points,managers,'Owner View'!T43,opponent,'Owner View'!U43,outcome,"W"),"")</f>
        <v>102.61538461538461</v>
      </c>
      <c r="W43" s="152">
        <f>IFERROR(V43-VLOOKUP(T43,'SFFL Main Page'!$B$4:$L$20,9,FALSE),"")</f>
        <v>0.84526967285587773</v>
      </c>
      <c r="X43" s="153">
        <f>IFERROR(COUNTIFS(managers,'Owner View'!T43,opponent,'Owner View'!U43,outcome,"W"),"")</f>
        <v>13</v>
      </c>
      <c r="Y43" s="151">
        <f>IFERROR(AVERAGEIFS(points,managers,'Owner View'!T43,opponent,'Owner View'!U43,outcome,"L"),"")</f>
        <v>73</v>
      </c>
      <c r="Z43" s="152">
        <f>IFERROR(Y43-VLOOKUP(T43,'SFFL Main Page'!$B$4:$L$20,10,FALSE),"")</f>
        <v>-4.9404761904761898</v>
      </c>
      <c r="AA43" s="153">
        <f>IFERROR(COUNTIFS(managers,'Owner View'!T43,opponent,'Owner View'!U43,outcome,"L"),"")</f>
        <v>3</v>
      </c>
      <c r="AB43" s="166">
        <f t="shared" si="13"/>
        <v>97.0625</v>
      </c>
      <c r="AC43" s="152">
        <f>IFERROR(AB43-VLOOKUP(T43,'SFFL Main Page'!$B$4:$L$20,8,FALSE),"")</f>
        <v>7.0739942528735611</v>
      </c>
      <c r="AD43" s="151">
        <f>IFERROR(AVERAGEIFS(points,managers,'Owner View'!U43,opponent,'Owner View'!T43,outcome,"W"),"")</f>
        <v>86</v>
      </c>
      <c r="AE43" s="152">
        <f>IFERROR(AD43-VLOOKUP(U43,'SFFL Main Page'!$B$4:$L$20,9,FALSE),"")</f>
        <v>-16.380281690140848</v>
      </c>
      <c r="AF43" s="153">
        <f>IFERROR(COUNTIFS(managers,'Owner View'!U43,opponent,'Owner View'!T43,outcome,"W"),"")</f>
        <v>3</v>
      </c>
      <c r="AG43" s="151">
        <f>IFERROR(AVERAGEIFS(points,managers,'Owner View'!U43,opponent,'Owner View'!T43,outcome,"L"),"")</f>
        <v>80.230769230769226</v>
      </c>
      <c r="AH43" s="152">
        <f>IFERROR(AG43-VLOOKUP(U43,'SFFL Main Page'!$B$4:$L$20,10,FALSE),"")</f>
        <v>0.2797888386123617</v>
      </c>
      <c r="AI43" s="153">
        <f>IFERROR(COUNTIFS(managers,'Owner View'!U43,opponent,'Owner View'!T43,outcome,"L"),"")</f>
        <v>13</v>
      </c>
      <c r="AJ43" s="151">
        <f t="shared" si="15"/>
        <v>81.3125</v>
      </c>
      <c r="AK43" s="169">
        <f>IFERROR(AJ43-VLOOKUP(U43,'SFFL Main Page'!$B$4:$L$20,8,FALSE),"")</f>
        <v>-7.8484195402298838</v>
      </c>
      <c r="AL43" s="152">
        <f t="shared" si="16"/>
        <v>14.922413793103445</v>
      </c>
    </row>
    <row r="44" spans="2:38" x14ac:dyDescent="0.3">
      <c r="B44" s="118" t="s">
        <v>23</v>
      </c>
      <c r="C44" s="119" t="str">
        <f>IFERROR(AVERAGEIFS(points,managers,'Owner View'!$C$2,opponent,'Owner View'!B44,outcome,"W"),"")</f>
        <v/>
      </c>
      <c r="D44" s="120" t="str">
        <f t="shared" si="19"/>
        <v/>
      </c>
      <c r="E44" s="119" t="str">
        <f>IFERROR(AVERAGEIFS(points,managers,'Owner View'!$C$2,opponent,'Owner View'!B44,outcome,"L"),"")</f>
        <v/>
      </c>
      <c r="F44" s="120" t="str">
        <f t="shared" si="20"/>
        <v/>
      </c>
      <c r="G44" s="119" t="str">
        <f t="shared" si="23"/>
        <v/>
      </c>
      <c r="H44" s="121" t="str">
        <f t="shared" si="21"/>
        <v/>
      </c>
      <c r="I44" s="119" t="str">
        <f>IFERROR(AVERAGEIFS(points,managers,'Owner View'!B44,opponent,'Owner View'!$C$2,outcome,"W"),"")</f>
        <v/>
      </c>
      <c r="J44" s="120" t="str">
        <f>IFERROR(I44-'SFFL Main Page'!J17,"")</f>
        <v/>
      </c>
      <c r="K44" s="119" t="str">
        <f>IFERROR(AVERAGEIFS(points,managers,'Owner View'!B44,opponent,'Owner View'!$C$2,outcome,"L"),"")</f>
        <v/>
      </c>
      <c r="L44" s="120" t="str">
        <f>IFERROR(K44-'SFFL Main Page'!K17,"")</f>
        <v/>
      </c>
      <c r="M44" s="119" t="str">
        <f t="shared" si="24"/>
        <v/>
      </c>
      <c r="N44" s="121" t="str">
        <f>IFERROR(M44-'SFFL Main Page'!I17,"")</f>
        <v/>
      </c>
      <c r="O44" s="122" t="str">
        <f t="shared" si="22"/>
        <v/>
      </c>
      <c r="S44" s="159">
        <v>39</v>
      </c>
      <c r="T44" s="118" t="s">
        <v>25</v>
      </c>
      <c r="U44" s="172" t="s">
        <v>30</v>
      </c>
      <c r="V44" s="151">
        <f>IFERROR(AVERAGEIFS(points,managers,'Owner View'!T44,opponent,'Owner View'!U44,outcome,"W"),"")</f>
        <v>110.71428571428571</v>
      </c>
      <c r="W44" s="152">
        <f>IFERROR(V44-VLOOKUP(T44,'SFFL Main Page'!$B$4:$L$20,9,FALSE),"")</f>
        <v>8.9441707717569727</v>
      </c>
      <c r="X44" s="153">
        <f>IFERROR(COUNTIFS(managers,'Owner View'!T44,opponent,'Owner View'!U44,outcome,"W"),"")</f>
        <v>7</v>
      </c>
      <c r="Y44" s="151">
        <f>IFERROR(AVERAGEIFS(points,managers,'Owner View'!T44,opponent,'Owner View'!U44,outcome,"L"),"")</f>
        <v>64.125</v>
      </c>
      <c r="Z44" s="152">
        <f>IFERROR(Y44-VLOOKUP(T44,'SFFL Main Page'!$B$4:$L$20,10,FALSE),"")</f>
        <v>-13.81547619047619</v>
      </c>
      <c r="AA44" s="153">
        <f>IFERROR(COUNTIFS(managers,'Owner View'!T44,opponent,'Owner View'!U44,outcome,"L"),"")</f>
        <v>8</v>
      </c>
      <c r="AB44" s="166">
        <f t="shared" si="13"/>
        <v>85.86666666666666</v>
      </c>
      <c r="AC44" s="152">
        <f>IFERROR(AB44-VLOOKUP(T44,'SFFL Main Page'!$B$4:$L$20,8,FALSE),"")</f>
        <v>-4.1218390804597789</v>
      </c>
      <c r="AD44" s="151">
        <f>IFERROR(AVERAGEIFS(points,managers,'Owner View'!U44,opponent,'Owner View'!T44,outcome,"W"),"")</f>
        <v>99.875</v>
      </c>
      <c r="AE44" s="152">
        <f>IFERROR(AD44-VLOOKUP(U44,'SFFL Main Page'!$B$4:$L$20,9,FALSE),"")</f>
        <v>-3.0250000000000057</v>
      </c>
      <c r="AF44" s="153">
        <f>IFERROR(COUNTIFS(managers,'Owner View'!U44,opponent,'Owner View'!T44,outcome,"W"),"")</f>
        <v>8</v>
      </c>
      <c r="AG44" s="151">
        <f>IFERROR(AVERAGEIFS(points,managers,'Owner View'!U44,opponent,'Owner View'!T44,outcome,"L"),"")</f>
        <v>80.285714285714292</v>
      </c>
      <c r="AH44" s="152">
        <f>IFERROR(AG44-VLOOKUP(U44,'SFFL Main Page'!$B$4:$L$20,10,FALSE),"")</f>
        <v>-1.649769585253452</v>
      </c>
      <c r="AI44" s="153">
        <f>IFERROR(COUNTIFS(managers,'Owner View'!U44,opponent,'Owner View'!T44,outcome,"L"),"")</f>
        <v>7</v>
      </c>
      <c r="AJ44" s="151">
        <f t="shared" si="15"/>
        <v>90.733333333333334</v>
      </c>
      <c r="AK44" s="169">
        <f>IFERROR(AJ44-VLOOKUP(U44,'SFFL Main Page'!$B$4:$L$20,8,FALSE),"")</f>
        <v>-0.8356321839080465</v>
      </c>
      <c r="AL44" s="152">
        <f t="shared" si="16"/>
        <v>-3.2862068965517324</v>
      </c>
    </row>
    <row r="45" spans="2:38" x14ac:dyDescent="0.3">
      <c r="B45" s="118" t="s">
        <v>28</v>
      </c>
      <c r="C45" s="119">
        <f>IFERROR(AVERAGEIFS(points,managers,'Owner View'!$C$2,opponent,'Owner View'!B45,outcome,"W"),"")</f>
        <v>100.25</v>
      </c>
      <c r="D45" s="120">
        <f t="shared" si="19"/>
        <v>-2.675531914893611</v>
      </c>
      <c r="E45" s="119">
        <f>IFERROR(AVERAGEIFS(points,managers,'Owner View'!$C$2,opponent,'Owner View'!B45,outcome,"L"),"")</f>
        <v>84.666666666666671</v>
      </c>
      <c r="F45" s="120">
        <f t="shared" si="20"/>
        <v>4.0337552742616083</v>
      </c>
      <c r="G45" s="119">
        <f t="shared" si="23"/>
        <v>93.571428571428569</v>
      </c>
      <c r="H45" s="121">
        <f t="shared" si="21"/>
        <v>0.73234811165845315</v>
      </c>
      <c r="I45" s="119">
        <f>IFERROR(AVERAGEIFS(points,managers,'Owner View'!B45,opponent,'Owner View'!$C$2,outcome,"W"),"")</f>
        <v>108.16666666666667</v>
      </c>
      <c r="J45" s="120">
        <f>IFERROR(I45-'SFFL Main Page'!J18,"")</f>
        <v>1.8333333333333428</v>
      </c>
      <c r="K45" s="119">
        <f>IFERROR(AVERAGEIFS(points,managers,'Owner View'!B45,opponent,'Owner View'!$C$2,outcome,"L"),"")</f>
        <v>80.25</v>
      </c>
      <c r="L45" s="120">
        <f>IFERROR(K45-'SFFL Main Page'!K18,"")</f>
        <v>-0.66463414634147</v>
      </c>
      <c r="M45" s="119">
        <f t="shared" si="24"/>
        <v>92.214285714285708</v>
      </c>
      <c r="N45" s="121">
        <f>IFERROR(M45-'SFFL Main Page'!I18,"")</f>
        <v>-2.0098522167487687</v>
      </c>
      <c r="O45" s="122">
        <f t="shared" si="22"/>
        <v>2.7422003284072218</v>
      </c>
      <c r="S45" s="159">
        <v>40</v>
      </c>
      <c r="T45" s="118" t="s">
        <v>25</v>
      </c>
      <c r="U45" s="172" t="s">
        <v>23</v>
      </c>
      <c r="V45" s="151">
        <f>IFERROR(AVERAGEIFS(points,managers,'Owner View'!T45,opponent,'Owner View'!U45,outcome,"W"),"")</f>
        <v>111.11111111111111</v>
      </c>
      <c r="W45" s="152">
        <f>IFERROR(V45-VLOOKUP(T45,'SFFL Main Page'!$B$4:$L$20,9,FALSE),"")</f>
        <v>9.3409961685823788</v>
      </c>
      <c r="X45" s="153">
        <f>IFERROR(COUNTIFS(managers,'Owner View'!T45,opponent,'Owner View'!U45,outcome,"W"),"")</f>
        <v>9</v>
      </c>
      <c r="Y45" s="151">
        <f>IFERROR(AVERAGEIFS(points,managers,'Owner View'!T45,opponent,'Owner View'!U45,outcome,"L"),"")</f>
        <v>80</v>
      </c>
      <c r="Z45" s="152">
        <f>IFERROR(Y45-VLOOKUP(T45,'SFFL Main Page'!$B$4:$L$20,10,FALSE),"")</f>
        <v>2.0595238095238102</v>
      </c>
      <c r="AA45" s="153">
        <f>IFERROR(COUNTIFS(managers,'Owner View'!T45,opponent,'Owner View'!U45,outcome,"L"),"")</f>
        <v>7</v>
      </c>
      <c r="AB45" s="166">
        <f t="shared" si="13"/>
        <v>97.5</v>
      </c>
      <c r="AC45" s="152">
        <f>IFERROR(AB45-VLOOKUP(T45,'SFFL Main Page'!$B$4:$L$20,8,FALSE),"")</f>
        <v>7.5114942528735611</v>
      </c>
      <c r="AD45" s="151">
        <f>IFERROR(AVERAGEIFS(points,managers,'Owner View'!U45,opponent,'Owner View'!T45,outcome,"W"),"")</f>
        <v>98.142857142857139</v>
      </c>
      <c r="AE45" s="152">
        <f>IFERROR(AD45-VLOOKUP(U45,'SFFL Main Page'!$B$4:$L$20,9,FALSE),"")</f>
        <v>-4.7826747720364722</v>
      </c>
      <c r="AF45" s="153">
        <f>IFERROR(COUNTIFS(managers,'Owner View'!U45,opponent,'Owner View'!T45,outcome,"W"),"")</f>
        <v>7</v>
      </c>
      <c r="AG45" s="151">
        <f>IFERROR(AVERAGEIFS(points,managers,'Owner View'!U45,opponent,'Owner View'!T45,outcome,"L"),"")</f>
        <v>86</v>
      </c>
      <c r="AH45" s="152">
        <f>IFERROR(AG45-VLOOKUP(U45,'SFFL Main Page'!$B$4:$L$20,10,FALSE),"")</f>
        <v>5.3670886075949369</v>
      </c>
      <c r="AI45" s="153">
        <f>IFERROR(COUNTIFS(managers,'Owner View'!U45,opponent,'Owner View'!T45,outcome,"L"),"")</f>
        <v>9</v>
      </c>
      <c r="AJ45" s="151">
        <f t="shared" si="15"/>
        <v>91.3125</v>
      </c>
      <c r="AK45" s="169">
        <f>IFERROR(AJ45-VLOOKUP(U45,'SFFL Main Page'!$B$4:$L$20,8,FALSE),"")</f>
        <v>-1.5265804597701162</v>
      </c>
      <c r="AL45" s="152">
        <f t="shared" si="16"/>
        <v>9.0380747126436773</v>
      </c>
    </row>
    <row r="46" spans="2:38" x14ac:dyDescent="0.3">
      <c r="B46" s="118" t="s">
        <v>24</v>
      </c>
      <c r="C46" s="119">
        <f>IFERROR(AVERAGEIFS(points,managers,'Owner View'!$C$2,opponent,'Owner View'!B46,outcome,"W"),"")</f>
        <v>97.92307692307692</v>
      </c>
      <c r="D46" s="120">
        <f t="shared" si="19"/>
        <v>-5.0024549918166912</v>
      </c>
      <c r="E46" s="119">
        <f>IFERROR(AVERAGEIFS(points,managers,'Owner View'!$C$2,opponent,'Owner View'!B46,outcome,"L"),"")</f>
        <v>84.7</v>
      </c>
      <c r="F46" s="120">
        <f t="shared" si="20"/>
        <v>4.0670886075949397</v>
      </c>
      <c r="G46" s="119">
        <f t="shared" si="23"/>
        <v>92.173913043478265</v>
      </c>
      <c r="H46" s="121">
        <f t="shared" si="21"/>
        <v>-0.66516741629185105</v>
      </c>
      <c r="I46" s="119">
        <f>IFERROR(AVERAGEIFS(points,managers,'Owner View'!B46,opponent,'Owner View'!$C$2,outcome,"W"),"")</f>
        <v>102.8</v>
      </c>
      <c r="J46" s="120">
        <f>IFERROR(I46-'SFFL Main Page'!J19,"")</f>
        <v>-1.9590361445783202</v>
      </c>
      <c r="K46" s="119">
        <f>IFERROR(AVERAGEIFS(points,managers,'Owner View'!B46,opponent,'Owner View'!$C$2,outcome,"L"),"")</f>
        <v>68.307692307692307</v>
      </c>
      <c r="L46" s="120">
        <f>IFERROR(K46-'SFFL Main Page'!K19,"")</f>
        <v>-8.2527472527472554</v>
      </c>
      <c r="M46" s="119">
        <f t="shared" si="24"/>
        <v>83.304347826086953</v>
      </c>
      <c r="N46" s="121">
        <f>IFERROR(M46-'SFFL Main Page'!I19,"")</f>
        <v>-6.7071464267866077</v>
      </c>
      <c r="O46" s="122">
        <f t="shared" si="22"/>
        <v>6.0419790104947566</v>
      </c>
      <c r="S46" s="159">
        <v>41</v>
      </c>
      <c r="T46" s="118" t="s">
        <v>25</v>
      </c>
      <c r="U46" s="172" t="s">
        <v>28</v>
      </c>
      <c r="V46" s="151">
        <f>IFERROR(AVERAGEIFS(points,managers,'Owner View'!T46,opponent,'Owner View'!U46,outcome,"W"),"")</f>
        <v>100.25</v>
      </c>
      <c r="W46" s="152">
        <f>IFERROR(V46-VLOOKUP(T46,'SFFL Main Page'!$B$4:$L$20,9,FALSE),"")</f>
        <v>-1.5201149425287355</v>
      </c>
      <c r="X46" s="153">
        <f>IFERROR(COUNTIFS(managers,'Owner View'!T46,opponent,'Owner View'!U46,outcome,"W"),"")</f>
        <v>4</v>
      </c>
      <c r="Y46" s="151">
        <f>IFERROR(AVERAGEIFS(points,managers,'Owner View'!T46,opponent,'Owner View'!U46,outcome,"L"),"")</f>
        <v>75.454545454545453</v>
      </c>
      <c r="Z46" s="152">
        <f>IFERROR(Y46-VLOOKUP(T46,'SFFL Main Page'!$B$4:$L$20,10,FALSE),"")</f>
        <v>-2.4859307359307365</v>
      </c>
      <c r="AA46" s="153">
        <f>IFERROR(COUNTIFS(managers,'Owner View'!T46,opponent,'Owner View'!U46,outcome,"L"),"")</f>
        <v>11</v>
      </c>
      <c r="AB46" s="166">
        <f t="shared" si="13"/>
        <v>82.066666666666663</v>
      </c>
      <c r="AC46" s="152">
        <f>IFERROR(AB46-VLOOKUP(T46,'SFFL Main Page'!$B$4:$L$20,8,FALSE),"")</f>
        <v>-7.921839080459776</v>
      </c>
      <c r="AD46" s="151">
        <f>IFERROR(AVERAGEIFS(points,managers,'Owner View'!U46,opponent,'Owner View'!T46,outcome,"W"),"")</f>
        <v>105.63636363636364</v>
      </c>
      <c r="AE46" s="152">
        <f>IFERROR(AD46-VLOOKUP(U46,'SFFL Main Page'!$B$4:$L$20,9,FALSE),"")</f>
        <v>-0.69696969696968836</v>
      </c>
      <c r="AF46" s="153">
        <f>IFERROR(COUNTIFS(managers,'Owner View'!U46,opponent,'Owner View'!T46,outcome,"W"),"")</f>
        <v>11</v>
      </c>
      <c r="AG46" s="151">
        <f>IFERROR(AVERAGEIFS(points,managers,'Owner View'!U46,opponent,'Owner View'!T46,outcome,"L"),"")</f>
        <v>73.25</v>
      </c>
      <c r="AH46" s="152">
        <f>IFERROR(AG46-VLOOKUP(U46,'SFFL Main Page'!$B$4:$L$20,10,FALSE),"")</f>
        <v>-7.66463414634147</v>
      </c>
      <c r="AI46" s="153">
        <f>IFERROR(COUNTIFS(managers,'Owner View'!U46,opponent,'Owner View'!T46,outcome,"L"),"")</f>
        <v>4</v>
      </c>
      <c r="AJ46" s="151">
        <f t="shared" si="15"/>
        <v>97</v>
      </c>
      <c r="AK46" s="169">
        <f>IFERROR(AJ46-VLOOKUP(U46,'SFFL Main Page'!$B$4:$L$20,8,FALSE),"")</f>
        <v>2.7758620689655231</v>
      </c>
      <c r="AL46" s="152">
        <f t="shared" si="16"/>
        <v>-10.697701149425299</v>
      </c>
    </row>
    <row r="47" spans="2:38" x14ac:dyDescent="0.3">
      <c r="B47" s="98" t="s">
        <v>41</v>
      </c>
      <c r="C47" s="123">
        <f>VLOOKUP(C2,'SFFL Main Page'!B5:L19,9,FALSE)</f>
        <v>102.92553191489361</v>
      </c>
      <c r="D47" s="123"/>
      <c r="E47" s="123">
        <f>VLOOKUP(C2,'SFFL Main Page'!B5:L19,10,FALSE)</f>
        <v>80.632911392405063</v>
      </c>
      <c r="F47" s="123"/>
      <c r="G47" s="123">
        <f>VLOOKUP(C2,'SFFL Main Page'!B5:L19,8,FALSE)</f>
        <v>92.839080459770116</v>
      </c>
      <c r="H47" s="124"/>
      <c r="I47" s="123"/>
      <c r="J47" s="123"/>
      <c r="K47" s="123"/>
      <c r="L47" s="123"/>
      <c r="M47" s="123"/>
      <c r="N47" s="124"/>
      <c r="O47" s="98"/>
      <c r="S47" s="159">
        <v>42</v>
      </c>
      <c r="T47" s="118" t="s">
        <v>25</v>
      </c>
      <c r="U47" s="172" t="s">
        <v>24</v>
      </c>
      <c r="V47" s="151">
        <f>IFERROR(AVERAGEIFS(points,managers,'Owner View'!T47,opponent,'Owner View'!U47,outcome,"W"),"")</f>
        <v>97.888888888888886</v>
      </c>
      <c r="W47" s="152">
        <f>IFERROR(V47-VLOOKUP(T47,'SFFL Main Page'!$B$4:$L$20,9,FALSE),"")</f>
        <v>-3.8812260536398497</v>
      </c>
      <c r="X47" s="153">
        <f>IFERROR(COUNTIFS(managers,'Owner View'!T47,opponent,'Owner View'!U47,outcome,"W"),"")</f>
        <v>9</v>
      </c>
      <c r="Y47" s="151">
        <f>IFERROR(AVERAGEIFS(points,managers,'Owner View'!T47,opponent,'Owner View'!U47,outcome,"L"),"")</f>
        <v>79.111111111111114</v>
      </c>
      <c r="Z47" s="152">
        <f>IFERROR(Y47-VLOOKUP(T47,'SFFL Main Page'!$B$4:$L$20,10,FALSE),"")</f>
        <v>1.1706349206349245</v>
      </c>
      <c r="AA47" s="153">
        <f>IFERROR(COUNTIFS(managers,'Owner View'!T47,opponent,'Owner View'!U47,outcome,"L"),"")</f>
        <v>9</v>
      </c>
      <c r="AB47" s="166">
        <f t="shared" si="13"/>
        <v>88.5</v>
      </c>
      <c r="AC47" s="152">
        <f>IFERROR(AB47-VLOOKUP(T47,'SFFL Main Page'!$B$4:$L$20,8,FALSE),"")</f>
        <v>-1.4885057471264389</v>
      </c>
      <c r="AD47" s="151">
        <f>IFERROR(AVERAGEIFS(points,managers,'Owner View'!U47,opponent,'Owner View'!T47,outcome,"W"),"")</f>
        <v>109</v>
      </c>
      <c r="AE47" s="152">
        <f>IFERROR(AD47-VLOOKUP(U47,'SFFL Main Page'!$B$4:$L$20,9,FALSE),"")</f>
        <v>4.2409638554216826</v>
      </c>
      <c r="AF47" s="153">
        <f>IFERROR(COUNTIFS(managers,'Owner View'!U47,opponent,'Owner View'!T47,outcome,"W"),"")</f>
        <v>9</v>
      </c>
      <c r="AG47" s="151">
        <f>IFERROR(AVERAGEIFS(points,managers,'Owner View'!U47,opponent,'Owner View'!T47,outcome,"L"),"")</f>
        <v>76.444444444444443</v>
      </c>
      <c r="AH47" s="152">
        <f>IFERROR(AG47-VLOOKUP(U47,'SFFL Main Page'!$B$4:$L$20,10,FALSE),"")</f>
        <v>-0.11599511599511914</v>
      </c>
      <c r="AI47" s="153">
        <f>IFERROR(COUNTIFS(managers,'Owner View'!U47,opponent,'Owner View'!T47,outcome,"L"),"")</f>
        <v>9</v>
      </c>
      <c r="AJ47" s="151">
        <f t="shared" si="15"/>
        <v>92.722222222222229</v>
      </c>
      <c r="AK47" s="169">
        <f>IFERROR(AJ47-VLOOKUP(U47,'SFFL Main Page'!$B$4:$L$20,8,FALSE),"")</f>
        <v>2.7107279693486674</v>
      </c>
      <c r="AL47" s="152">
        <f t="shared" si="16"/>
        <v>-4.1992337164751063</v>
      </c>
    </row>
    <row r="48" spans="2:38" x14ac:dyDescent="0.3">
      <c r="I48" s="3"/>
      <c r="S48" s="159">
        <v>43</v>
      </c>
      <c r="T48" s="118" t="s">
        <v>47</v>
      </c>
      <c r="U48" s="172" t="s">
        <v>27</v>
      </c>
      <c r="V48" s="151">
        <f>IFERROR(AVERAGEIFS(points,managers,'Owner View'!T48,opponent,'Owner View'!U48,outcome,"W"),"")</f>
        <v>92</v>
      </c>
      <c r="W48" s="152">
        <f>IFERROR(V48-VLOOKUP(T48,'SFFL Main Page'!$B$4:$L$20,9,FALSE),"")</f>
        <v>-13.357894736842098</v>
      </c>
      <c r="X48" s="153">
        <f>IFERROR(COUNTIFS(managers,'Owner View'!T48,opponent,'Owner View'!U48,outcome,"W"),"")</f>
        <v>5</v>
      </c>
      <c r="Y48" s="151">
        <f>IFERROR(AVERAGEIFS(points,managers,'Owner View'!T48,opponent,'Owner View'!U48,outcome,"L"),"")</f>
        <v>79</v>
      </c>
      <c r="Z48" s="152">
        <f>IFERROR(Y48-VLOOKUP(T48,'SFFL Main Page'!$B$4:$L$20,10,FALSE),"")</f>
        <v>-4.5769230769230802</v>
      </c>
      <c r="AA48" s="153">
        <f>IFERROR(COUNTIFS(managers,'Owner View'!T48,opponent,'Owner View'!U48,outcome,"L"),"")</f>
        <v>1</v>
      </c>
      <c r="AB48" s="166">
        <f t="shared" si="13"/>
        <v>89.833333333333329</v>
      </c>
      <c r="AC48" s="152">
        <f>IFERROR(AB48-VLOOKUP(T48,'SFFL Main Page'!$B$4:$L$20,8,FALSE),"")</f>
        <v>-7.7274774774774784</v>
      </c>
      <c r="AD48" s="151">
        <f>IFERROR(AVERAGEIFS(points,managers,'Owner View'!U48,opponent,'Owner View'!T48,outcome,"W"),"")</f>
        <v>82</v>
      </c>
      <c r="AE48" s="152">
        <f>IFERROR(AD48-VLOOKUP(U48,'SFFL Main Page'!$B$4:$L$20,9,FALSE),"")</f>
        <v>-13.489361702127653</v>
      </c>
      <c r="AF48" s="153">
        <f>IFERROR(COUNTIFS(managers,'Owner View'!U48,opponent,'Owner View'!T48,outcome,"W"),"")</f>
        <v>1</v>
      </c>
      <c r="AG48" s="151">
        <f>IFERROR(AVERAGEIFS(points,managers,'Owner View'!U48,opponent,'Owner View'!T48,outcome,"L"),"")</f>
        <v>72.400000000000006</v>
      </c>
      <c r="AH48" s="152">
        <f>IFERROR(AG48-VLOOKUP(U48,'SFFL Main Page'!$B$4:$L$20,10,FALSE),"")</f>
        <v>2.4350877192982523</v>
      </c>
      <c r="AI48" s="153">
        <f>IFERROR(COUNTIFS(managers,'Owner View'!U48,opponent,'Owner View'!T48,outcome,"L"),"")</f>
        <v>5</v>
      </c>
      <c r="AJ48" s="151">
        <f t="shared" si="15"/>
        <v>74</v>
      </c>
      <c r="AK48" s="169">
        <f>IFERROR(AJ48-VLOOKUP(U48,'SFFL Main Page'!$B$4:$L$20,8,FALSE),"")</f>
        <v>-7.5</v>
      </c>
      <c r="AL48" s="152">
        <f t="shared" si="16"/>
        <v>-0.22747747747747837</v>
      </c>
    </row>
    <row r="49" spans="9:38" x14ac:dyDescent="0.3">
      <c r="I49" s="3"/>
      <c r="S49" s="159">
        <v>44</v>
      </c>
      <c r="T49" s="118" t="s">
        <v>47</v>
      </c>
      <c r="U49" s="172" t="s">
        <v>227</v>
      </c>
      <c r="V49" s="151">
        <f>IFERROR(AVERAGEIFS(points,managers,'Owner View'!T49,opponent,'Owner View'!U49,outcome,"W"),"")</f>
        <v>118.8</v>
      </c>
      <c r="W49" s="152">
        <f>IFERROR(V49-VLOOKUP(T49,'SFFL Main Page'!$B$4:$L$20,9,FALSE),"")</f>
        <v>13.442105263157899</v>
      </c>
      <c r="X49" s="153">
        <f>IFERROR(COUNTIFS(managers,'Owner View'!T49,opponent,'Owner View'!U49,outcome,"W"),"")</f>
        <v>5</v>
      </c>
      <c r="Y49" s="151">
        <f>IFERROR(AVERAGEIFS(points,managers,'Owner View'!T49,opponent,'Owner View'!U49,outcome,"L"),"")</f>
        <v>66</v>
      </c>
      <c r="Z49" s="152">
        <f>IFERROR(Y49-VLOOKUP(T49,'SFFL Main Page'!$B$4:$L$20,10,FALSE),"")</f>
        <v>-17.57692307692308</v>
      </c>
      <c r="AA49" s="153">
        <f>IFERROR(COUNTIFS(managers,'Owner View'!T49,opponent,'Owner View'!U49,outcome,"L"),"")</f>
        <v>1</v>
      </c>
      <c r="AB49" s="166">
        <f t="shared" si="13"/>
        <v>110</v>
      </c>
      <c r="AC49" s="152">
        <f>IFERROR(AB49-VLOOKUP(T49,'SFFL Main Page'!$B$4:$L$20,8,FALSE),"")</f>
        <v>12.439189189189193</v>
      </c>
      <c r="AD49" s="151">
        <f>IFERROR(AVERAGEIFS(points,managers,'Owner View'!U49,opponent,'Owner View'!T49,outcome,"W"),"")</f>
        <v>77</v>
      </c>
      <c r="AE49" s="152">
        <f>IFERROR(AD49-VLOOKUP(U49,'SFFL Main Page'!$B$4:$L$20,9,FALSE),"")</f>
        <v>-31.689655172413794</v>
      </c>
      <c r="AF49" s="153">
        <f>IFERROR(COUNTIFS(managers,'Owner View'!U49,opponent,'Owner View'!T49,outcome,"W"),"")</f>
        <v>1</v>
      </c>
      <c r="AG49" s="151">
        <f>IFERROR(AVERAGEIFS(points,managers,'Owner View'!U49,opponent,'Owner View'!T49,outcome,"L"),"")</f>
        <v>82.6</v>
      </c>
      <c r="AH49" s="152">
        <f>IFERROR(AG49-VLOOKUP(U49,'SFFL Main Page'!$B$4:$L$20,10,FALSE),"")</f>
        <v>1.0146341463414643</v>
      </c>
      <c r="AI49" s="153">
        <f>IFERROR(COUNTIFS(managers,'Owner View'!U49,opponent,'Owner View'!T49,outcome,"L"),"")</f>
        <v>5</v>
      </c>
      <c r="AJ49" s="151">
        <f t="shared" si="15"/>
        <v>81.666666666666671</v>
      </c>
      <c r="AK49" s="169">
        <f>IFERROR(AJ49-VLOOKUP(U49,'SFFL Main Page'!$B$4:$L$20,8,FALSE),"")</f>
        <v>-11.147619047619045</v>
      </c>
      <c r="AL49" s="152">
        <f t="shared" si="16"/>
        <v>23.586808236808238</v>
      </c>
    </row>
    <row r="50" spans="9:38" x14ac:dyDescent="0.3">
      <c r="I50" s="3"/>
      <c r="S50" s="159">
        <v>45</v>
      </c>
      <c r="T50" s="118" t="s">
        <v>47</v>
      </c>
      <c r="U50" s="172" t="s">
        <v>25</v>
      </c>
      <c r="V50" s="151">
        <f>IFERROR(AVERAGEIFS(points,managers,'Owner View'!T50,opponent,'Owner View'!U50,outcome,"W"),"")</f>
        <v>100.88888888888889</v>
      </c>
      <c r="W50" s="152">
        <f>IFERROR(V50-VLOOKUP(T50,'SFFL Main Page'!$B$4:$L$20,9,FALSE),"")</f>
        <v>-4.4690058479532127</v>
      </c>
      <c r="X50" s="153">
        <f>IFERROR(COUNTIFS(managers,'Owner View'!T50,opponent,'Owner View'!U50,outcome,"W"),"")</f>
        <v>9</v>
      </c>
      <c r="Y50" s="151">
        <f>IFERROR(AVERAGEIFS(points,managers,'Owner View'!T50,opponent,'Owner View'!U50,outcome,"L"),"")</f>
        <v>92.2</v>
      </c>
      <c r="Z50" s="152">
        <f>IFERROR(Y50-VLOOKUP(T50,'SFFL Main Page'!$B$4:$L$20,10,FALSE),"")</f>
        <v>8.6230769230769226</v>
      </c>
      <c r="AA50" s="153">
        <f>IFERROR(COUNTIFS(managers,'Owner View'!T50,opponent,'Owner View'!U50,outcome,"L"),"")</f>
        <v>5</v>
      </c>
      <c r="AB50" s="166">
        <f t="shared" si="13"/>
        <v>97.785714285714292</v>
      </c>
      <c r="AC50" s="152">
        <f>IFERROR(AB50-VLOOKUP(T50,'SFFL Main Page'!$B$4:$L$20,8,FALSE),"")</f>
        <v>0.22490347490348483</v>
      </c>
      <c r="AD50" s="151">
        <f>IFERROR(AVERAGEIFS(points,managers,'Owner View'!U50,opponent,'Owner View'!T50,outcome,"W"),"")</f>
        <v>100.8</v>
      </c>
      <c r="AE50" s="152">
        <f>IFERROR(AD50-VLOOKUP(U50,'SFFL Main Page'!$B$4:$L$20,9,FALSE),"")</f>
        <v>-0.97011494252873831</v>
      </c>
      <c r="AF50" s="153">
        <f>IFERROR(COUNTIFS(managers,'Owner View'!U50,opponent,'Owner View'!T50,outcome,"W"),"")</f>
        <v>5</v>
      </c>
      <c r="AG50" s="151">
        <f>IFERROR(AVERAGEIFS(points,managers,'Owner View'!U50,opponent,'Owner View'!T50,outcome,"L"),"")</f>
        <v>79.888888888888886</v>
      </c>
      <c r="AH50" s="152">
        <f>IFERROR(AG50-VLOOKUP(U50,'SFFL Main Page'!$B$4:$L$20,10,FALSE),"")</f>
        <v>1.9484126984126959</v>
      </c>
      <c r="AI50" s="153">
        <f>IFERROR(COUNTIFS(managers,'Owner View'!U50,opponent,'Owner View'!T50,outcome,"L"),"")</f>
        <v>9</v>
      </c>
      <c r="AJ50" s="151">
        <f t="shared" si="15"/>
        <v>87.357142857142861</v>
      </c>
      <c r="AK50" s="169">
        <f>IFERROR(AJ50-VLOOKUP(U50,'SFFL Main Page'!$B$4:$L$20,8,FALSE),"")</f>
        <v>-2.6313628899835777</v>
      </c>
      <c r="AL50" s="152">
        <f t="shared" si="16"/>
        <v>2.8562663648870625</v>
      </c>
    </row>
    <row r="51" spans="9:38" x14ac:dyDescent="0.3">
      <c r="S51" s="159">
        <v>46</v>
      </c>
      <c r="T51" s="118" t="s">
        <v>47</v>
      </c>
      <c r="U51" s="172" t="s">
        <v>26</v>
      </c>
      <c r="V51" s="151">
        <f>IFERROR(AVERAGEIFS(points,managers,'Owner View'!T51,opponent,'Owner View'!U51,outcome,"W"),"")</f>
        <v>98.666666666666671</v>
      </c>
      <c r="W51" s="152">
        <f>IFERROR(V51-VLOOKUP(T51,'SFFL Main Page'!$B$4:$L$20,9,FALSE),"")</f>
        <v>-6.691228070175427</v>
      </c>
      <c r="X51" s="153">
        <f>IFERROR(COUNTIFS(managers,'Owner View'!T51,opponent,'Owner View'!U51,outcome,"W"),"")</f>
        <v>6</v>
      </c>
      <c r="Y51" s="151">
        <f>IFERROR(AVERAGEIFS(points,managers,'Owner View'!T51,opponent,'Owner View'!U51,outcome,"L"),"")</f>
        <v>86.25</v>
      </c>
      <c r="Z51" s="152">
        <f>IFERROR(Y51-VLOOKUP(T51,'SFFL Main Page'!$B$4:$L$20,10,FALSE),"")</f>
        <v>2.6730769230769198</v>
      </c>
      <c r="AA51" s="153">
        <f>IFERROR(COUNTIFS(managers,'Owner View'!T51,opponent,'Owner View'!U51,outcome,"L"),"")</f>
        <v>8</v>
      </c>
      <c r="AB51" s="166">
        <f t="shared" si="13"/>
        <v>91.571428571428569</v>
      </c>
      <c r="AC51" s="152">
        <f>IFERROR(AB51-VLOOKUP(T51,'SFFL Main Page'!$B$4:$L$20,8,FALSE),"")</f>
        <v>-5.9893822393822376</v>
      </c>
      <c r="AD51" s="151">
        <f>IFERROR(AVERAGEIFS(points,managers,'Owner View'!U51,opponent,'Owner View'!T51,outcome,"W"),"")</f>
        <v>104.625</v>
      </c>
      <c r="AE51" s="152">
        <f>IFERROR(AD51-VLOOKUP(U51,'SFFL Main Page'!$B$4:$L$20,9,FALSE),"")</f>
        <v>1.0729166666666714</v>
      </c>
      <c r="AF51" s="153">
        <f>IFERROR(COUNTIFS(managers,'Owner View'!U51,opponent,'Owner View'!T51,outcome,"W"),"")</f>
        <v>8</v>
      </c>
      <c r="AG51" s="151">
        <f>IFERROR(AVERAGEIFS(points,managers,'Owner View'!U51,opponent,'Owner View'!T51,outcome,"L"),"")</f>
        <v>83.5</v>
      </c>
      <c r="AH51" s="152">
        <f>IFERROR(AG51-VLOOKUP(U51,'SFFL Main Page'!$B$4:$L$20,10,FALSE),"")</f>
        <v>5.9675324675324646</v>
      </c>
      <c r="AI51" s="153">
        <f>IFERROR(COUNTIFS(managers,'Owner View'!U51,opponent,'Owner View'!T51,outcome,"L"),"")</f>
        <v>6</v>
      </c>
      <c r="AJ51" s="151">
        <f t="shared" si="15"/>
        <v>95.571428571428569</v>
      </c>
      <c r="AK51" s="169">
        <f>IFERROR(AJ51-VLOOKUP(U51,'SFFL Main Page'!$B$4:$L$20,8,FALSE),"")</f>
        <v>3.5886699507389181</v>
      </c>
      <c r="AL51" s="152">
        <f t="shared" si="16"/>
        <v>-9.5780521901211557</v>
      </c>
    </row>
    <row r="52" spans="9:38" x14ac:dyDescent="0.3">
      <c r="S52" s="159">
        <v>47</v>
      </c>
      <c r="T52" s="118" t="s">
        <v>47</v>
      </c>
      <c r="U52" s="172" t="s">
        <v>48</v>
      </c>
      <c r="V52" s="151">
        <f>IFERROR(AVERAGEIFS(points,managers,'Owner View'!T52,opponent,'Owner View'!U52,outcome,"W"),"")</f>
        <v>111.5</v>
      </c>
      <c r="W52" s="152">
        <f>IFERROR(V52-VLOOKUP(T52,'SFFL Main Page'!$B$4:$L$20,9,FALSE),"")</f>
        <v>6.1421052631579016</v>
      </c>
      <c r="X52" s="153">
        <f>IFERROR(COUNTIFS(managers,'Owner View'!T52,opponent,'Owner View'!U52,outcome,"W"),"")</f>
        <v>8</v>
      </c>
      <c r="Y52" s="151">
        <f>IFERROR(AVERAGEIFS(points,managers,'Owner View'!T52,opponent,'Owner View'!U52,outcome,"L"),"")</f>
        <v>86.666666666666671</v>
      </c>
      <c r="Z52" s="152">
        <f>IFERROR(Y52-VLOOKUP(T52,'SFFL Main Page'!$B$4:$L$20,10,FALSE),"")</f>
        <v>3.0897435897435912</v>
      </c>
      <c r="AA52" s="153">
        <f>IFERROR(COUNTIFS(managers,'Owner View'!T52,opponent,'Owner View'!U52,outcome,"L"),"")</f>
        <v>6</v>
      </c>
      <c r="AB52" s="166">
        <f t="shared" si="13"/>
        <v>100.85714285714286</v>
      </c>
      <c r="AC52" s="152">
        <f>IFERROR(AB52-VLOOKUP(T52,'SFFL Main Page'!$B$4:$L$20,8,FALSE),"")</f>
        <v>3.2963320463320542</v>
      </c>
      <c r="AD52" s="151">
        <f>IFERROR(AVERAGEIFS(points,managers,'Owner View'!U52,opponent,'Owner View'!T52,outcome,"W"),"")</f>
        <v>112.16666666666667</v>
      </c>
      <c r="AE52" s="152">
        <f>IFERROR(AD52-VLOOKUP(U52,'SFFL Main Page'!$B$4:$L$20,9,FALSE),"")</f>
        <v>3.4215447154471548</v>
      </c>
      <c r="AF52" s="153">
        <f>IFERROR(COUNTIFS(managers,'Owner View'!U52,opponent,'Owner View'!T52,outcome,"W"),"")</f>
        <v>6</v>
      </c>
      <c r="AG52" s="151">
        <f>IFERROR(AVERAGEIFS(points,managers,'Owner View'!U52,opponent,'Owner View'!T52,outcome,"L"),"")</f>
        <v>85.375</v>
      </c>
      <c r="AH52" s="152">
        <f>IFERROR(AG52-VLOOKUP(U52,'SFFL Main Page'!$B$4:$L$20,10,FALSE),"")</f>
        <v>0.61742424242424931</v>
      </c>
      <c r="AI52" s="153">
        <f>IFERROR(COUNTIFS(managers,'Owner View'!U52,opponent,'Owner View'!T52,outcome,"L"),"")</f>
        <v>8</v>
      </c>
      <c r="AJ52" s="151">
        <f t="shared" si="15"/>
        <v>96.857142857142861</v>
      </c>
      <c r="AK52" s="169">
        <f>IFERROR(AJ52-VLOOKUP(U52,'SFFL Main Page'!$B$4:$L$20,8,FALSE),"")</f>
        <v>-1.19083011583011</v>
      </c>
      <c r="AL52" s="152">
        <f t="shared" si="16"/>
        <v>4.4871621621621642</v>
      </c>
    </row>
    <row r="53" spans="9:38" x14ac:dyDescent="0.3">
      <c r="S53" s="159">
        <v>48</v>
      </c>
      <c r="T53" s="118" t="s">
        <v>47</v>
      </c>
      <c r="U53" s="172" t="s">
        <v>29</v>
      </c>
      <c r="V53" s="151">
        <f>IFERROR(AVERAGEIFS(points,managers,'Owner View'!T53,opponent,'Owner View'!U53,outcome,"W"),"")</f>
        <v>105.5</v>
      </c>
      <c r="W53" s="152">
        <f>IFERROR(V53-VLOOKUP(T53,'SFFL Main Page'!$B$4:$L$20,9,FALSE),"")</f>
        <v>0.14210526315790162</v>
      </c>
      <c r="X53" s="153">
        <f>IFERROR(COUNTIFS(managers,'Owner View'!T53,opponent,'Owner View'!U53,outcome,"W"),"")</f>
        <v>6</v>
      </c>
      <c r="Y53" s="151">
        <f>IFERROR(AVERAGEIFS(points,managers,'Owner View'!T53,opponent,'Owner View'!U53,outcome,"L"),"")</f>
        <v>81.8</v>
      </c>
      <c r="Z53" s="152">
        <f>IFERROR(Y53-VLOOKUP(T53,'SFFL Main Page'!$B$4:$L$20,10,FALSE),"")</f>
        <v>-1.776923076923083</v>
      </c>
      <c r="AA53" s="153">
        <f>IFERROR(COUNTIFS(managers,'Owner View'!T53,opponent,'Owner View'!U53,outcome,"L"),"")</f>
        <v>5</v>
      </c>
      <c r="AB53" s="166">
        <f t="shared" si="13"/>
        <v>94.727272727272734</v>
      </c>
      <c r="AC53" s="152">
        <f>IFERROR(AB53-VLOOKUP(T53,'SFFL Main Page'!$B$4:$L$20,8,FALSE),"")</f>
        <v>-2.8335380835380732</v>
      </c>
      <c r="AD53" s="151">
        <f>IFERROR(AVERAGEIFS(points,managers,'Owner View'!U53,opponent,'Owner View'!T53,outcome,"W"),"")</f>
        <v>105</v>
      </c>
      <c r="AE53" s="152">
        <f>IFERROR(AD53-VLOOKUP(U53,'SFFL Main Page'!$B$4:$L$20,9,FALSE),"")</f>
        <v>3.9294117647058755</v>
      </c>
      <c r="AF53" s="153">
        <f>IFERROR(COUNTIFS(managers,'Owner View'!U53,opponent,'Owner View'!T53,outcome,"W"),"")</f>
        <v>5</v>
      </c>
      <c r="AG53" s="151">
        <f>IFERROR(AVERAGEIFS(points,managers,'Owner View'!U53,opponent,'Owner View'!T53,outcome,"L"),"")</f>
        <v>86.166666666666671</v>
      </c>
      <c r="AH53" s="152">
        <f>IFERROR(AG53-VLOOKUP(U53,'SFFL Main Page'!$B$4:$L$20,10,FALSE),"")</f>
        <v>8.0416666666666714</v>
      </c>
      <c r="AI53" s="153">
        <f>IFERROR(COUNTIFS(managers,'Owner View'!U53,opponent,'Owner View'!T53,outcome,"L"),"")</f>
        <v>6</v>
      </c>
      <c r="AJ53" s="151">
        <f t="shared" si="15"/>
        <v>94.727272727272734</v>
      </c>
      <c r="AK53" s="169">
        <f>IFERROR(AJ53-VLOOKUP(U53,'SFFL Main Page'!$B$4:$L$20,8,FALSE),"")</f>
        <v>5.3249738766980244</v>
      </c>
      <c r="AL53" s="152">
        <f t="shared" si="16"/>
        <v>-8.1585119602360976</v>
      </c>
    </row>
    <row r="54" spans="9:38" x14ac:dyDescent="0.3">
      <c r="S54" s="159">
        <v>49</v>
      </c>
      <c r="T54" s="118" t="s">
        <v>47</v>
      </c>
      <c r="U54" s="172" t="s">
        <v>43</v>
      </c>
      <c r="V54" s="151">
        <f>IFERROR(AVERAGEIFS(points,managers,'Owner View'!T54,opponent,'Owner View'!U54,outcome,"W"),"")</f>
        <v>110.5</v>
      </c>
      <c r="W54" s="152">
        <f>IFERROR(V54-VLOOKUP(T54,'SFFL Main Page'!$B$4:$L$20,9,FALSE),"")</f>
        <v>5.1421052631579016</v>
      </c>
      <c r="X54" s="153">
        <f>IFERROR(COUNTIFS(managers,'Owner View'!T54,opponent,'Owner View'!U54,outcome,"W"),"")</f>
        <v>10</v>
      </c>
      <c r="Y54" s="151">
        <f>IFERROR(AVERAGEIFS(points,managers,'Owner View'!T54,opponent,'Owner View'!U54,outcome,"L"),"")</f>
        <v>69</v>
      </c>
      <c r="Z54" s="152">
        <f>IFERROR(Y54-VLOOKUP(T54,'SFFL Main Page'!$B$4:$L$20,10,FALSE),"")</f>
        <v>-14.57692307692308</v>
      </c>
      <c r="AA54" s="153">
        <f>IFERROR(COUNTIFS(managers,'Owner View'!T54,opponent,'Owner View'!U54,outcome,"L"),"")</f>
        <v>4</v>
      </c>
      <c r="AB54" s="166">
        <f t="shared" si="13"/>
        <v>98.642857142857139</v>
      </c>
      <c r="AC54" s="152">
        <f>IFERROR(AB54-VLOOKUP(T54,'SFFL Main Page'!$B$4:$L$20,8,FALSE),"")</f>
        <v>1.0820463320463318</v>
      </c>
      <c r="AD54" s="151">
        <f>IFERROR(AVERAGEIFS(points,managers,'Owner View'!U54,opponent,'Owner View'!T54,outcome,"W"),"")</f>
        <v>85.75</v>
      </c>
      <c r="AE54" s="152">
        <f>IFERROR(AD54-VLOOKUP(U54,'SFFL Main Page'!$B$4:$L$20,9,FALSE),"")</f>
        <v>-15.077160493827165</v>
      </c>
      <c r="AF54" s="153">
        <f>IFERROR(COUNTIFS(managers,'Owner View'!U54,opponent,'Owner View'!T54,outcome,"W"),"")</f>
        <v>4</v>
      </c>
      <c r="AG54" s="151">
        <f>IFERROR(AVERAGEIFS(points,managers,'Owner View'!U54,opponent,'Owner View'!T54,outcome,"L"),"")</f>
        <v>82.8</v>
      </c>
      <c r="AH54" s="152">
        <f>IFERROR(AG54-VLOOKUP(U54,'SFFL Main Page'!$B$4:$L$20,10,FALSE),"")</f>
        <v>7.4304347826086996</v>
      </c>
      <c r="AI54" s="153">
        <f>IFERROR(COUNTIFS(managers,'Owner View'!U54,opponent,'Owner View'!T54,outcome,"L"),"")</f>
        <v>10</v>
      </c>
      <c r="AJ54" s="151">
        <f t="shared" si="15"/>
        <v>83.642857142857139</v>
      </c>
      <c r="AK54" s="169">
        <f>IFERROR(AJ54-VLOOKUP(U54,'SFFL Main Page'!$B$4:$L$20,8,FALSE),"")</f>
        <v>-3.5985221674876868</v>
      </c>
      <c r="AL54" s="152">
        <f t="shared" si="16"/>
        <v>4.6805684995340187</v>
      </c>
    </row>
    <row r="55" spans="9:38" x14ac:dyDescent="0.3">
      <c r="S55" s="159">
        <v>50</v>
      </c>
      <c r="T55" s="118" t="s">
        <v>47</v>
      </c>
      <c r="U55" s="172" t="s">
        <v>473</v>
      </c>
      <c r="V55" s="151">
        <f>IFERROR(AVERAGEIFS(points,managers,'Owner View'!T55,opponent,'Owner View'!U55,outcome,"W"),"")</f>
        <v>139.5</v>
      </c>
      <c r="W55" s="152">
        <f>IFERROR(V55-VLOOKUP(T55,'SFFL Main Page'!$B$4:$L$20,9,FALSE),"")</f>
        <v>34.142105263157902</v>
      </c>
      <c r="X55" s="153">
        <f>IFERROR(COUNTIFS(managers,'Owner View'!T55,opponent,'Owner View'!U55,outcome,"W"),"")</f>
        <v>2</v>
      </c>
      <c r="Y55" s="151" t="str">
        <f>IFERROR(AVERAGEIFS(points,managers,'Owner View'!T55,opponent,'Owner View'!U55,outcome,"L"),"")</f>
        <v/>
      </c>
      <c r="Z55" s="152" t="str">
        <f>IFERROR(Y55-VLOOKUP(T55,'SFFL Main Page'!$B$4:$L$20,10,FALSE),"")</f>
        <v/>
      </c>
      <c r="AA55" s="153">
        <f>IFERROR(COUNTIFS(managers,'Owner View'!T55,opponent,'Owner View'!U55,outcome,"L"),"")</f>
        <v>0</v>
      </c>
      <c r="AB55" s="166" t="str">
        <f t="shared" si="13"/>
        <v/>
      </c>
      <c r="AC55" s="152" t="str">
        <f>IFERROR(AB55-VLOOKUP(T55,'SFFL Main Page'!$B$4:$L$20,8,FALSE),"")</f>
        <v/>
      </c>
      <c r="AD55" s="151" t="str">
        <f>IFERROR(AVERAGEIFS(points,managers,'Owner View'!U55,opponent,'Owner View'!T55,outcome,"W"),"")</f>
        <v/>
      </c>
      <c r="AE55" s="152" t="str">
        <f>IFERROR(AD55-VLOOKUP(U55,'SFFL Main Page'!$B$4:$L$20,9,FALSE),"")</f>
        <v/>
      </c>
      <c r="AF55" s="153">
        <f>IFERROR(COUNTIFS(managers,'Owner View'!U55,opponent,'Owner View'!T55,outcome,"W"),"")</f>
        <v>0</v>
      </c>
      <c r="AG55" s="151">
        <f>IFERROR(AVERAGEIFS(points,managers,'Owner View'!U55,opponent,'Owner View'!T55,outcome,"L"),"")</f>
        <v>86.5</v>
      </c>
      <c r="AH55" s="152">
        <f>IFERROR(AG55-VLOOKUP(U55,'SFFL Main Page'!$B$4:$L$20,10,FALSE),"")</f>
        <v>-6.6578947368421098</v>
      </c>
      <c r="AI55" s="153">
        <f>IFERROR(COUNTIFS(managers,'Owner View'!U55,opponent,'Owner View'!T55,outcome,"L"),"")</f>
        <v>2</v>
      </c>
      <c r="AJ55" s="151" t="str">
        <f t="shared" si="15"/>
        <v/>
      </c>
      <c r="AK55" s="169" t="str">
        <f>IFERROR(AJ55-VLOOKUP(U55,'SFFL Main Page'!$B$4:$L$20,8,FALSE),"")</f>
        <v/>
      </c>
      <c r="AL55" s="152" t="str">
        <f t="shared" si="16"/>
        <v/>
      </c>
    </row>
    <row r="56" spans="9:38" x14ac:dyDescent="0.3">
      <c r="S56" s="159">
        <v>51</v>
      </c>
      <c r="T56" s="118" t="s">
        <v>47</v>
      </c>
      <c r="U56" s="172" t="s">
        <v>472</v>
      </c>
      <c r="V56" s="151">
        <f>IFERROR(AVERAGEIFS(points,managers,'Owner View'!T56,opponent,'Owner View'!U56,outcome,"W"),"")</f>
        <v>100</v>
      </c>
      <c r="W56" s="152">
        <f>IFERROR(V56-VLOOKUP(T56,'SFFL Main Page'!$B$4:$L$20,9,FALSE),"")</f>
        <v>-5.3578947368420984</v>
      </c>
      <c r="X56" s="153">
        <f>IFERROR(COUNTIFS(managers,'Owner View'!T56,opponent,'Owner View'!U56,outcome,"W"),"")</f>
        <v>1</v>
      </c>
      <c r="Y56" s="151">
        <f>IFERROR(AVERAGEIFS(points,managers,'Owner View'!T56,opponent,'Owner View'!U56,outcome,"L"),"")</f>
        <v>71</v>
      </c>
      <c r="Z56" s="152">
        <f>IFERROR(Y56-VLOOKUP(T56,'SFFL Main Page'!$B$4:$L$20,10,FALSE),"")</f>
        <v>-12.57692307692308</v>
      </c>
      <c r="AA56" s="153">
        <f>IFERROR(COUNTIFS(managers,'Owner View'!T56,opponent,'Owner View'!U56,outcome,"L"),"")</f>
        <v>1</v>
      </c>
      <c r="AB56" s="166">
        <f t="shared" si="13"/>
        <v>85.5</v>
      </c>
      <c r="AC56" s="152">
        <f>IFERROR(AB56-VLOOKUP(T56,'SFFL Main Page'!$B$4:$L$20,8,FALSE),"")</f>
        <v>-12.060810810810807</v>
      </c>
      <c r="AD56" s="151">
        <f>IFERROR(AVERAGEIFS(points,managers,'Owner View'!U56,opponent,'Owner View'!T56,outcome,"W"),"")</f>
        <v>97</v>
      </c>
      <c r="AE56" s="152">
        <f>IFERROR(AD56-VLOOKUP(U56,'SFFL Main Page'!$B$4:$L$20,9,FALSE),"")</f>
        <v>-22.727272727272734</v>
      </c>
      <c r="AF56" s="153">
        <f>IFERROR(COUNTIFS(managers,'Owner View'!U56,opponent,'Owner View'!T56,outcome,"W"),"")</f>
        <v>1</v>
      </c>
      <c r="AG56" s="151">
        <f>IFERROR(AVERAGEIFS(points,managers,'Owner View'!U56,opponent,'Owner View'!T56,outcome,"L"),"")</f>
        <v>94</v>
      </c>
      <c r="AH56" s="152">
        <f>IFERROR(AG56-VLOOKUP(U56,'SFFL Main Page'!$B$4:$L$20,10,FALSE),"")</f>
        <v>-3.529411764705884</v>
      </c>
      <c r="AI56" s="153">
        <f>IFERROR(COUNTIFS(managers,'Owner View'!U56,opponent,'Owner View'!T56,outcome,"L"),"")</f>
        <v>1</v>
      </c>
      <c r="AJ56" s="151">
        <f t="shared" si="15"/>
        <v>95.5</v>
      </c>
      <c r="AK56" s="169">
        <f>IFERROR(AJ56-VLOOKUP(U56,'SFFL Main Page'!$B$4:$L$20,8,FALSE),"")</f>
        <v>-10.75</v>
      </c>
      <c r="AL56" s="152">
        <f t="shared" si="16"/>
        <v>-1.310810810810807</v>
      </c>
    </row>
    <row r="57" spans="9:38" x14ac:dyDescent="0.3">
      <c r="S57" s="159">
        <v>52</v>
      </c>
      <c r="T57" s="118" t="s">
        <v>47</v>
      </c>
      <c r="U57" s="172" t="s">
        <v>22</v>
      </c>
      <c r="V57" s="151">
        <f>IFERROR(AVERAGEIFS(points,managers,'Owner View'!T57,opponent,'Owner View'!U57,outcome,"W"),"")</f>
        <v>109.53846153846153</v>
      </c>
      <c r="W57" s="152">
        <f>IFERROR(V57-VLOOKUP(T57,'SFFL Main Page'!$B$4:$L$20,9,FALSE),"")</f>
        <v>4.1805668016194346</v>
      </c>
      <c r="X57" s="153">
        <f>IFERROR(COUNTIFS(managers,'Owner View'!T57,opponent,'Owner View'!U57,outcome,"W"),"")</f>
        <v>13</v>
      </c>
      <c r="Y57" s="151">
        <f>IFERROR(AVERAGEIFS(points,managers,'Owner View'!T57,opponent,'Owner View'!U57,outcome,"L"),"")</f>
        <v>87</v>
      </c>
      <c r="Z57" s="152">
        <f>IFERROR(Y57-VLOOKUP(T57,'SFFL Main Page'!$B$4:$L$20,10,FALSE),"")</f>
        <v>3.4230769230769198</v>
      </c>
      <c r="AA57" s="153">
        <f>IFERROR(COUNTIFS(managers,'Owner View'!T57,opponent,'Owner View'!U57,outcome,"L"),"")</f>
        <v>2</v>
      </c>
      <c r="AB57" s="166">
        <f t="shared" si="13"/>
        <v>106.53333333333333</v>
      </c>
      <c r="AC57" s="152">
        <f>IFERROR(AB57-VLOOKUP(T57,'SFFL Main Page'!$B$4:$L$20,8,FALSE),"")</f>
        <v>8.9725225225225245</v>
      </c>
      <c r="AD57" s="151">
        <f>IFERROR(AVERAGEIFS(points,managers,'Owner View'!U57,opponent,'Owner View'!T57,outcome,"W"),"")</f>
        <v>102</v>
      </c>
      <c r="AE57" s="152">
        <f>IFERROR(AD57-VLOOKUP(U57,'SFFL Main Page'!$B$4:$L$20,9,FALSE),"")</f>
        <v>-0.38028169014084767</v>
      </c>
      <c r="AF57" s="153">
        <f>IFERROR(COUNTIFS(managers,'Owner View'!U57,opponent,'Owner View'!T57,outcome,"W"),"")</f>
        <v>2</v>
      </c>
      <c r="AG57" s="151">
        <f>IFERROR(AVERAGEIFS(points,managers,'Owner View'!U57,opponent,'Owner View'!T57,outcome,"L"),"")</f>
        <v>88.769230769230774</v>
      </c>
      <c r="AH57" s="152">
        <f>IFERROR(AG57-VLOOKUP(U57,'SFFL Main Page'!$B$4:$L$20,10,FALSE),"")</f>
        <v>8.8182503770739089</v>
      </c>
      <c r="AI57" s="153">
        <f>IFERROR(COUNTIFS(managers,'Owner View'!U57,opponent,'Owner View'!T57,outcome,"L"),"")</f>
        <v>13</v>
      </c>
      <c r="AJ57" s="151">
        <f t="shared" si="15"/>
        <v>90.533333333333331</v>
      </c>
      <c r="AK57" s="169">
        <f>IFERROR(AJ57-VLOOKUP(U57,'SFFL Main Page'!$B$4:$L$20,8,FALSE),"")</f>
        <v>1.3724137931034477</v>
      </c>
      <c r="AL57" s="152">
        <f t="shared" si="16"/>
        <v>7.6001087294190768</v>
      </c>
    </row>
    <row r="58" spans="9:38" x14ac:dyDescent="0.3">
      <c r="S58" s="159">
        <v>53</v>
      </c>
      <c r="T58" s="118" t="s">
        <v>47</v>
      </c>
      <c r="U58" s="172" t="s">
        <v>30</v>
      </c>
      <c r="V58" s="151">
        <f>IFERROR(AVERAGEIFS(points,managers,'Owner View'!T58,opponent,'Owner View'!U58,outcome,"W"),"")</f>
        <v>98.63636363636364</v>
      </c>
      <c r="W58" s="152">
        <f>IFERROR(V58-VLOOKUP(T58,'SFFL Main Page'!$B$4:$L$20,9,FALSE),"")</f>
        <v>-6.7215311004784581</v>
      </c>
      <c r="X58" s="153">
        <f>IFERROR(COUNTIFS(managers,'Owner View'!T58,opponent,'Owner View'!U58,outcome,"W"),"")</f>
        <v>11</v>
      </c>
      <c r="Y58" s="151">
        <f>IFERROR(AVERAGEIFS(points,managers,'Owner View'!T58,opponent,'Owner View'!U58,outcome,"L"),"")</f>
        <v>84.5</v>
      </c>
      <c r="Z58" s="152">
        <f>IFERROR(Y58-VLOOKUP(T58,'SFFL Main Page'!$B$4:$L$20,10,FALSE),"")</f>
        <v>0.9230769230769198</v>
      </c>
      <c r="AA58" s="153">
        <f>IFERROR(COUNTIFS(managers,'Owner View'!T58,opponent,'Owner View'!U58,outcome,"L"),"")</f>
        <v>6</v>
      </c>
      <c r="AB58" s="166">
        <f t="shared" si="13"/>
        <v>93.647058823529406</v>
      </c>
      <c r="AC58" s="152">
        <f>IFERROR(AB58-VLOOKUP(T58,'SFFL Main Page'!$B$4:$L$20,8,FALSE),"")</f>
        <v>-3.9137519872814011</v>
      </c>
      <c r="AD58" s="151">
        <f>IFERROR(AVERAGEIFS(points,managers,'Owner View'!U58,opponent,'Owner View'!T58,outcome,"W"),"")</f>
        <v>98.833333333333329</v>
      </c>
      <c r="AE58" s="152">
        <f>IFERROR(AD58-VLOOKUP(U58,'SFFL Main Page'!$B$4:$L$20,9,FALSE),"")</f>
        <v>-4.0666666666666771</v>
      </c>
      <c r="AF58" s="153">
        <f>IFERROR(COUNTIFS(managers,'Owner View'!U58,opponent,'Owner View'!T58,outcome,"W"),"")</f>
        <v>6</v>
      </c>
      <c r="AG58" s="151">
        <f>IFERROR(AVERAGEIFS(points,managers,'Owner View'!U58,opponent,'Owner View'!T58,outcome,"L"),"")</f>
        <v>77.909090909090907</v>
      </c>
      <c r="AH58" s="152">
        <f>IFERROR(AG58-VLOOKUP(U58,'SFFL Main Page'!$B$4:$L$20,10,FALSE),"")</f>
        <v>-4.0263929618768373</v>
      </c>
      <c r="AI58" s="153">
        <f>IFERROR(COUNTIFS(managers,'Owner View'!U58,opponent,'Owner View'!T58,outcome,"L"),"")</f>
        <v>11</v>
      </c>
      <c r="AJ58" s="151">
        <f t="shared" si="15"/>
        <v>85.294117647058826</v>
      </c>
      <c r="AK58" s="169">
        <f>IFERROR(AJ58-VLOOKUP(U58,'SFFL Main Page'!$B$4:$L$20,8,FALSE),"")</f>
        <v>-6.2748478701825547</v>
      </c>
      <c r="AL58" s="152">
        <f t="shared" si="16"/>
        <v>2.3610958829011537</v>
      </c>
    </row>
    <row r="59" spans="9:38" x14ac:dyDescent="0.3">
      <c r="S59" s="159">
        <v>54</v>
      </c>
      <c r="T59" s="118" t="s">
        <v>47</v>
      </c>
      <c r="U59" s="172" t="s">
        <v>23</v>
      </c>
      <c r="V59" s="151">
        <f>IFERROR(AVERAGEIFS(points,managers,'Owner View'!T59,opponent,'Owner View'!U59,outcome,"W"),"")</f>
        <v>111.71428571428571</v>
      </c>
      <c r="W59" s="152">
        <f>IFERROR(V59-VLOOKUP(T59,'SFFL Main Page'!$B$4:$L$20,9,FALSE),"")</f>
        <v>6.3563909774436098</v>
      </c>
      <c r="X59" s="153">
        <f>IFERROR(COUNTIFS(managers,'Owner View'!T59,opponent,'Owner View'!U59,outcome,"W"),"")</f>
        <v>7</v>
      </c>
      <c r="Y59" s="151">
        <f>IFERROR(AVERAGEIFS(points,managers,'Owner View'!T59,opponent,'Owner View'!U59,outcome,"L"),"")</f>
        <v>79.5</v>
      </c>
      <c r="Z59" s="152">
        <f>IFERROR(Y59-VLOOKUP(T59,'SFFL Main Page'!$B$4:$L$20,10,FALSE),"")</f>
        <v>-4.0769230769230802</v>
      </c>
      <c r="AA59" s="153">
        <f>IFERROR(COUNTIFS(managers,'Owner View'!T59,opponent,'Owner View'!U59,outcome,"L"),"")</f>
        <v>4</v>
      </c>
      <c r="AB59" s="166">
        <f t="shared" si="13"/>
        <v>100</v>
      </c>
      <c r="AC59" s="152">
        <f>IFERROR(AB59-VLOOKUP(T59,'SFFL Main Page'!$B$4:$L$20,8,FALSE),"")</f>
        <v>2.439189189189193</v>
      </c>
      <c r="AD59" s="151">
        <f>IFERROR(AVERAGEIFS(points,managers,'Owner View'!U59,opponent,'Owner View'!T59,outcome,"W"),"")</f>
        <v>109.5</v>
      </c>
      <c r="AE59" s="152">
        <f>IFERROR(AD59-VLOOKUP(U59,'SFFL Main Page'!$B$4:$L$20,9,FALSE),"")</f>
        <v>6.574468085106389</v>
      </c>
      <c r="AF59" s="153">
        <f>IFERROR(COUNTIFS(managers,'Owner View'!U59,opponent,'Owner View'!T59,outcome,"W"),"")</f>
        <v>4</v>
      </c>
      <c r="AG59" s="151">
        <f>IFERROR(AVERAGEIFS(points,managers,'Owner View'!U59,opponent,'Owner View'!T59,outcome,"L"),"")</f>
        <v>80.857142857142861</v>
      </c>
      <c r="AH59" s="152">
        <f>IFERROR(AG59-VLOOKUP(U59,'SFFL Main Page'!$B$4:$L$20,10,FALSE),"")</f>
        <v>0.22423146473779809</v>
      </c>
      <c r="AI59" s="153">
        <f>IFERROR(COUNTIFS(managers,'Owner View'!U59,opponent,'Owner View'!T59,outcome,"L"),"")</f>
        <v>7</v>
      </c>
      <c r="AJ59" s="151">
        <f t="shared" si="15"/>
        <v>91.272727272727266</v>
      </c>
      <c r="AK59" s="169">
        <f>IFERROR(AJ59-VLOOKUP(U59,'SFFL Main Page'!$B$4:$L$20,8,FALSE),"")</f>
        <v>-1.56635318704285</v>
      </c>
      <c r="AL59" s="152">
        <f t="shared" si="16"/>
        <v>4.005542376232043</v>
      </c>
    </row>
    <row r="60" spans="9:38" x14ac:dyDescent="0.3">
      <c r="S60" s="159">
        <v>55</v>
      </c>
      <c r="T60" s="118" t="s">
        <v>47</v>
      </c>
      <c r="U60" s="172" t="s">
        <v>28</v>
      </c>
      <c r="V60" s="151">
        <f>IFERROR(AVERAGEIFS(points,managers,'Owner View'!T60,opponent,'Owner View'!U60,outcome,"W"),"")</f>
        <v>102.5</v>
      </c>
      <c r="W60" s="152">
        <f>IFERROR(V60-VLOOKUP(T60,'SFFL Main Page'!$B$4:$L$20,9,FALSE),"")</f>
        <v>-2.8578947368420984</v>
      </c>
      <c r="X60" s="153">
        <f>IFERROR(COUNTIFS(managers,'Owner View'!T60,opponent,'Owner View'!U60,outcome,"W"),"")</f>
        <v>6</v>
      </c>
      <c r="Y60" s="151">
        <f>IFERROR(AVERAGEIFS(points,managers,'Owner View'!T60,opponent,'Owner View'!U60,outcome,"L"),"")</f>
        <v>86.75</v>
      </c>
      <c r="Z60" s="152">
        <f>IFERROR(Y60-VLOOKUP(T60,'SFFL Main Page'!$B$4:$L$20,10,FALSE),"")</f>
        <v>3.1730769230769198</v>
      </c>
      <c r="AA60" s="153">
        <f>IFERROR(COUNTIFS(managers,'Owner View'!T60,opponent,'Owner View'!U60,outcome,"L"),"")</f>
        <v>4</v>
      </c>
      <c r="AB60" s="166">
        <f t="shared" si="13"/>
        <v>96.2</v>
      </c>
      <c r="AC60" s="152">
        <f>IFERROR(AB60-VLOOKUP(T60,'SFFL Main Page'!$B$4:$L$20,8,FALSE),"")</f>
        <v>-1.3608108108108041</v>
      </c>
      <c r="AD60" s="151">
        <f>IFERROR(AVERAGEIFS(points,managers,'Owner View'!U60,opponent,'Owner View'!T60,outcome,"W"),"")</f>
        <v>108.75</v>
      </c>
      <c r="AE60" s="152">
        <f>IFERROR(AD60-VLOOKUP(U60,'SFFL Main Page'!$B$4:$L$20,9,FALSE),"")</f>
        <v>2.4166666666666714</v>
      </c>
      <c r="AF60" s="153">
        <f>IFERROR(COUNTIFS(managers,'Owner View'!U60,opponent,'Owner View'!T60,outcome,"W"),"")</f>
        <v>4</v>
      </c>
      <c r="AG60" s="151">
        <f>IFERROR(AVERAGEIFS(points,managers,'Owner View'!U60,opponent,'Owner View'!T60,outcome,"L"),"")</f>
        <v>81.666666666666671</v>
      </c>
      <c r="AH60" s="152">
        <f>IFERROR(AG60-VLOOKUP(U60,'SFFL Main Page'!$B$4:$L$20,10,FALSE),"")</f>
        <v>0.7520325203252014</v>
      </c>
      <c r="AI60" s="153">
        <f>IFERROR(COUNTIFS(managers,'Owner View'!U60,opponent,'Owner View'!T60,outcome,"L"),"")</f>
        <v>6</v>
      </c>
      <c r="AJ60" s="151">
        <f t="shared" si="15"/>
        <v>92.5</v>
      </c>
      <c r="AK60" s="169">
        <f>IFERROR(AJ60-VLOOKUP(U60,'SFFL Main Page'!$B$4:$L$20,8,FALSE),"")</f>
        <v>-1.7241379310344769</v>
      </c>
      <c r="AL60" s="152">
        <f t="shared" si="16"/>
        <v>0.36332712022367275</v>
      </c>
    </row>
    <row r="61" spans="9:38" x14ac:dyDescent="0.3">
      <c r="S61" s="159">
        <v>56</v>
      </c>
      <c r="T61" s="118" t="s">
        <v>47</v>
      </c>
      <c r="U61" s="172" t="s">
        <v>24</v>
      </c>
      <c r="V61" s="151">
        <f>IFERROR(AVERAGEIFS(points,managers,'Owner View'!T61,opponent,'Owner View'!U61,outcome,"W"),"")</f>
        <v>90</v>
      </c>
      <c r="W61" s="152">
        <f>IFERROR(V61-VLOOKUP(T61,'SFFL Main Page'!$B$4:$L$20,9,FALSE),"")</f>
        <v>-15.357894736842098</v>
      </c>
      <c r="X61" s="153">
        <f>IFERROR(COUNTIFS(managers,'Owner View'!T61,opponent,'Owner View'!U61,outcome,"W"),"")</f>
        <v>6</v>
      </c>
      <c r="Y61" s="151">
        <f>IFERROR(AVERAGEIFS(points,managers,'Owner View'!T61,opponent,'Owner View'!U61,outcome,"L"),"")</f>
        <v>85.6</v>
      </c>
      <c r="Z61" s="152">
        <f>IFERROR(Y61-VLOOKUP(T61,'SFFL Main Page'!$B$4:$L$20,10,FALSE),"")</f>
        <v>2.0230769230769141</v>
      </c>
      <c r="AA61" s="153">
        <f>IFERROR(COUNTIFS(managers,'Owner View'!T61,opponent,'Owner View'!U61,outcome,"L"),"")</f>
        <v>5</v>
      </c>
      <c r="AB61" s="166">
        <f t="shared" si="13"/>
        <v>88</v>
      </c>
      <c r="AC61" s="152">
        <f>IFERROR(AB61-VLOOKUP(T61,'SFFL Main Page'!$B$4:$L$20,8,FALSE),"")</f>
        <v>-9.560810810810807</v>
      </c>
      <c r="AD61" s="151">
        <f>IFERROR(AVERAGEIFS(points,managers,'Owner View'!U61,opponent,'Owner View'!T61,outcome,"W"),"")</f>
        <v>99.2</v>
      </c>
      <c r="AE61" s="152">
        <f>IFERROR(AD61-VLOOKUP(U61,'SFFL Main Page'!$B$4:$L$20,9,FALSE),"")</f>
        <v>-5.5590361445783145</v>
      </c>
      <c r="AF61" s="153">
        <f>IFERROR(COUNTIFS(managers,'Owner View'!U61,opponent,'Owner View'!T61,outcome,"W"),"")</f>
        <v>5</v>
      </c>
      <c r="AG61" s="151">
        <f>IFERROR(AVERAGEIFS(points,managers,'Owner View'!U61,opponent,'Owner View'!T61,outcome,"L"),"")</f>
        <v>72.5</v>
      </c>
      <c r="AH61" s="152">
        <f>IFERROR(AG61-VLOOKUP(U61,'SFFL Main Page'!$B$4:$L$20,10,FALSE),"")</f>
        <v>-4.060439560439562</v>
      </c>
      <c r="AI61" s="153">
        <f>IFERROR(COUNTIFS(managers,'Owner View'!U61,opponent,'Owner View'!T61,outcome,"L"),"")</f>
        <v>6</v>
      </c>
      <c r="AJ61" s="151">
        <f t="shared" si="15"/>
        <v>84.63636363636364</v>
      </c>
      <c r="AK61" s="169">
        <f>IFERROR(AJ61-VLOOKUP(U61,'SFFL Main Page'!$B$4:$L$20,8,FALSE),"")</f>
        <v>-5.3751306165099209</v>
      </c>
      <c r="AL61" s="152">
        <f t="shared" si="16"/>
        <v>-4.1856801943008861</v>
      </c>
    </row>
    <row r="62" spans="9:38" x14ac:dyDescent="0.3">
      <c r="S62" s="159">
        <v>57</v>
      </c>
      <c r="T62" s="118" t="s">
        <v>26</v>
      </c>
      <c r="U62" s="172" t="s">
        <v>27</v>
      </c>
      <c r="V62" s="151">
        <f>IFERROR(AVERAGEIFS(points,managers,'Owner View'!T62,opponent,'Owner View'!U62,outcome,"W"),"")</f>
        <v>113</v>
      </c>
      <c r="W62" s="152">
        <f>IFERROR(V62-VLOOKUP(T62,'SFFL Main Page'!$B$4:$L$20,9,FALSE),"")</f>
        <v>9.4479166666666714</v>
      </c>
      <c r="X62" s="153">
        <f>IFERROR(COUNTIFS(managers,'Owner View'!T62,opponent,'Owner View'!U62,outcome,"W"),"")</f>
        <v>2</v>
      </c>
      <c r="Y62" s="151">
        <f>IFERROR(AVERAGEIFS(points,managers,'Owner View'!T62,opponent,'Owner View'!U62,outcome,"L"),"")</f>
        <v>66</v>
      </c>
      <c r="Z62" s="152">
        <f>IFERROR(Y62-VLOOKUP(T62,'SFFL Main Page'!$B$4:$L$20,10,FALSE),"")</f>
        <v>-11.532467532467535</v>
      </c>
      <c r="AA62" s="153">
        <f>IFERROR(COUNTIFS(managers,'Owner View'!T62,opponent,'Owner View'!U62,outcome,"L"),"")</f>
        <v>7</v>
      </c>
      <c r="AB62" s="166">
        <f t="shared" si="13"/>
        <v>76.444444444444443</v>
      </c>
      <c r="AC62" s="152">
        <f>IFERROR(AB62-VLOOKUP(T62,'SFFL Main Page'!$B$4:$L$20,8,FALSE),"")</f>
        <v>-15.538314176245208</v>
      </c>
      <c r="AD62" s="151">
        <f>IFERROR(AVERAGEIFS(points,managers,'Owner View'!U62,opponent,'Owner View'!T62,outcome,"W"),"")</f>
        <v>80.714285714285708</v>
      </c>
      <c r="AE62" s="152">
        <f>IFERROR(AD62-VLOOKUP(U62,'SFFL Main Page'!$B$4:$L$20,9,FALSE),"")</f>
        <v>-14.775075987841944</v>
      </c>
      <c r="AF62" s="153">
        <f>IFERROR(COUNTIFS(managers,'Owner View'!U62,opponent,'Owner View'!T62,outcome,"W"),"")</f>
        <v>7</v>
      </c>
      <c r="AG62" s="151">
        <f>IFERROR(AVERAGEIFS(points,managers,'Owner View'!U62,opponent,'Owner View'!T62,outcome,"L"),"")</f>
        <v>69</v>
      </c>
      <c r="AH62" s="152">
        <f>IFERROR(AG62-VLOOKUP(U62,'SFFL Main Page'!$B$4:$L$20,10,FALSE),"")</f>
        <v>-0.96491228070175339</v>
      </c>
      <c r="AI62" s="153">
        <f>IFERROR(COUNTIFS(managers,'Owner View'!U62,opponent,'Owner View'!T62,outcome,"L"),"")</f>
        <v>2</v>
      </c>
      <c r="AJ62" s="151">
        <f t="shared" si="15"/>
        <v>78.111111111111114</v>
      </c>
      <c r="AK62" s="169">
        <f>IFERROR(AJ62-VLOOKUP(U62,'SFFL Main Page'!$B$4:$L$20,8,FALSE),"")</f>
        <v>-3.3888888888888857</v>
      </c>
      <c r="AL62" s="152">
        <f t="shared" si="16"/>
        <v>-12.149425287356323</v>
      </c>
    </row>
    <row r="63" spans="9:38" x14ac:dyDescent="0.3">
      <c r="S63" s="159">
        <v>58</v>
      </c>
      <c r="T63" s="118" t="s">
        <v>26</v>
      </c>
      <c r="U63" s="172" t="s">
        <v>227</v>
      </c>
      <c r="V63" s="151">
        <f>IFERROR(AVERAGEIFS(points,managers,'Owner View'!T63,opponent,'Owner View'!U63,outcome,"W"),"")</f>
        <v>125</v>
      </c>
      <c r="W63" s="152">
        <f>IFERROR(V63-VLOOKUP(T63,'SFFL Main Page'!$B$4:$L$20,9,FALSE),"")</f>
        <v>21.447916666666671</v>
      </c>
      <c r="X63" s="153">
        <f>IFERROR(COUNTIFS(managers,'Owner View'!T63,opponent,'Owner View'!U63,outcome,"W"),"")</f>
        <v>3</v>
      </c>
      <c r="Y63" s="151">
        <f>IFERROR(AVERAGEIFS(points,managers,'Owner View'!T63,opponent,'Owner View'!U63,outcome,"L"),"")</f>
        <v>83</v>
      </c>
      <c r="Z63" s="152">
        <f>IFERROR(Y63-VLOOKUP(T63,'SFFL Main Page'!$B$4:$L$20,10,FALSE),"")</f>
        <v>5.4675324675324646</v>
      </c>
      <c r="AA63" s="153">
        <f>IFERROR(COUNTIFS(managers,'Owner View'!T63,opponent,'Owner View'!U63,outcome,"L"),"")</f>
        <v>2</v>
      </c>
      <c r="AB63" s="166">
        <f t="shared" si="13"/>
        <v>108.2</v>
      </c>
      <c r="AC63" s="152">
        <f>IFERROR(AB63-VLOOKUP(T63,'SFFL Main Page'!$B$4:$L$20,8,FALSE),"")</f>
        <v>16.217241379310352</v>
      </c>
      <c r="AD63" s="151">
        <f>IFERROR(AVERAGEIFS(points,managers,'Owner View'!U63,opponent,'Owner View'!T63,outcome,"W"),"")</f>
        <v>115</v>
      </c>
      <c r="AE63" s="152">
        <f>IFERROR(AD63-VLOOKUP(U63,'SFFL Main Page'!$B$4:$L$20,9,FALSE),"")</f>
        <v>6.3103448275862064</v>
      </c>
      <c r="AF63" s="153">
        <f>IFERROR(COUNTIFS(managers,'Owner View'!U63,opponent,'Owner View'!T63,outcome,"W"),"")</f>
        <v>2</v>
      </c>
      <c r="AG63" s="151">
        <f>IFERROR(AVERAGEIFS(points,managers,'Owner View'!U63,opponent,'Owner View'!T63,outcome,"L"),"")</f>
        <v>95.333333333333329</v>
      </c>
      <c r="AH63" s="152">
        <f>IFERROR(AG63-VLOOKUP(U63,'SFFL Main Page'!$B$4:$L$20,10,FALSE),"")</f>
        <v>13.747967479674799</v>
      </c>
      <c r="AI63" s="153">
        <f>IFERROR(COUNTIFS(managers,'Owner View'!U63,opponent,'Owner View'!T63,outcome,"L"),"")</f>
        <v>3</v>
      </c>
      <c r="AJ63" s="151">
        <f t="shared" si="15"/>
        <v>103.2</v>
      </c>
      <c r="AK63" s="169">
        <f>IFERROR(AJ63-VLOOKUP(U63,'SFFL Main Page'!$B$4:$L$20,8,FALSE),"")</f>
        <v>10.385714285714286</v>
      </c>
      <c r="AL63" s="152">
        <f t="shared" si="16"/>
        <v>5.8315270935960655</v>
      </c>
    </row>
    <row r="64" spans="9:38" x14ac:dyDescent="0.3">
      <c r="S64" s="159">
        <v>59</v>
      </c>
      <c r="T64" s="118" t="s">
        <v>26</v>
      </c>
      <c r="U64" s="172" t="s">
        <v>25</v>
      </c>
      <c r="V64" s="151">
        <f>IFERROR(AVERAGEIFS(points,managers,'Owner View'!T64,opponent,'Owner View'!U64,outcome,"W"),"")</f>
        <v>113.5</v>
      </c>
      <c r="W64" s="152">
        <f>IFERROR(V64-VLOOKUP(T64,'SFFL Main Page'!$B$4:$L$20,9,FALSE),"")</f>
        <v>9.9479166666666714</v>
      </c>
      <c r="X64" s="153">
        <f>IFERROR(COUNTIFS(managers,'Owner View'!T64,opponent,'Owner View'!U64,outcome,"W"),"")</f>
        <v>6</v>
      </c>
      <c r="Y64" s="151">
        <f>IFERROR(AVERAGEIFS(points,managers,'Owner View'!T64,opponent,'Owner View'!U64,outcome,"L"),"")</f>
        <v>74.714285714285708</v>
      </c>
      <c r="Z64" s="152">
        <f>IFERROR(Y64-VLOOKUP(T64,'SFFL Main Page'!$B$4:$L$20,10,FALSE),"")</f>
        <v>-2.8181818181818272</v>
      </c>
      <c r="AA64" s="153">
        <f>IFERROR(COUNTIFS(managers,'Owner View'!T64,opponent,'Owner View'!U64,outcome,"L"),"")</f>
        <v>7</v>
      </c>
      <c r="AB64" s="166">
        <f t="shared" si="13"/>
        <v>92.615384615384613</v>
      </c>
      <c r="AC64" s="152">
        <f>IFERROR(AB64-VLOOKUP(T64,'SFFL Main Page'!$B$4:$L$20,8,FALSE),"")</f>
        <v>0.63262599469496195</v>
      </c>
      <c r="AD64" s="151">
        <f>IFERROR(AVERAGEIFS(points,managers,'Owner View'!U64,opponent,'Owner View'!T64,outcome,"W"),"")</f>
        <v>105.85714285714286</v>
      </c>
      <c r="AE64" s="152">
        <f>IFERROR(AD64-VLOOKUP(U64,'SFFL Main Page'!$B$4:$L$20,9,FALSE),"")</f>
        <v>4.0870279146141257</v>
      </c>
      <c r="AF64" s="153">
        <f>IFERROR(COUNTIFS(managers,'Owner View'!U64,opponent,'Owner View'!T64,outcome,"W"),"")</f>
        <v>7</v>
      </c>
      <c r="AG64" s="151">
        <f>IFERROR(AVERAGEIFS(points,managers,'Owner View'!U64,opponent,'Owner View'!T64,outcome,"L"),"")</f>
        <v>72.5</v>
      </c>
      <c r="AH64" s="152">
        <f>IFERROR(AG64-VLOOKUP(U64,'SFFL Main Page'!$B$4:$L$20,10,FALSE),"")</f>
        <v>-5.4404761904761898</v>
      </c>
      <c r="AI64" s="153">
        <f>IFERROR(COUNTIFS(managers,'Owner View'!U64,opponent,'Owner View'!T64,outcome,"L"),"")</f>
        <v>6</v>
      </c>
      <c r="AJ64" s="151">
        <f t="shared" si="15"/>
        <v>90.461538461538467</v>
      </c>
      <c r="AK64" s="169">
        <f>IFERROR(AJ64-VLOOKUP(U64,'SFFL Main Page'!$B$4:$L$20,8,FALSE),"")</f>
        <v>0.4730327144120281</v>
      </c>
      <c r="AL64" s="152">
        <f t="shared" si="16"/>
        <v>0.15959328028293385</v>
      </c>
    </row>
    <row r="65" spans="19:38" x14ac:dyDescent="0.3">
      <c r="S65" s="159">
        <v>60</v>
      </c>
      <c r="T65" s="118" t="s">
        <v>26</v>
      </c>
      <c r="U65" s="172" t="s">
        <v>47</v>
      </c>
      <c r="V65" s="151">
        <f>IFERROR(AVERAGEIFS(points,managers,'Owner View'!T65,opponent,'Owner View'!U65,outcome,"W"),"")</f>
        <v>104.625</v>
      </c>
      <c r="W65" s="152">
        <f>IFERROR(V65-VLOOKUP(T65,'SFFL Main Page'!$B$4:$L$20,9,FALSE),"")</f>
        <v>1.0729166666666714</v>
      </c>
      <c r="X65" s="153">
        <f>IFERROR(COUNTIFS(managers,'Owner View'!T65,opponent,'Owner View'!U65,outcome,"W"),"")</f>
        <v>8</v>
      </c>
      <c r="Y65" s="151">
        <f>IFERROR(AVERAGEIFS(points,managers,'Owner View'!T65,opponent,'Owner View'!U65,outcome,"L"),"")</f>
        <v>83.5</v>
      </c>
      <c r="Z65" s="152">
        <f>IFERROR(Y65-VLOOKUP(T65,'SFFL Main Page'!$B$4:$L$20,10,FALSE),"")</f>
        <v>5.9675324675324646</v>
      </c>
      <c r="AA65" s="153">
        <f>IFERROR(COUNTIFS(managers,'Owner View'!T65,opponent,'Owner View'!U65,outcome,"L"),"")</f>
        <v>6</v>
      </c>
      <c r="AB65" s="166">
        <f t="shared" si="13"/>
        <v>95.571428571428569</v>
      </c>
      <c r="AC65" s="152">
        <f>IFERROR(AB65-VLOOKUP(T65,'SFFL Main Page'!$B$4:$L$20,8,FALSE),"")</f>
        <v>3.5886699507389181</v>
      </c>
      <c r="AD65" s="151">
        <f>IFERROR(AVERAGEIFS(points,managers,'Owner View'!U65,opponent,'Owner View'!T65,outcome,"W"),"")</f>
        <v>98.666666666666671</v>
      </c>
      <c r="AE65" s="152">
        <f>IFERROR(AD65-VLOOKUP(U65,'SFFL Main Page'!$B$4:$L$20,9,FALSE),"")</f>
        <v>-6.691228070175427</v>
      </c>
      <c r="AF65" s="153">
        <f>IFERROR(COUNTIFS(managers,'Owner View'!U65,opponent,'Owner View'!T65,outcome,"W"),"")</f>
        <v>6</v>
      </c>
      <c r="AG65" s="151">
        <f>IFERROR(AVERAGEIFS(points,managers,'Owner View'!U65,opponent,'Owner View'!T65,outcome,"L"),"")</f>
        <v>86.25</v>
      </c>
      <c r="AH65" s="152">
        <f>IFERROR(AG65-VLOOKUP(U65,'SFFL Main Page'!$B$4:$L$20,10,FALSE),"")</f>
        <v>2.6730769230769198</v>
      </c>
      <c r="AI65" s="153">
        <f>IFERROR(COUNTIFS(managers,'Owner View'!U65,opponent,'Owner View'!T65,outcome,"L"),"")</f>
        <v>8</v>
      </c>
      <c r="AJ65" s="151">
        <f t="shared" si="15"/>
        <v>91.571428571428569</v>
      </c>
      <c r="AK65" s="169">
        <f>IFERROR(AJ65-VLOOKUP(U65,'SFFL Main Page'!$B$4:$L$20,8,FALSE),"")</f>
        <v>-5.9893822393822376</v>
      </c>
      <c r="AL65" s="152">
        <f t="shared" si="16"/>
        <v>9.5780521901211557</v>
      </c>
    </row>
    <row r="66" spans="19:38" x14ac:dyDescent="0.3">
      <c r="S66" s="159">
        <v>61</v>
      </c>
      <c r="T66" s="118" t="s">
        <v>26</v>
      </c>
      <c r="U66" s="172" t="s">
        <v>48</v>
      </c>
      <c r="V66" s="151">
        <f>IFERROR(AVERAGEIFS(points,managers,'Owner View'!T66,opponent,'Owner View'!U66,outcome,"W"),"")</f>
        <v>115.33333333333333</v>
      </c>
      <c r="W66" s="152">
        <f>IFERROR(V66-VLOOKUP(T66,'SFFL Main Page'!$B$4:$L$20,9,FALSE),"")</f>
        <v>11.78125</v>
      </c>
      <c r="X66" s="153">
        <f>IFERROR(COUNTIFS(managers,'Owner View'!T66,opponent,'Owner View'!U66,outcome,"W"),"")</f>
        <v>6</v>
      </c>
      <c r="Y66" s="151">
        <f>IFERROR(AVERAGEIFS(points,managers,'Owner View'!T66,opponent,'Owner View'!U66,outcome,"L"),"")</f>
        <v>69.2</v>
      </c>
      <c r="Z66" s="152">
        <f>IFERROR(Y66-VLOOKUP(T66,'SFFL Main Page'!$B$4:$L$20,10,FALSE),"")</f>
        <v>-8.3324675324675326</v>
      </c>
      <c r="AA66" s="153">
        <f>IFERROR(COUNTIFS(managers,'Owner View'!T66,opponent,'Owner View'!U66,outcome,"L"),"")</f>
        <v>5</v>
      </c>
      <c r="AB66" s="166">
        <f t="shared" si="13"/>
        <v>94.36363636363636</v>
      </c>
      <c r="AC66" s="152">
        <f>IFERROR(AB66-VLOOKUP(T66,'SFFL Main Page'!$B$4:$L$20,8,FALSE),"")</f>
        <v>2.3808777429467085</v>
      </c>
      <c r="AD66" s="151">
        <f>IFERROR(AVERAGEIFS(points,managers,'Owner View'!U66,opponent,'Owner View'!T66,outcome,"W"),"")</f>
        <v>107.4</v>
      </c>
      <c r="AE66" s="152">
        <f>IFERROR(AD66-VLOOKUP(U66,'SFFL Main Page'!$B$4:$L$20,9,FALSE),"")</f>
        <v>-1.3451219512195109</v>
      </c>
      <c r="AF66" s="153">
        <f>IFERROR(COUNTIFS(managers,'Owner View'!U66,opponent,'Owner View'!T66,outcome,"W"),"")</f>
        <v>5</v>
      </c>
      <c r="AG66" s="151">
        <f>IFERROR(AVERAGEIFS(points,managers,'Owner View'!U66,opponent,'Owner View'!T66,outcome,"L"),"")</f>
        <v>93.333333333333329</v>
      </c>
      <c r="AH66" s="152">
        <f>IFERROR(AG66-VLOOKUP(U66,'SFFL Main Page'!$B$4:$L$20,10,FALSE),"")</f>
        <v>8.5757575757575779</v>
      </c>
      <c r="AI66" s="153">
        <f>IFERROR(COUNTIFS(managers,'Owner View'!U66,opponent,'Owner View'!T66,outcome,"L"),"")</f>
        <v>6</v>
      </c>
      <c r="AJ66" s="151">
        <f t="shared" si="15"/>
        <v>99.727272727272734</v>
      </c>
      <c r="AK66" s="169">
        <f>IFERROR(AJ66-VLOOKUP(U66,'SFFL Main Page'!$B$4:$L$20,8,FALSE),"")</f>
        <v>1.6792997542997625</v>
      </c>
      <c r="AL66" s="152">
        <f t="shared" si="16"/>
        <v>0.70157798864694598</v>
      </c>
    </row>
    <row r="67" spans="19:38" x14ac:dyDescent="0.3">
      <c r="S67" s="159">
        <v>62</v>
      </c>
      <c r="T67" s="118" t="s">
        <v>26</v>
      </c>
      <c r="U67" s="172" t="s">
        <v>29</v>
      </c>
      <c r="V67" s="151">
        <f>IFERROR(AVERAGEIFS(points,managers,'Owner View'!T67,opponent,'Owner View'!U67,outcome,"W"),"")</f>
        <v>100.88888888888889</v>
      </c>
      <c r="W67" s="152">
        <f>IFERROR(V67-VLOOKUP(T67,'SFFL Main Page'!$B$4:$L$20,9,FALSE),"")</f>
        <v>-2.6631944444444429</v>
      </c>
      <c r="X67" s="153">
        <f>IFERROR(COUNTIFS(managers,'Owner View'!T67,opponent,'Owner View'!U67,outcome,"W"),"")</f>
        <v>18</v>
      </c>
      <c r="Y67" s="151">
        <f>IFERROR(AVERAGEIFS(points,managers,'Owner View'!T67,opponent,'Owner View'!U67,outcome,"L"),"")</f>
        <v>76.833333333333329</v>
      </c>
      <c r="Z67" s="152">
        <f>IFERROR(Y67-VLOOKUP(T67,'SFFL Main Page'!$B$4:$L$20,10,FALSE),"")</f>
        <v>-0.69913419913420682</v>
      </c>
      <c r="AA67" s="153">
        <f>IFERROR(COUNTIFS(managers,'Owner View'!T67,opponent,'Owner View'!U67,outcome,"L"),"")</f>
        <v>6</v>
      </c>
      <c r="AB67" s="166">
        <f t="shared" si="13"/>
        <v>94.875</v>
      </c>
      <c r="AC67" s="152">
        <f>IFERROR(AB67-VLOOKUP(T67,'SFFL Main Page'!$B$4:$L$20,8,FALSE),"")</f>
        <v>2.8922413793103487</v>
      </c>
      <c r="AD67" s="151">
        <f>IFERROR(AVERAGEIFS(points,managers,'Owner View'!U67,opponent,'Owner View'!T67,outcome,"W"),"")</f>
        <v>97.5</v>
      </c>
      <c r="AE67" s="152">
        <f>IFERROR(AD67-VLOOKUP(U67,'SFFL Main Page'!$B$4:$L$20,9,FALSE),"")</f>
        <v>-3.5705882352941245</v>
      </c>
      <c r="AF67" s="153">
        <f>IFERROR(COUNTIFS(managers,'Owner View'!U67,opponent,'Owner View'!T67,outcome,"W"),"")</f>
        <v>6</v>
      </c>
      <c r="AG67" s="151">
        <f>IFERROR(AVERAGEIFS(points,managers,'Owner View'!U67,opponent,'Owner View'!T67,outcome,"L"),"")</f>
        <v>79.944444444444443</v>
      </c>
      <c r="AH67" s="152">
        <f>IFERROR(AG67-VLOOKUP(U67,'SFFL Main Page'!$B$4:$L$20,10,FALSE),"")</f>
        <v>1.8194444444444429</v>
      </c>
      <c r="AI67" s="153">
        <f>IFERROR(COUNTIFS(managers,'Owner View'!U67,opponent,'Owner View'!T67,outcome,"L"),"")</f>
        <v>18</v>
      </c>
      <c r="AJ67" s="151">
        <f t="shared" si="15"/>
        <v>84.333333333333329</v>
      </c>
      <c r="AK67" s="169">
        <f>IFERROR(AJ67-VLOOKUP(U67,'SFFL Main Page'!$B$4:$L$20,8,FALSE),"")</f>
        <v>-5.0689655172413808</v>
      </c>
      <c r="AL67" s="152">
        <f t="shared" si="16"/>
        <v>7.9612068965517295</v>
      </c>
    </row>
    <row r="68" spans="19:38" x14ac:dyDescent="0.3">
      <c r="S68" s="159">
        <v>63</v>
      </c>
      <c r="T68" s="118" t="s">
        <v>26</v>
      </c>
      <c r="U68" s="172" t="s">
        <v>43</v>
      </c>
      <c r="V68" s="151">
        <f>IFERROR(AVERAGEIFS(points,managers,'Owner View'!T68,opponent,'Owner View'!U68,outcome,"W"),"")</f>
        <v>99.818181818181813</v>
      </c>
      <c r="W68" s="152">
        <f>IFERROR(V68-VLOOKUP(T68,'SFFL Main Page'!$B$4:$L$20,9,FALSE),"")</f>
        <v>-3.7339015151515156</v>
      </c>
      <c r="X68" s="153">
        <f>IFERROR(COUNTIFS(managers,'Owner View'!T68,opponent,'Owner View'!U68,outcome,"W"),"")</f>
        <v>11</v>
      </c>
      <c r="Y68" s="151">
        <f>IFERROR(AVERAGEIFS(points,managers,'Owner View'!T68,opponent,'Owner View'!U68,outcome,"L"),"")</f>
        <v>77.666666666666671</v>
      </c>
      <c r="Z68" s="152">
        <f>IFERROR(Y68-VLOOKUP(T68,'SFFL Main Page'!$B$4:$L$20,10,FALSE),"")</f>
        <v>0.13419913419913598</v>
      </c>
      <c r="AA68" s="153">
        <f>IFERROR(COUNTIFS(managers,'Owner View'!T68,opponent,'Owner View'!U68,outcome,"L"),"")</f>
        <v>3</v>
      </c>
      <c r="AB68" s="166">
        <f t="shared" si="13"/>
        <v>95.071428571428569</v>
      </c>
      <c r="AC68" s="152">
        <f>IFERROR(AB68-VLOOKUP(T68,'SFFL Main Page'!$B$4:$L$20,8,FALSE),"")</f>
        <v>3.0886699507389181</v>
      </c>
      <c r="AD68" s="151">
        <f>IFERROR(AVERAGEIFS(points,managers,'Owner View'!U68,opponent,'Owner View'!T68,outcome,"W"),"")</f>
        <v>91.666666666666671</v>
      </c>
      <c r="AE68" s="152">
        <f>IFERROR(AD68-VLOOKUP(U68,'SFFL Main Page'!$B$4:$L$20,9,FALSE),"")</f>
        <v>-9.1604938271604937</v>
      </c>
      <c r="AF68" s="153">
        <f>IFERROR(COUNTIFS(managers,'Owner View'!U68,opponent,'Owner View'!T68,outcome,"W"),"")</f>
        <v>3</v>
      </c>
      <c r="AG68" s="151">
        <f>IFERROR(AVERAGEIFS(points,managers,'Owner View'!U68,opponent,'Owner View'!T68,outcome,"L"),"")</f>
        <v>79</v>
      </c>
      <c r="AH68" s="152">
        <f>IFERROR(AG68-VLOOKUP(U68,'SFFL Main Page'!$B$4:$L$20,10,FALSE),"")</f>
        <v>3.6304347826087024</v>
      </c>
      <c r="AI68" s="153">
        <f>IFERROR(COUNTIFS(managers,'Owner View'!U68,opponent,'Owner View'!T68,outcome,"L"),"")</f>
        <v>11</v>
      </c>
      <c r="AJ68" s="151">
        <f t="shared" si="15"/>
        <v>81.714285714285708</v>
      </c>
      <c r="AK68" s="169">
        <f>IFERROR(AJ68-VLOOKUP(U68,'SFFL Main Page'!$B$4:$L$20,8,FALSE),"")</f>
        <v>-5.5270935960591174</v>
      </c>
      <c r="AL68" s="152">
        <f t="shared" si="16"/>
        <v>8.6157635467980356</v>
      </c>
    </row>
    <row r="69" spans="19:38" x14ac:dyDescent="0.3">
      <c r="S69" s="159">
        <v>64</v>
      </c>
      <c r="T69" s="118" t="s">
        <v>26</v>
      </c>
      <c r="U69" s="172" t="s">
        <v>473</v>
      </c>
      <c r="V69" s="151">
        <f>IFERROR(AVERAGEIFS(points,managers,'Owner View'!T69,opponent,'Owner View'!U69,outcome,"W"),"")</f>
        <v>97</v>
      </c>
      <c r="W69" s="152">
        <f>IFERROR(V69-VLOOKUP(T69,'SFFL Main Page'!$B$4:$L$20,9,FALSE),"")</f>
        <v>-6.5520833333333286</v>
      </c>
      <c r="X69" s="153">
        <f>IFERROR(COUNTIFS(managers,'Owner View'!T69,opponent,'Owner View'!U69,outcome,"W"),"")</f>
        <v>1</v>
      </c>
      <c r="Y69" s="151">
        <f>IFERROR(AVERAGEIFS(points,managers,'Owner View'!T69,opponent,'Owner View'!U69,outcome,"L"),"")</f>
        <v>106</v>
      </c>
      <c r="Z69" s="152">
        <f>IFERROR(Y69-VLOOKUP(T69,'SFFL Main Page'!$B$4:$L$20,10,FALSE),"")</f>
        <v>28.467532467532465</v>
      </c>
      <c r="AA69" s="153">
        <f>IFERROR(COUNTIFS(managers,'Owner View'!T69,opponent,'Owner View'!U69,outcome,"L"),"")</f>
        <v>1</v>
      </c>
      <c r="AB69" s="166">
        <f t="shared" si="13"/>
        <v>101.5</v>
      </c>
      <c r="AC69" s="152">
        <f>IFERROR(AB69-VLOOKUP(T69,'SFFL Main Page'!$B$4:$L$20,8,FALSE),"")</f>
        <v>9.5172413793103487</v>
      </c>
      <c r="AD69" s="151">
        <f>IFERROR(AVERAGEIFS(points,managers,'Owner View'!U69,opponent,'Owner View'!T69,outcome,"W"),"")</f>
        <v>131</v>
      </c>
      <c r="AE69" s="152">
        <f>IFERROR(AD69-VLOOKUP(U69,'SFFL Main Page'!$B$4:$L$20,9,FALSE),"")</f>
        <v>8.4444444444444429</v>
      </c>
      <c r="AF69" s="153">
        <f>IFERROR(COUNTIFS(managers,'Owner View'!U69,opponent,'Owner View'!T69,outcome,"W"),"")</f>
        <v>1</v>
      </c>
      <c r="AG69" s="151">
        <f>IFERROR(AVERAGEIFS(points,managers,'Owner View'!U69,opponent,'Owner View'!T69,outcome,"L"),"")</f>
        <v>88</v>
      </c>
      <c r="AH69" s="152">
        <f>IFERROR(AG69-VLOOKUP(U69,'SFFL Main Page'!$B$4:$L$20,10,FALSE),"")</f>
        <v>-5.1578947368421098</v>
      </c>
      <c r="AI69" s="153">
        <f>IFERROR(COUNTIFS(managers,'Owner View'!U69,opponent,'Owner View'!T69,outcome,"L"),"")</f>
        <v>1</v>
      </c>
      <c r="AJ69" s="151">
        <f t="shared" si="15"/>
        <v>109.5</v>
      </c>
      <c r="AK69" s="169">
        <f>IFERROR(AJ69-VLOOKUP(U69,'SFFL Main Page'!$B$4:$L$20,8,FALSE),"")</f>
        <v>6.8928571428571388</v>
      </c>
      <c r="AL69" s="152">
        <f t="shared" si="16"/>
        <v>2.62438423645321</v>
      </c>
    </row>
    <row r="70" spans="19:38" x14ac:dyDescent="0.3">
      <c r="S70" s="159">
        <v>65</v>
      </c>
      <c r="T70" s="118" t="s">
        <v>26</v>
      </c>
      <c r="U70" s="172" t="s">
        <v>472</v>
      </c>
      <c r="V70" s="151">
        <f>IFERROR(AVERAGEIFS(points,managers,'Owner View'!T70,opponent,'Owner View'!U70,outcome,"W"),"")</f>
        <v>115</v>
      </c>
      <c r="W70" s="152">
        <f>IFERROR(V70-VLOOKUP(T70,'SFFL Main Page'!$B$4:$L$20,9,FALSE),"")</f>
        <v>11.447916666666671</v>
      </c>
      <c r="X70" s="153">
        <f>IFERROR(COUNTIFS(managers,'Owner View'!T70,opponent,'Owner View'!U70,outcome,"W"),"")</f>
        <v>1</v>
      </c>
      <c r="Y70" s="151">
        <f>IFERROR(AVERAGEIFS(points,managers,'Owner View'!T70,opponent,'Owner View'!U70,outcome,"L"),"")</f>
        <v>82</v>
      </c>
      <c r="Z70" s="152">
        <f>IFERROR(Y70-VLOOKUP(T70,'SFFL Main Page'!$B$4:$L$20,10,FALSE),"")</f>
        <v>4.4675324675324646</v>
      </c>
      <c r="AA70" s="153">
        <f>IFERROR(COUNTIFS(managers,'Owner View'!T70,opponent,'Owner View'!U70,outcome,"L"),"")</f>
        <v>1</v>
      </c>
      <c r="AB70" s="166">
        <f t="shared" si="13"/>
        <v>98.5</v>
      </c>
      <c r="AC70" s="152">
        <f>IFERROR(AB70-VLOOKUP(T70,'SFFL Main Page'!$B$4:$L$20,8,FALSE),"")</f>
        <v>6.5172413793103487</v>
      </c>
      <c r="AD70" s="151">
        <f>IFERROR(AVERAGEIFS(points,managers,'Owner View'!U70,opponent,'Owner View'!T70,outcome,"W"),"")</f>
        <v>85</v>
      </c>
      <c r="AE70" s="152">
        <f>IFERROR(AD70-VLOOKUP(U70,'SFFL Main Page'!$B$4:$L$20,9,FALSE),"")</f>
        <v>-34.727272727272734</v>
      </c>
      <c r="AF70" s="153">
        <f>IFERROR(COUNTIFS(managers,'Owner View'!U70,opponent,'Owner View'!T70,outcome,"W"),"")</f>
        <v>1</v>
      </c>
      <c r="AG70" s="151">
        <f>IFERROR(AVERAGEIFS(points,managers,'Owner View'!U70,opponent,'Owner View'!T70,outcome,"L"),"")</f>
        <v>81</v>
      </c>
      <c r="AH70" s="152">
        <f>IFERROR(AG70-VLOOKUP(U70,'SFFL Main Page'!$B$4:$L$20,10,FALSE),"")</f>
        <v>-16.529411764705884</v>
      </c>
      <c r="AI70" s="153">
        <f>IFERROR(COUNTIFS(managers,'Owner View'!U70,opponent,'Owner View'!T70,outcome,"L"),"")</f>
        <v>1</v>
      </c>
      <c r="AJ70" s="151">
        <f t="shared" si="15"/>
        <v>83</v>
      </c>
      <c r="AK70" s="169">
        <f>IFERROR(AJ70-VLOOKUP(U70,'SFFL Main Page'!$B$4:$L$20,8,FALSE),"")</f>
        <v>-23.25</v>
      </c>
      <c r="AL70" s="152">
        <f t="shared" si="16"/>
        <v>29.767241379310349</v>
      </c>
    </row>
    <row r="71" spans="19:38" x14ac:dyDescent="0.3">
      <c r="S71" s="159">
        <v>66</v>
      </c>
      <c r="T71" s="118" t="s">
        <v>26</v>
      </c>
      <c r="U71" s="172" t="s">
        <v>22</v>
      </c>
      <c r="V71" s="151">
        <f>IFERROR(AVERAGEIFS(points,managers,'Owner View'!T71,opponent,'Owner View'!U71,outcome,"W"),"")</f>
        <v>108.625</v>
      </c>
      <c r="W71" s="152">
        <f>IFERROR(V71-VLOOKUP(T71,'SFFL Main Page'!$B$4:$L$20,9,FALSE),"")</f>
        <v>5.0729166666666714</v>
      </c>
      <c r="X71" s="153">
        <f>IFERROR(COUNTIFS(managers,'Owner View'!T71,opponent,'Owner View'!U71,outcome,"W"),"")</f>
        <v>8</v>
      </c>
      <c r="Y71" s="151">
        <f>IFERROR(AVERAGEIFS(points,managers,'Owner View'!T71,opponent,'Owner View'!U71,outcome,"L"),"")</f>
        <v>77</v>
      </c>
      <c r="Z71" s="152">
        <f>IFERROR(Y71-VLOOKUP(T71,'SFFL Main Page'!$B$4:$L$20,10,FALSE),"")</f>
        <v>-0.53246753246753542</v>
      </c>
      <c r="AA71" s="153">
        <f>IFERROR(COUNTIFS(managers,'Owner View'!T71,opponent,'Owner View'!U71,outcome,"L"),"")</f>
        <v>9</v>
      </c>
      <c r="AB71" s="166">
        <f t="shared" si="13"/>
        <v>91.882352941176464</v>
      </c>
      <c r="AC71" s="152">
        <f>IFERROR(AB71-VLOOKUP(T71,'SFFL Main Page'!$B$4:$L$20,8,FALSE),"")</f>
        <v>-0.10040567951318735</v>
      </c>
      <c r="AD71" s="151">
        <f>IFERROR(AVERAGEIFS(points,managers,'Owner View'!U71,opponent,'Owner View'!T71,outcome,"W"),"")</f>
        <v>99.222222222222229</v>
      </c>
      <c r="AE71" s="152">
        <f>IFERROR(AD71-VLOOKUP(U71,'SFFL Main Page'!$B$4:$L$20,9,FALSE),"")</f>
        <v>-3.1580594679186191</v>
      </c>
      <c r="AF71" s="153">
        <f>IFERROR(COUNTIFS(managers,'Owner View'!U71,opponent,'Owner View'!T71,outcome,"W"),"")</f>
        <v>9</v>
      </c>
      <c r="AG71" s="151">
        <f>IFERROR(AVERAGEIFS(points,managers,'Owner View'!U71,opponent,'Owner View'!T71,outcome,"L"),"")</f>
        <v>77</v>
      </c>
      <c r="AH71" s="152">
        <f>IFERROR(AG71-VLOOKUP(U71,'SFFL Main Page'!$B$4:$L$20,10,FALSE),"")</f>
        <v>-2.9509803921568647</v>
      </c>
      <c r="AI71" s="153">
        <f>IFERROR(COUNTIFS(managers,'Owner View'!U71,opponent,'Owner View'!T71,outcome,"L"),"")</f>
        <v>8</v>
      </c>
      <c r="AJ71" s="151">
        <f t="shared" si="15"/>
        <v>88.764705882352942</v>
      </c>
      <c r="AK71" s="169">
        <f>IFERROR(AJ71-VLOOKUP(U71,'SFFL Main Page'!$B$4:$L$20,8,FALSE),"")</f>
        <v>-0.39621365787694174</v>
      </c>
      <c r="AL71" s="152">
        <f t="shared" si="16"/>
        <v>0.29580797836375439</v>
      </c>
    </row>
    <row r="72" spans="19:38" x14ac:dyDescent="0.3">
      <c r="S72" s="159">
        <v>67</v>
      </c>
      <c r="T72" s="118" t="s">
        <v>26</v>
      </c>
      <c r="U72" s="172" t="s">
        <v>30</v>
      </c>
      <c r="V72" s="151">
        <f>IFERROR(AVERAGEIFS(points,managers,'Owner View'!T72,opponent,'Owner View'!U72,outcome,"W"),"")</f>
        <v>101.72727272727273</v>
      </c>
      <c r="W72" s="152">
        <f>IFERROR(V72-VLOOKUP(T72,'SFFL Main Page'!$B$4:$L$20,9,FALSE),"")</f>
        <v>-1.8248106060605949</v>
      </c>
      <c r="X72" s="153">
        <f>IFERROR(COUNTIFS(managers,'Owner View'!T72,opponent,'Owner View'!U72,outcome,"W"),"")</f>
        <v>11</v>
      </c>
      <c r="Y72" s="151">
        <f>IFERROR(AVERAGEIFS(points,managers,'Owner View'!T72,opponent,'Owner View'!U72,outcome,"L"),"")</f>
        <v>84.833333333333329</v>
      </c>
      <c r="Z72" s="152">
        <f>IFERROR(Y72-VLOOKUP(T72,'SFFL Main Page'!$B$4:$L$20,10,FALSE),"")</f>
        <v>7.3008658008657932</v>
      </c>
      <c r="AA72" s="153">
        <f>IFERROR(COUNTIFS(managers,'Owner View'!T72,opponent,'Owner View'!U72,outcome,"L"),"")</f>
        <v>6</v>
      </c>
      <c r="AB72" s="166">
        <f t="shared" ref="AB72:AB135" si="25">IFERROR(((V72*X72)+(Y72*AA72))/SUM(X72,AA72),"")</f>
        <v>95.764705882352942</v>
      </c>
      <c r="AC72" s="152">
        <f>IFERROR(AB72-VLOOKUP(T72,'SFFL Main Page'!$B$4:$L$20,8,FALSE),"")</f>
        <v>3.7819472616632908</v>
      </c>
      <c r="AD72" s="151">
        <f>IFERROR(AVERAGEIFS(points,managers,'Owner View'!U72,opponent,'Owner View'!T72,outcome,"W"),"")</f>
        <v>110</v>
      </c>
      <c r="AE72" s="152">
        <f>IFERROR(AD72-VLOOKUP(U72,'SFFL Main Page'!$B$4:$L$20,9,FALSE),"")</f>
        <v>7.0999999999999943</v>
      </c>
      <c r="AF72" s="153">
        <f>IFERROR(COUNTIFS(managers,'Owner View'!U72,opponent,'Owner View'!T72,outcome,"W"),"")</f>
        <v>6</v>
      </c>
      <c r="AG72" s="151">
        <f>IFERROR(AVERAGEIFS(points,managers,'Owner View'!U72,opponent,'Owner View'!T72,outcome,"L"),"")</f>
        <v>79.272727272727266</v>
      </c>
      <c r="AH72" s="152">
        <f>IFERROR(AG72-VLOOKUP(U72,'SFFL Main Page'!$B$4:$L$20,10,FALSE),"")</f>
        <v>-2.6627565982404775</v>
      </c>
      <c r="AI72" s="153">
        <f>IFERROR(COUNTIFS(managers,'Owner View'!U72,opponent,'Owner View'!T72,outcome,"L"),"")</f>
        <v>11</v>
      </c>
      <c r="AJ72" s="151">
        <f t="shared" si="15"/>
        <v>90.117647058823536</v>
      </c>
      <c r="AK72" s="169">
        <f>IFERROR(AJ72-VLOOKUP(U72,'SFFL Main Page'!$B$4:$L$20,8,FALSE),"")</f>
        <v>-1.4513184584178447</v>
      </c>
      <c r="AL72" s="152">
        <f t="shared" si="16"/>
        <v>5.2332657200811354</v>
      </c>
    </row>
    <row r="73" spans="19:38" x14ac:dyDescent="0.3">
      <c r="S73" s="159">
        <v>68</v>
      </c>
      <c r="T73" s="118" t="s">
        <v>26</v>
      </c>
      <c r="U73" s="172" t="s">
        <v>23</v>
      </c>
      <c r="V73" s="151">
        <f>IFERROR(AVERAGEIFS(points,managers,'Owner View'!T73,opponent,'Owner View'!U73,outcome,"W"),"")</f>
        <v>92.333333333333329</v>
      </c>
      <c r="W73" s="152">
        <f>IFERROR(V73-VLOOKUP(T73,'SFFL Main Page'!$B$4:$L$20,9,FALSE),"")</f>
        <v>-11.21875</v>
      </c>
      <c r="X73" s="153">
        <f>IFERROR(COUNTIFS(managers,'Owner View'!T73,opponent,'Owner View'!U73,outcome,"W"),"")</f>
        <v>9</v>
      </c>
      <c r="Y73" s="151">
        <f>IFERROR(AVERAGEIFS(points,managers,'Owner View'!T73,opponent,'Owner View'!U73,outcome,"L"),"")</f>
        <v>76.166666666666671</v>
      </c>
      <c r="Z73" s="152">
        <f>IFERROR(Y73-VLOOKUP(T73,'SFFL Main Page'!$B$4:$L$20,10,FALSE),"")</f>
        <v>-1.365800865800864</v>
      </c>
      <c r="AA73" s="153">
        <f>IFERROR(COUNTIFS(managers,'Owner View'!T73,opponent,'Owner View'!U73,outcome,"L"),"")</f>
        <v>6</v>
      </c>
      <c r="AB73" s="166">
        <f t="shared" si="25"/>
        <v>85.86666666666666</v>
      </c>
      <c r="AC73" s="152">
        <f>IFERROR(AB73-VLOOKUP(T73,'SFFL Main Page'!$B$4:$L$20,8,FALSE),"")</f>
        <v>-6.1160919540229912</v>
      </c>
      <c r="AD73" s="151">
        <f>IFERROR(AVERAGEIFS(points,managers,'Owner View'!U73,opponent,'Owner View'!T73,outcome,"W"),"")</f>
        <v>109.83333333333333</v>
      </c>
      <c r="AE73" s="152">
        <f>IFERROR(AD73-VLOOKUP(U73,'SFFL Main Page'!$B$4:$L$20,9,FALSE),"")</f>
        <v>6.9078014184397176</v>
      </c>
      <c r="AF73" s="153">
        <f>IFERROR(COUNTIFS(managers,'Owner View'!U73,opponent,'Owner View'!T73,outcome,"W"),"")</f>
        <v>6</v>
      </c>
      <c r="AG73" s="151">
        <f>IFERROR(AVERAGEIFS(points,managers,'Owner View'!U73,opponent,'Owner View'!T73,outcome,"L"),"")</f>
        <v>81.777777777777771</v>
      </c>
      <c r="AH73" s="152">
        <f>IFERROR(AG73-VLOOKUP(U73,'SFFL Main Page'!$B$4:$L$20,10,FALSE),"")</f>
        <v>1.1448663853727084</v>
      </c>
      <c r="AI73" s="153">
        <f>IFERROR(COUNTIFS(managers,'Owner View'!U73,opponent,'Owner View'!T73,outcome,"L"),"")</f>
        <v>9</v>
      </c>
      <c r="AJ73" s="151">
        <f t="shared" si="15"/>
        <v>93</v>
      </c>
      <c r="AK73" s="169">
        <f>IFERROR(AJ73-VLOOKUP(U73,'SFFL Main Page'!$B$4:$L$20,8,FALSE),"")</f>
        <v>0.16091954022988375</v>
      </c>
      <c r="AL73" s="152">
        <f t="shared" si="16"/>
        <v>-6.277011494252875</v>
      </c>
    </row>
    <row r="74" spans="19:38" x14ac:dyDescent="0.3">
      <c r="S74" s="159">
        <v>69</v>
      </c>
      <c r="T74" s="118" t="s">
        <v>26</v>
      </c>
      <c r="U74" s="172" t="s">
        <v>28</v>
      </c>
      <c r="V74" s="151">
        <f>IFERROR(AVERAGEIFS(points,managers,'Owner View'!T74,opponent,'Owner View'!U74,outcome,"W"),"")</f>
        <v>100.6</v>
      </c>
      <c r="W74" s="152">
        <f>IFERROR(V74-VLOOKUP(T74,'SFFL Main Page'!$B$4:$L$20,9,FALSE),"")</f>
        <v>-2.9520833333333343</v>
      </c>
      <c r="X74" s="153">
        <f>IFERROR(COUNTIFS(managers,'Owner View'!T74,opponent,'Owner View'!U74,outcome,"W"),"")</f>
        <v>5</v>
      </c>
      <c r="Y74" s="151">
        <f>IFERROR(AVERAGEIFS(points,managers,'Owner View'!T74,opponent,'Owner View'!U74,outcome,"L"),"")</f>
        <v>73.272727272727266</v>
      </c>
      <c r="Z74" s="152">
        <f>IFERROR(Y74-VLOOKUP(T74,'SFFL Main Page'!$B$4:$L$20,10,FALSE),"")</f>
        <v>-4.2597402597402692</v>
      </c>
      <c r="AA74" s="153">
        <f>IFERROR(COUNTIFS(managers,'Owner View'!T74,opponent,'Owner View'!U74,outcome,"L"),"")</f>
        <v>11</v>
      </c>
      <c r="AB74" s="166">
        <f t="shared" si="25"/>
        <v>81.8125</v>
      </c>
      <c r="AC74" s="152">
        <f>IFERROR(AB74-VLOOKUP(T74,'SFFL Main Page'!$B$4:$L$20,8,FALSE),"")</f>
        <v>-10.170258620689651</v>
      </c>
      <c r="AD74" s="151">
        <f>IFERROR(AVERAGEIFS(points,managers,'Owner View'!U74,opponent,'Owner View'!T74,outcome,"W"),"")</f>
        <v>109.90909090909091</v>
      </c>
      <c r="AE74" s="152">
        <f>IFERROR(AD74-VLOOKUP(U74,'SFFL Main Page'!$B$4:$L$20,9,FALSE),"")</f>
        <v>3.5757575757575779</v>
      </c>
      <c r="AF74" s="153">
        <f>IFERROR(COUNTIFS(managers,'Owner View'!U74,opponent,'Owner View'!T74,outcome,"W"),"")</f>
        <v>11</v>
      </c>
      <c r="AG74" s="151">
        <f>IFERROR(AVERAGEIFS(points,managers,'Owner View'!U74,opponent,'Owner View'!T74,outcome,"L"),"")</f>
        <v>82.6</v>
      </c>
      <c r="AH74" s="152">
        <f>IFERROR(AG74-VLOOKUP(U74,'SFFL Main Page'!$B$4:$L$20,10,FALSE),"")</f>
        <v>1.6853658536585243</v>
      </c>
      <c r="AI74" s="153">
        <f>IFERROR(COUNTIFS(managers,'Owner View'!U74,opponent,'Owner View'!T74,outcome,"L"),"")</f>
        <v>5</v>
      </c>
      <c r="AJ74" s="151">
        <f t="shared" si="15"/>
        <v>101.375</v>
      </c>
      <c r="AK74" s="169">
        <f>IFERROR(AJ74-VLOOKUP(U74,'SFFL Main Page'!$B$4:$L$20,8,FALSE),"")</f>
        <v>7.1508620689655231</v>
      </c>
      <c r="AL74" s="152">
        <f t="shared" si="16"/>
        <v>-17.321120689655174</v>
      </c>
    </row>
    <row r="75" spans="19:38" x14ac:dyDescent="0.3">
      <c r="S75" s="159">
        <v>70</v>
      </c>
      <c r="T75" s="118" t="s">
        <v>26</v>
      </c>
      <c r="U75" s="172" t="s">
        <v>24</v>
      </c>
      <c r="V75" s="151">
        <f>IFERROR(AVERAGEIFS(points,managers,'Owner View'!T75,opponent,'Owner View'!U75,outcome,"W"),"")</f>
        <v>97.428571428571431</v>
      </c>
      <c r="W75" s="152">
        <f>IFERROR(V75-VLOOKUP(T75,'SFFL Main Page'!$B$4:$L$20,9,FALSE),"")</f>
        <v>-6.123511904761898</v>
      </c>
      <c r="X75" s="153">
        <f>IFERROR(COUNTIFS(managers,'Owner View'!T75,opponent,'Owner View'!U75,outcome,"W"),"")</f>
        <v>7</v>
      </c>
      <c r="Y75" s="151">
        <f>IFERROR(AVERAGEIFS(points,managers,'Owner View'!T75,opponent,'Owner View'!U75,outcome,"L"),"")</f>
        <v>89.285714285714292</v>
      </c>
      <c r="Z75" s="152">
        <f>IFERROR(Y75-VLOOKUP(T75,'SFFL Main Page'!$B$4:$L$20,10,FALSE),"")</f>
        <v>11.753246753246756</v>
      </c>
      <c r="AA75" s="153">
        <f>IFERROR(COUNTIFS(managers,'Owner View'!T75,opponent,'Owner View'!U75,outcome,"L"),"")</f>
        <v>7</v>
      </c>
      <c r="AB75" s="166">
        <f t="shared" si="25"/>
        <v>93.357142857142861</v>
      </c>
      <c r="AC75" s="152">
        <f>IFERROR(AB75-VLOOKUP(T75,'SFFL Main Page'!$B$4:$L$20,8,FALSE),"")</f>
        <v>1.37438423645321</v>
      </c>
      <c r="AD75" s="151">
        <f>IFERROR(AVERAGEIFS(points,managers,'Owner View'!U75,opponent,'Owner View'!T75,outcome,"W"),"")</f>
        <v>108.14285714285714</v>
      </c>
      <c r="AE75" s="152">
        <f>IFERROR(AD75-VLOOKUP(U75,'SFFL Main Page'!$B$4:$L$20,9,FALSE),"")</f>
        <v>3.3838209982788214</v>
      </c>
      <c r="AF75" s="153">
        <f>IFERROR(COUNTIFS(managers,'Owner View'!U75,opponent,'Owner View'!T75,outcome,"W"),"")</f>
        <v>7</v>
      </c>
      <c r="AG75" s="151">
        <f>IFERROR(AVERAGEIFS(points,managers,'Owner View'!U75,opponent,'Owner View'!T75,outcome,"L"),"")</f>
        <v>69</v>
      </c>
      <c r="AH75" s="152">
        <f>IFERROR(AG75-VLOOKUP(U75,'SFFL Main Page'!$B$4:$L$20,10,FALSE),"")</f>
        <v>-7.560439560439562</v>
      </c>
      <c r="AI75" s="153">
        <f>IFERROR(COUNTIFS(managers,'Owner View'!U75,opponent,'Owner View'!T75,outcome,"L"),"")</f>
        <v>7</v>
      </c>
      <c r="AJ75" s="151">
        <f t="shared" si="15"/>
        <v>88.571428571428569</v>
      </c>
      <c r="AK75" s="169">
        <f>IFERROR(AJ75-VLOOKUP(U75,'SFFL Main Page'!$B$4:$L$20,8,FALSE),"")</f>
        <v>-1.4400656814449917</v>
      </c>
      <c r="AL75" s="152">
        <f t="shared" si="16"/>
        <v>2.8144499178982016</v>
      </c>
    </row>
    <row r="76" spans="19:38" x14ac:dyDescent="0.3">
      <c r="S76" s="159">
        <v>71</v>
      </c>
      <c r="T76" s="118" t="s">
        <v>48</v>
      </c>
      <c r="U76" s="172" t="s">
        <v>27</v>
      </c>
      <c r="V76" s="151">
        <f>IFERROR(AVERAGEIFS(points,managers,'Owner View'!T76,opponent,'Owner View'!U76,outcome,"W"),"")</f>
        <v>119</v>
      </c>
      <c r="W76" s="152">
        <f>IFERROR(V76-VLOOKUP(T76,'SFFL Main Page'!$B$4:$L$20,9,FALSE),"")</f>
        <v>10.254878048780483</v>
      </c>
      <c r="X76" s="153">
        <f>IFERROR(COUNTIFS(managers,'Owner View'!T76,opponent,'Owner View'!U76,outcome,"W"),"")</f>
        <v>4</v>
      </c>
      <c r="Y76" s="151">
        <f>IFERROR(AVERAGEIFS(points,managers,'Owner View'!T76,opponent,'Owner View'!U76,outcome,"L"),"")</f>
        <v>75.5</v>
      </c>
      <c r="Z76" s="152">
        <f>IFERROR(Y76-VLOOKUP(T76,'SFFL Main Page'!$B$4:$L$20,10,FALSE),"")</f>
        <v>-9.2575757575757507</v>
      </c>
      <c r="AA76" s="153">
        <f>IFERROR(COUNTIFS(managers,'Owner View'!T76,opponent,'Owner View'!U76,outcome,"L"),"")</f>
        <v>2</v>
      </c>
      <c r="AB76" s="166">
        <f t="shared" si="25"/>
        <v>104.5</v>
      </c>
      <c r="AC76" s="152">
        <f>IFERROR(AB76-VLOOKUP(T76,'SFFL Main Page'!$B$4:$L$20,8,FALSE),"")</f>
        <v>6.4520270270270288</v>
      </c>
      <c r="AD76" s="151">
        <f>IFERROR(AVERAGEIFS(points,managers,'Owner View'!U76,opponent,'Owner View'!T76,outcome,"W"),"")</f>
        <v>98.5</v>
      </c>
      <c r="AE76" s="152">
        <f>IFERROR(AD76-VLOOKUP(U76,'SFFL Main Page'!$B$4:$L$20,9,FALSE),"")</f>
        <v>3.0106382978723474</v>
      </c>
      <c r="AF76" s="153">
        <f>IFERROR(COUNTIFS(managers,'Owner View'!U76,opponent,'Owner View'!T76,outcome,"W"),"")</f>
        <v>2</v>
      </c>
      <c r="AG76" s="151">
        <f>IFERROR(AVERAGEIFS(points,managers,'Owner View'!U76,opponent,'Owner View'!T76,outcome,"L"),"")</f>
        <v>69.5</v>
      </c>
      <c r="AH76" s="152">
        <f>IFERROR(AG76-VLOOKUP(U76,'SFFL Main Page'!$B$4:$L$20,10,FALSE),"")</f>
        <v>-0.46491228070175339</v>
      </c>
      <c r="AI76" s="153">
        <f>IFERROR(COUNTIFS(managers,'Owner View'!U76,opponent,'Owner View'!T76,outcome,"L"),"")</f>
        <v>4</v>
      </c>
      <c r="AJ76" s="151">
        <f t="shared" si="15"/>
        <v>79.166666666666671</v>
      </c>
      <c r="AK76" s="169">
        <f>IFERROR(AJ76-VLOOKUP(U76,'SFFL Main Page'!$B$4:$L$20,8,FALSE),"")</f>
        <v>-2.3333333333333286</v>
      </c>
      <c r="AL76" s="152">
        <f t="shared" si="16"/>
        <v>8.7853603603603574</v>
      </c>
    </row>
    <row r="77" spans="19:38" x14ac:dyDescent="0.3">
      <c r="S77" s="159">
        <v>72</v>
      </c>
      <c r="T77" s="118" t="s">
        <v>48</v>
      </c>
      <c r="U77" s="172" t="s">
        <v>227</v>
      </c>
      <c r="V77" s="151">
        <f>IFERROR(AVERAGEIFS(points,managers,'Owner View'!T77,opponent,'Owner View'!U77,outcome,"W"),"")</f>
        <v>114.8</v>
      </c>
      <c r="W77" s="152">
        <f>IFERROR(V77-VLOOKUP(T77,'SFFL Main Page'!$B$4:$L$20,9,FALSE),"")</f>
        <v>6.0548780487804805</v>
      </c>
      <c r="X77" s="153">
        <f>IFERROR(COUNTIFS(managers,'Owner View'!T77,opponent,'Owner View'!U77,outcome,"W"),"")</f>
        <v>5</v>
      </c>
      <c r="Y77" s="151">
        <f>IFERROR(AVERAGEIFS(points,managers,'Owner View'!T77,opponent,'Owner View'!U77,outcome,"L"),"")</f>
        <v>77</v>
      </c>
      <c r="Z77" s="152">
        <f>IFERROR(Y77-VLOOKUP(T77,'SFFL Main Page'!$B$4:$L$20,10,FALSE),"")</f>
        <v>-7.7575757575757507</v>
      </c>
      <c r="AA77" s="153">
        <f>IFERROR(COUNTIFS(managers,'Owner View'!T77,opponent,'Owner View'!U77,outcome,"L"),"")</f>
        <v>1</v>
      </c>
      <c r="AB77" s="166">
        <f t="shared" si="25"/>
        <v>108.5</v>
      </c>
      <c r="AC77" s="152">
        <f>IFERROR(AB77-VLOOKUP(T77,'SFFL Main Page'!$B$4:$L$20,8,FALSE),"")</f>
        <v>10.452027027027029</v>
      </c>
      <c r="AD77" s="151">
        <f>IFERROR(AVERAGEIFS(points,managers,'Owner View'!U77,opponent,'Owner View'!T77,outcome,"W"),"")</f>
        <v>120</v>
      </c>
      <c r="AE77" s="152">
        <f>IFERROR(AD77-VLOOKUP(U77,'SFFL Main Page'!$B$4:$L$20,9,FALSE),"")</f>
        <v>11.310344827586206</v>
      </c>
      <c r="AF77" s="153">
        <f>IFERROR(COUNTIFS(managers,'Owner View'!U77,opponent,'Owner View'!T77,outcome,"W"),"")</f>
        <v>1</v>
      </c>
      <c r="AG77" s="151">
        <f>IFERROR(AVERAGEIFS(points,managers,'Owner View'!U77,opponent,'Owner View'!T77,outcome,"L"),"")</f>
        <v>85.8</v>
      </c>
      <c r="AH77" s="152">
        <f>IFERROR(AG77-VLOOKUP(U77,'SFFL Main Page'!$B$4:$L$20,10,FALSE),"")</f>
        <v>4.2146341463414672</v>
      </c>
      <c r="AI77" s="153">
        <f>IFERROR(COUNTIFS(managers,'Owner View'!U77,opponent,'Owner View'!T77,outcome,"L"),"")</f>
        <v>5</v>
      </c>
      <c r="AJ77" s="151">
        <f t="shared" ref="AJ77:AJ140" si="26">IFERROR(((AD77*AF77)+(AG77*AI77))/SUM(AF77,AI77),"")</f>
        <v>91.5</v>
      </c>
      <c r="AK77" s="169">
        <f>IFERROR(AJ77-VLOOKUP(U77,'SFFL Main Page'!$B$4:$L$20,8,FALSE),"")</f>
        <v>-1.3142857142857167</v>
      </c>
      <c r="AL77" s="152">
        <f t="shared" ref="AL77:AL140" si="27">IFERROR(AC77-AK77,"")</f>
        <v>11.766312741312746</v>
      </c>
    </row>
    <row r="78" spans="19:38" x14ac:dyDescent="0.3">
      <c r="S78" s="159">
        <v>73</v>
      </c>
      <c r="T78" s="118" t="s">
        <v>48</v>
      </c>
      <c r="U78" s="172" t="s">
        <v>25</v>
      </c>
      <c r="V78" s="151">
        <f>IFERROR(AVERAGEIFS(points,managers,'Owner View'!T78,opponent,'Owner View'!U78,outcome,"W"),"")</f>
        <v>104</v>
      </c>
      <c r="W78" s="152">
        <f>IFERROR(V78-VLOOKUP(T78,'SFFL Main Page'!$B$4:$L$20,9,FALSE),"")</f>
        <v>-4.7451219512195166</v>
      </c>
      <c r="X78" s="153">
        <f>IFERROR(COUNTIFS(managers,'Owner View'!T78,opponent,'Owner View'!U78,outcome,"W"),"")</f>
        <v>9</v>
      </c>
      <c r="Y78" s="151">
        <f>IFERROR(AVERAGEIFS(points,managers,'Owner View'!T78,opponent,'Owner View'!U78,outcome,"L"),"")</f>
        <v>78.625</v>
      </c>
      <c r="Z78" s="152">
        <f>IFERROR(Y78-VLOOKUP(T78,'SFFL Main Page'!$B$4:$L$20,10,FALSE),"")</f>
        <v>-6.1325757575757507</v>
      </c>
      <c r="AA78" s="153">
        <f>IFERROR(COUNTIFS(managers,'Owner View'!T78,opponent,'Owner View'!U78,outcome,"L"),"")</f>
        <v>8</v>
      </c>
      <c r="AB78" s="166">
        <f t="shared" si="25"/>
        <v>92.058823529411768</v>
      </c>
      <c r="AC78" s="152">
        <f>IFERROR(AB78-VLOOKUP(T78,'SFFL Main Page'!$B$4:$L$20,8,FALSE),"")</f>
        <v>-5.9891494435612032</v>
      </c>
      <c r="AD78" s="151">
        <f>IFERROR(AVERAGEIFS(points,managers,'Owner View'!U78,opponent,'Owner View'!T78,outcome,"W"),"")</f>
        <v>92.875</v>
      </c>
      <c r="AE78" s="152">
        <f>IFERROR(AD78-VLOOKUP(U78,'SFFL Main Page'!$B$4:$L$20,9,FALSE),"")</f>
        <v>-8.8951149425287355</v>
      </c>
      <c r="AF78" s="153">
        <f>IFERROR(COUNTIFS(managers,'Owner View'!U78,opponent,'Owner View'!T78,outcome,"W"),"")</f>
        <v>8</v>
      </c>
      <c r="AG78" s="151">
        <f>IFERROR(AVERAGEIFS(points,managers,'Owner View'!U78,opponent,'Owner View'!T78,outcome,"L"),"")</f>
        <v>80.555555555555557</v>
      </c>
      <c r="AH78" s="152">
        <f>IFERROR(AG78-VLOOKUP(U78,'SFFL Main Page'!$B$4:$L$20,10,FALSE),"")</f>
        <v>2.6150793650793673</v>
      </c>
      <c r="AI78" s="153">
        <f>IFERROR(COUNTIFS(managers,'Owner View'!U78,opponent,'Owner View'!T78,outcome,"L"),"")</f>
        <v>9</v>
      </c>
      <c r="AJ78" s="151">
        <f t="shared" si="26"/>
        <v>86.352941176470594</v>
      </c>
      <c r="AK78" s="169">
        <f>IFERROR(AJ78-VLOOKUP(U78,'SFFL Main Page'!$B$4:$L$20,8,FALSE),"")</f>
        <v>-3.6355645706558448</v>
      </c>
      <c r="AL78" s="152">
        <f t="shared" si="27"/>
        <v>-2.3535848729053583</v>
      </c>
    </row>
    <row r="79" spans="19:38" x14ac:dyDescent="0.3">
      <c r="S79" s="159">
        <v>74</v>
      </c>
      <c r="T79" s="118" t="s">
        <v>48</v>
      </c>
      <c r="U79" s="172" t="s">
        <v>47</v>
      </c>
      <c r="V79" s="151">
        <f>IFERROR(AVERAGEIFS(points,managers,'Owner View'!T79,opponent,'Owner View'!U79,outcome,"W"),"")</f>
        <v>112.16666666666667</v>
      </c>
      <c r="W79" s="152">
        <f>IFERROR(V79-VLOOKUP(T79,'SFFL Main Page'!$B$4:$L$20,9,FALSE),"")</f>
        <v>3.4215447154471548</v>
      </c>
      <c r="X79" s="153">
        <f>IFERROR(COUNTIFS(managers,'Owner View'!T79,opponent,'Owner View'!U79,outcome,"W"),"")</f>
        <v>6</v>
      </c>
      <c r="Y79" s="151">
        <f>IFERROR(AVERAGEIFS(points,managers,'Owner View'!T79,opponent,'Owner View'!U79,outcome,"L"),"")</f>
        <v>85.375</v>
      </c>
      <c r="Z79" s="152">
        <f>IFERROR(Y79-VLOOKUP(T79,'SFFL Main Page'!$B$4:$L$20,10,FALSE),"")</f>
        <v>0.61742424242424931</v>
      </c>
      <c r="AA79" s="153">
        <f>IFERROR(COUNTIFS(managers,'Owner View'!T79,opponent,'Owner View'!U79,outcome,"L"),"")</f>
        <v>8</v>
      </c>
      <c r="AB79" s="166">
        <f t="shared" si="25"/>
        <v>96.857142857142861</v>
      </c>
      <c r="AC79" s="152">
        <f>IFERROR(AB79-VLOOKUP(T79,'SFFL Main Page'!$B$4:$L$20,8,FALSE),"")</f>
        <v>-1.19083011583011</v>
      </c>
      <c r="AD79" s="151">
        <f>IFERROR(AVERAGEIFS(points,managers,'Owner View'!U79,opponent,'Owner View'!T79,outcome,"W"),"")</f>
        <v>111.5</v>
      </c>
      <c r="AE79" s="152">
        <f>IFERROR(AD79-VLOOKUP(U79,'SFFL Main Page'!$B$4:$L$20,9,FALSE),"")</f>
        <v>6.1421052631579016</v>
      </c>
      <c r="AF79" s="153">
        <f>IFERROR(COUNTIFS(managers,'Owner View'!U79,opponent,'Owner View'!T79,outcome,"W"),"")</f>
        <v>8</v>
      </c>
      <c r="AG79" s="151">
        <f>IFERROR(AVERAGEIFS(points,managers,'Owner View'!U79,opponent,'Owner View'!T79,outcome,"L"),"")</f>
        <v>86.666666666666671</v>
      </c>
      <c r="AH79" s="152">
        <f>IFERROR(AG79-VLOOKUP(U79,'SFFL Main Page'!$B$4:$L$20,10,FALSE),"")</f>
        <v>3.0897435897435912</v>
      </c>
      <c r="AI79" s="153">
        <f>IFERROR(COUNTIFS(managers,'Owner View'!U79,opponent,'Owner View'!T79,outcome,"L"),"")</f>
        <v>6</v>
      </c>
      <c r="AJ79" s="151">
        <f t="shared" si="26"/>
        <v>100.85714285714286</v>
      </c>
      <c r="AK79" s="169">
        <f>IFERROR(AJ79-VLOOKUP(U79,'SFFL Main Page'!$B$4:$L$20,8,FALSE),"")</f>
        <v>3.2963320463320542</v>
      </c>
      <c r="AL79" s="152">
        <f t="shared" si="27"/>
        <v>-4.4871621621621642</v>
      </c>
    </row>
    <row r="80" spans="19:38" x14ac:dyDescent="0.3">
      <c r="S80" s="159">
        <v>75</v>
      </c>
      <c r="T80" s="118" t="s">
        <v>48</v>
      </c>
      <c r="U80" s="172" t="s">
        <v>26</v>
      </c>
      <c r="V80" s="151">
        <f>IFERROR(AVERAGEIFS(points,managers,'Owner View'!T80,opponent,'Owner View'!U80,outcome,"W"),"")</f>
        <v>107.4</v>
      </c>
      <c r="W80" s="152">
        <f>IFERROR(V80-VLOOKUP(T80,'SFFL Main Page'!$B$4:$L$20,9,FALSE),"")</f>
        <v>-1.3451219512195109</v>
      </c>
      <c r="X80" s="153">
        <f>IFERROR(COUNTIFS(managers,'Owner View'!T80,opponent,'Owner View'!U80,outcome,"W"),"")</f>
        <v>5</v>
      </c>
      <c r="Y80" s="151">
        <f>IFERROR(AVERAGEIFS(points,managers,'Owner View'!T80,opponent,'Owner View'!U80,outcome,"L"),"")</f>
        <v>93.333333333333329</v>
      </c>
      <c r="Z80" s="152">
        <f>IFERROR(Y80-VLOOKUP(T80,'SFFL Main Page'!$B$4:$L$20,10,FALSE),"")</f>
        <v>8.5757575757575779</v>
      </c>
      <c r="AA80" s="153">
        <f>IFERROR(COUNTIFS(managers,'Owner View'!T80,opponent,'Owner View'!U80,outcome,"L"),"")</f>
        <v>6</v>
      </c>
      <c r="AB80" s="166">
        <f t="shared" si="25"/>
        <v>99.727272727272734</v>
      </c>
      <c r="AC80" s="152">
        <f>IFERROR(AB80-VLOOKUP(T80,'SFFL Main Page'!$B$4:$L$20,8,FALSE),"")</f>
        <v>1.6792997542997625</v>
      </c>
      <c r="AD80" s="151">
        <f>IFERROR(AVERAGEIFS(points,managers,'Owner View'!U80,opponent,'Owner View'!T80,outcome,"W"),"")</f>
        <v>115.33333333333333</v>
      </c>
      <c r="AE80" s="152">
        <f>IFERROR(AD80-VLOOKUP(U80,'SFFL Main Page'!$B$4:$L$20,9,FALSE),"")</f>
        <v>11.78125</v>
      </c>
      <c r="AF80" s="153">
        <f>IFERROR(COUNTIFS(managers,'Owner View'!U80,opponent,'Owner View'!T80,outcome,"W"),"")</f>
        <v>6</v>
      </c>
      <c r="AG80" s="151">
        <f>IFERROR(AVERAGEIFS(points,managers,'Owner View'!U80,opponent,'Owner View'!T80,outcome,"L"),"")</f>
        <v>69.2</v>
      </c>
      <c r="AH80" s="152">
        <f>IFERROR(AG80-VLOOKUP(U80,'SFFL Main Page'!$B$4:$L$20,10,FALSE),"")</f>
        <v>-8.3324675324675326</v>
      </c>
      <c r="AI80" s="153">
        <f>IFERROR(COUNTIFS(managers,'Owner View'!U80,opponent,'Owner View'!T80,outcome,"L"),"")</f>
        <v>5</v>
      </c>
      <c r="AJ80" s="151">
        <f t="shared" si="26"/>
        <v>94.36363636363636</v>
      </c>
      <c r="AK80" s="169">
        <f>IFERROR(AJ80-VLOOKUP(U80,'SFFL Main Page'!$B$4:$L$20,8,FALSE),"")</f>
        <v>2.3808777429467085</v>
      </c>
      <c r="AL80" s="152">
        <f t="shared" si="27"/>
        <v>-0.70157798864694598</v>
      </c>
    </row>
    <row r="81" spans="19:38" x14ac:dyDescent="0.3">
      <c r="S81" s="159">
        <v>76</v>
      </c>
      <c r="T81" s="118" t="s">
        <v>48</v>
      </c>
      <c r="U81" s="172" t="s">
        <v>29</v>
      </c>
      <c r="V81" s="151">
        <f>IFERROR(AVERAGEIFS(points,managers,'Owner View'!T81,opponent,'Owner View'!U81,outcome,"W"),"")</f>
        <v>92</v>
      </c>
      <c r="W81" s="152">
        <f>IFERROR(V81-VLOOKUP(T81,'SFFL Main Page'!$B$4:$L$20,9,FALSE),"")</f>
        <v>-16.745121951219517</v>
      </c>
      <c r="X81" s="153">
        <f>IFERROR(COUNTIFS(managers,'Owner View'!T81,opponent,'Owner View'!U81,outcome,"W"),"")</f>
        <v>6</v>
      </c>
      <c r="Y81" s="151">
        <f>IFERROR(AVERAGEIFS(points,managers,'Owner View'!T81,opponent,'Owner View'!U81,outcome,"L"),"")</f>
        <v>87.875</v>
      </c>
      <c r="Z81" s="152">
        <f>IFERROR(Y81-VLOOKUP(T81,'SFFL Main Page'!$B$4:$L$20,10,FALSE),"")</f>
        <v>3.1174242424242493</v>
      </c>
      <c r="AA81" s="153">
        <f>IFERROR(COUNTIFS(managers,'Owner View'!T81,opponent,'Owner View'!U81,outcome,"L"),"")</f>
        <v>8</v>
      </c>
      <c r="AB81" s="166">
        <f t="shared" si="25"/>
        <v>89.642857142857139</v>
      </c>
      <c r="AC81" s="152">
        <f>IFERROR(AB81-VLOOKUP(T81,'SFFL Main Page'!$B$4:$L$20,8,FALSE),"")</f>
        <v>-8.4051158301158324</v>
      </c>
      <c r="AD81" s="151">
        <f>IFERROR(AVERAGEIFS(points,managers,'Owner View'!U81,opponent,'Owner View'!T81,outcome,"W"),"")</f>
        <v>102.75</v>
      </c>
      <c r="AE81" s="152">
        <f>IFERROR(AD81-VLOOKUP(U81,'SFFL Main Page'!$B$4:$L$20,9,FALSE),"")</f>
        <v>1.6794117647058755</v>
      </c>
      <c r="AF81" s="153">
        <f>IFERROR(COUNTIFS(managers,'Owner View'!U81,opponent,'Owner View'!T81,outcome,"W"),"")</f>
        <v>8</v>
      </c>
      <c r="AG81" s="151">
        <f>IFERROR(AVERAGEIFS(points,managers,'Owner View'!U81,opponent,'Owner View'!T81,outcome,"L"),"")</f>
        <v>63.666666666666664</v>
      </c>
      <c r="AH81" s="152">
        <f>IFERROR(AG81-VLOOKUP(U81,'SFFL Main Page'!$B$4:$L$20,10,FALSE),"")</f>
        <v>-14.458333333333336</v>
      </c>
      <c r="AI81" s="153">
        <f>IFERROR(COUNTIFS(managers,'Owner View'!U81,opponent,'Owner View'!T81,outcome,"L"),"")</f>
        <v>6</v>
      </c>
      <c r="AJ81" s="151">
        <f t="shared" si="26"/>
        <v>86</v>
      </c>
      <c r="AK81" s="169">
        <f>IFERROR(AJ81-VLOOKUP(U81,'SFFL Main Page'!$B$4:$L$20,8,FALSE),"")</f>
        <v>-3.4022988505747094</v>
      </c>
      <c r="AL81" s="152">
        <f t="shared" si="27"/>
        <v>-5.002816979541123</v>
      </c>
    </row>
    <row r="82" spans="19:38" x14ac:dyDescent="0.3">
      <c r="S82" s="159">
        <v>77</v>
      </c>
      <c r="T82" s="118" t="s">
        <v>48</v>
      </c>
      <c r="U82" s="172" t="s">
        <v>43</v>
      </c>
      <c r="V82" s="151">
        <f>IFERROR(AVERAGEIFS(points,managers,'Owner View'!T82,opponent,'Owner View'!U82,outcome,"W"),"")</f>
        <v>99</v>
      </c>
      <c r="W82" s="152">
        <f>IFERROR(V82-VLOOKUP(T82,'SFFL Main Page'!$B$4:$L$20,9,FALSE),"")</f>
        <v>-9.7451219512195166</v>
      </c>
      <c r="X82" s="153">
        <f>IFERROR(COUNTIFS(managers,'Owner View'!T82,opponent,'Owner View'!U82,outcome,"W"),"")</f>
        <v>6</v>
      </c>
      <c r="Y82" s="151">
        <f>IFERROR(AVERAGEIFS(points,managers,'Owner View'!T82,opponent,'Owner View'!U82,outcome,"L"),"")</f>
        <v>87.2</v>
      </c>
      <c r="Z82" s="152">
        <f>IFERROR(Y82-VLOOKUP(T82,'SFFL Main Page'!$B$4:$L$20,10,FALSE),"")</f>
        <v>2.4424242424242522</v>
      </c>
      <c r="AA82" s="153">
        <f>IFERROR(COUNTIFS(managers,'Owner View'!T82,opponent,'Owner View'!U82,outcome,"L"),"")</f>
        <v>5</v>
      </c>
      <c r="AB82" s="166">
        <f t="shared" si="25"/>
        <v>93.63636363636364</v>
      </c>
      <c r="AC82" s="152">
        <f>IFERROR(AB82-VLOOKUP(T82,'SFFL Main Page'!$B$4:$L$20,8,FALSE),"")</f>
        <v>-4.411609336609331</v>
      </c>
      <c r="AD82" s="151">
        <f>IFERROR(AVERAGEIFS(points,managers,'Owner View'!U82,opponent,'Owner View'!T82,outcome,"W"),"")</f>
        <v>102.8</v>
      </c>
      <c r="AE82" s="152">
        <f>IFERROR(AD82-VLOOKUP(U82,'SFFL Main Page'!$B$4:$L$20,9,FALSE),"")</f>
        <v>1.9728395061728321</v>
      </c>
      <c r="AF82" s="153">
        <f>IFERROR(COUNTIFS(managers,'Owner View'!U82,opponent,'Owner View'!T82,outcome,"W"),"")</f>
        <v>5</v>
      </c>
      <c r="AG82" s="151">
        <f>IFERROR(AVERAGEIFS(points,managers,'Owner View'!U82,opponent,'Owner View'!T82,outcome,"L"),"")</f>
        <v>76.333333333333329</v>
      </c>
      <c r="AH82" s="152">
        <f>IFERROR(AG82-VLOOKUP(U82,'SFFL Main Page'!$B$4:$L$20,10,FALSE),"")</f>
        <v>0.96376811594203105</v>
      </c>
      <c r="AI82" s="153">
        <f>IFERROR(COUNTIFS(managers,'Owner View'!U82,opponent,'Owner View'!T82,outcome,"L"),"")</f>
        <v>6</v>
      </c>
      <c r="AJ82" s="151">
        <f t="shared" si="26"/>
        <v>88.36363636363636</v>
      </c>
      <c r="AK82" s="169">
        <f>IFERROR(AJ82-VLOOKUP(U82,'SFFL Main Page'!$B$4:$L$20,8,FALSE),"")</f>
        <v>1.1222570532915341</v>
      </c>
      <c r="AL82" s="152">
        <f t="shared" si="27"/>
        <v>-5.5338663899008651</v>
      </c>
    </row>
    <row r="83" spans="19:38" x14ac:dyDescent="0.3">
      <c r="S83" s="159">
        <v>78</v>
      </c>
      <c r="T83" s="118" t="s">
        <v>48</v>
      </c>
      <c r="U83" s="172" t="s">
        <v>473</v>
      </c>
      <c r="V83" s="151">
        <f>IFERROR(AVERAGEIFS(points,managers,'Owner View'!T83,opponent,'Owner View'!U83,outcome,"W"),"")</f>
        <v>152</v>
      </c>
      <c r="W83" s="152">
        <f>IFERROR(V83-VLOOKUP(T83,'SFFL Main Page'!$B$4:$L$20,9,FALSE),"")</f>
        <v>43.254878048780483</v>
      </c>
      <c r="X83" s="153">
        <f>IFERROR(COUNTIFS(managers,'Owner View'!T83,opponent,'Owner View'!U83,outcome,"W"),"")</f>
        <v>1</v>
      </c>
      <c r="Y83" s="151">
        <f>IFERROR(AVERAGEIFS(points,managers,'Owner View'!T83,opponent,'Owner View'!U83,outcome,"L"),"")</f>
        <v>99</v>
      </c>
      <c r="Z83" s="152">
        <f>IFERROR(Y83-VLOOKUP(T83,'SFFL Main Page'!$B$4:$L$20,10,FALSE),"")</f>
        <v>14.242424242424249</v>
      </c>
      <c r="AA83" s="153">
        <f>IFERROR(COUNTIFS(managers,'Owner View'!T83,opponent,'Owner View'!U83,outcome,"L"),"")</f>
        <v>1</v>
      </c>
      <c r="AB83" s="166">
        <f t="shared" si="25"/>
        <v>125.5</v>
      </c>
      <c r="AC83" s="152">
        <f>IFERROR(AB83-VLOOKUP(T83,'SFFL Main Page'!$B$4:$L$20,8,FALSE),"")</f>
        <v>27.452027027027029</v>
      </c>
      <c r="AD83" s="151">
        <f>IFERROR(AVERAGEIFS(points,managers,'Owner View'!U83,opponent,'Owner View'!T83,outcome,"W"),"")</f>
        <v>123</v>
      </c>
      <c r="AE83" s="152">
        <f>IFERROR(AD83-VLOOKUP(U83,'SFFL Main Page'!$B$4:$L$20,9,FALSE),"")</f>
        <v>0.44444444444444287</v>
      </c>
      <c r="AF83" s="153">
        <f>IFERROR(COUNTIFS(managers,'Owner View'!U83,opponent,'Owner View'!T83,outcome,"W"),"")</f>
        <v>1</v>
      </c>
      <c r="AG83" s="151">
        <f>IFERROR(AVERAGEIFS(points,managers,'Owner View'!U83,opponent,'Owner View'!T83,outcome,"L"),"")</f>
        <v>114</v>
      </c>
      <c r="AH83" s="152">
        <f>IFERROR(AG83-VLOOKUP(U83,'SFFL Main Page'!$B$4:$L$20,10,FALSE),"")</f>
        <v>20.84210526315789</v>
      </c>
      <c r="AI83" s="153">
        <f>IFERROR(COUNTIFS(managers,'Owner View'!U83,opponent,'Owner View'!T83,outcome,"L"),"")</f>
        <v>1</v>
      </c>
      <c r="AJ83" s="151">
        <f t="shared" si="26"/>
        <v>118.5</v>
      </c>
      <c r="AK83" s="169">
        <f>IFERROR(AJ83-VLOOKUP(U83,'SFFL Main Page'!$B$4:$L$20,8,FALSE),"")</f>
        <v>15.892857142857139</v>
      </c>
      <c r="AL83" s="152">
        <f t="shared" si="27"/>
        <v>11.55916988416989</v>
      </c>
    </row>
    <row r="84" spans="19:38" x14ac:dyDescent="0.3">
      <c r="S84" s="159">
        <v>79</v>
      </c>
      <c r="T84" s="118" t="s">
        <v>48</v>
      </c>
      <c r="U84" s="172" t="s">
        <v>472</v>
      </c>
      <c r="V84" s="151">
        <f>IFERROR(AVERAGEIFS(points,managers,'Owner View'!T84,opponent,'Owner View'!U84,outcome,"W"),"")</f>
        <v>121.33333333333333</v>
      </c>
      <c r="W84" s="152">
        <f>IFERROR(V84-VLOOKUP(T84,'SFFL Main Page'!$B$4:$L$20,9,FALSE),"")</f>
        <v>12.588211382113812</v>
      </c>
      <c r="X84" s="153">
        <f>IFERROR(COUNTIFS(managers,'Owner View'!T84,opponent,'Owner View'!U84,outcome,"W"),"")</f>
        <v>3</v>
      </c>
      <c r="Y84" s="151" t="str">
        <f>IFERROR(AVERAGEIFS(points,managers,'Owner View'!T84,opponent,'Owner View'!U84,outcome,"L"),"")</f>
        <v/>
      </c>
      <c r="Z84" s="152" t="str">
        <f>IFERROR(Y84-VLOOKUP(T84,'SFFL Main Page'!$B$4:$L$20,10,FALSE),"")</f>
        <v/>
      </c>
      <c r="AA84" s="153">
        <f>IFERROR(COUNTIFS(managers,'Owner View'!T84,opponent,'Owner View'!U84,outcome,"L"),"")</f>
        <v>0</v>
      </c>
      <c r="AB84" s="166" t="str">
        <f t="shared" si="25"/>
        <v/>
      </c>
      <c r="AC84" s="152" t="str">
        <f>IFERROR(AB84-VLOOKUP(T84,'SFFL Main Page'!$B$4:$L$20,8,FALSE),"")</f>
        <v/>
      </c>
      <c r="AD84" s="151" t="str">
        <f>IFERROR(AVERAGEIFS(points,managers,'Owner View'!U84,opponent,'Owner View'!T84,outcome,"W"),"")</f>
        <v/>
      </c>
      <c r="AE84" s="152" t="str">
        <f>IFERROR(AD84-VLOOKUP(U84,'SFFL Main Page'!$B$4:$L$20,9,FALSE),"")</f>
        <v/>
      </c>
      <c r="AF84" s="153">
        <f>IFERROR(COUNTIFS(managers,'Owner View'!U84,opponent,'Owner View'!T84,outcome,"W"),"")</f>
        <v>0</v>
      </c>
      <c r="AG84" s="151">
        <f>IFERROR(AVERAGEIFS(points,managers,'Owner View'!U84,opponent,'Owner View'!T84,outcome,"L"),"")</f>
        <v>105</v>
      </c>
      <c r="AH84" s="152">
        <f>IFERROR(AG84-VLOOKUP(U84,'SFFL Main Page'!$B$4:$L$20,10,FALSE),"")</f>
        <v>7.470588235294116</v>
      </c>
      <c r="AI84" s="153">
        <f>IFERROR(COUNTIFS(managers,'Owner View'!U84,opponent,'Owner View'!T84,outcome,"L"),"")</f>
        <v>3</v>
      </c>
      <c r="AJ84" s="151" t="str">
        <f t="shared" si="26"/>
        <v/>
      </c>
      <c r="AK84" s="169" t="str">
        <f>IFERROR(AJ84-VLOOKUP(U84,'SFFL Main Page'!$B$4:$L$20,8,FALSE),"")</f>
        <v/>
      </c>
      <c r="AL84" s="152" t="str">
        <f t="shared" si="27"/>
        <v/>
      </c>
    </row>
    <row r="85" spans="19:38" x14ac:dyDescent="0.3">
      <c r="S85" s="159">
        <v>80</v>
      </c>
      <c r="T85" s="118" t="s">
        <v>48</v>
      </c>
      <c r="U85" s="172" t="s">
        <v>22</v>
      </c>
      <c r="V85" s="151">
        <f>IFERROR(AVERAGEIFS(points,managers,'Owner View'!T85,opponent,'Owner View'!U85,outcome,"W"),"")</f>
        <v>122.3</v>
      </c>
      <c r="W85" s="152">
        <f>IFERROR(V85-VLOOKUP(T85,'SFFL Main Page'!$B$4:$L$20,9,FALSE),"")</f>
        <v>13.554878048780481</v>
      </c>
      <c r="X85" s="153">
        <f>IFERROR(COUNTIFS(managers,'Owner View'!T85,opponent,'Owner View'!U85,outcome,"W"),"")</f>
        <v>10</v>
      </c>
      <c r="Y85" s="151">
        <f>IFERROR(AVERAGEIFS(points,managers,'Owner View'!T85,opponent,'Owner View'!U85,outcome,"L"),"")</f>
        <v>63</v>
      </c>
      <c r="Z85" s="152">
        <f>IFERROR(Y85-VLOOKUP(T85,'SFFL Main Page'!$B$4:$L$20,10,FALSE),"")</f>
        <v>-21.757575757575751</v>
      </c>
      <c r="AA85" s="153">
        <f>IFERROR(COUNTIFS(managers,'Owner View'!T85,opponent,'Owner View'!U85,outcome,"L"),"")</f>
        <v>2</v>
      </c>
      <c r="AB85" s="166">
        <f t="shared" si="25"/>
        <v>112.41666666666667</v>
      </c>
      <c r="AC85" s="152">
        <f>IFERROR(AB85-VLOOKUP(T85,'SFFL Main Page'!$B$4:$L$20,8,FALSE),"")</f>
        <v>14.3686936936937</v>
      </c>
      <c r="AD85" s="151">
        <f>IFERROR(AVERAGEIFS(points,managers,'Owner View'!U85,opponent,'Owner View'!T85,outcome,"W"),"")</f>
        <v>92</v>
      </c>
      <c r="AE85" s="152">
        <f>IFERROR(AD85-VLOOKUP(U85,'SFFL Main Page'!$B$4:$L$20,9,FALSE),"")</f>
        <v>-10.380281690140848</v>
      </c>
      <c r="AF85" s="153">
        <f>IFERROR(COUNTIFS(managers,'Owner View'!U85,opponent,'Owner View'!T85,outcome,"W"),"")</f>
        <v>2</v>
      </c>
      <c r="AG85" s="151">
        <f>IFERROR(AVERAGEIFS(points,managers,'Owner View'!U85,opponent,'Owner View'!T85,outcome,"L"),"")</f>
        <v>85.5</v>
      </c>
      <c r="AH85" s="152">
        <f>IFERROR(AG85-VLOOKUP(U85,'SFFL Main Page'!$B$4:$L$20,10,FALSE),"")</f>
        <v>5.5490196078431353</v>
      </c>
      <c r="AI85" s="153">
        <f>IFERROR(COUNTIFS(managers,'Owner View'!U85,opponent,'Owner View'!T85,outcome,"L"),"")</f>
        <v>10</v>
      </c>
      <c r="AJ85" s="151">
        <f t="shared" si="26"/>
        <v>86.583333333333329</v>
      </c>
      <c r="AK85" s="169">
        <f>IFERROR(AJ85-VLOOKUP(U85,'SFFL Main Page'!$B$4:$L$20,8,FALSE),"")</f>
        <v>-2.5775862068965552</v>
      </c>
      <c r="AL85" s="152">
        <f t="shared" si="27"/>
        <v>16.946279900590255</v>
      </c>
    </row>
    <row r="86" spans="19:38" x14ac:dyDescent="0.3">
      <c r="S86" s="159">
        <v>81</v>
      </c>
      <c r="T86" s="118" t="s">
        <v>48</v>
      </c>
      <c r="U86" s="172" t="s">
        <v>30</v>
      </c>
      <c r="V86" s="151">
        <f>IFERROR(AVERAGEIFS(points,managers,'Owner View'!T86,opponent,'Owner View'!U86,outcome,"W"),"")</f>
        <v>104.25</v>
      </c>
      <c r="W86" s="152">
        <f>IFERROR(V86-VLOOKUP(T86,'SFFL Main Page'!$B$4:$L$20,9,FALSE),"")</f>
        <v>-4.4951219512195166</v>
      </c>
      <c r="X86" s="153">
        <f>IFERROR(COUNTIFS(managers,'Owner View'!T86,opponent,'Owner View'!U86,outcome,"W"),"")</f>
        <v>4</v>
      </c>
      <c r="Y86" s="151">
        <f>IFERROR(AVERAGEIFS(points,managers,'Owner View'!T86,opponent,'Owner View'!U86,outcome,"L"),"")</f>
        <v>90.285714285714292</v>
      </c>
      <c r="Z86" s="152">
        <f>IFERROR(Y86-VLOOKUP(T86,'SFFL Main Page'!$B$4:$L$20,10,FALSE),"")</f>
        <v>5.5281385281385411</v>
      </c>
      <c r="AA86" s="153">
        <f>IFERROR(COUNTIFS(managers,'Owner View'!T86,opponent,'Owner View'!U86,outcome,"L"),"")</f>
        <v>7</v>
      </c>
      <c r="AB86" s="166">
        <f t="shared" si="25"/>
        <v>95.36363636363636</v>
      </c>
      <c r="AC86" s="152">
        <f>IFERROR(AB86-VLOOKUP(T86,'SFFL Main Page'!$B$4:$L$20,8,FALSE),"")</f>
        <v>-2.6843366093366114</v>
      </c>
      <c r="AD86" s="151">
        <f>IFERROR(AVERAGEIFS(points,managers,'Owner View'!U86,opponent,'Owner View'!T86,outcome,"W"),"")</f>
        <v>102.71428571428571</v>
      </c>
      <c r="AE86" s="152">
        <f>IFERROR(AD86-VLOOKUP(U86,'SFFL Main Page'!$B$4:$L$20,9,FALSE),"")</f>
        <v>-0.18571428571429749</v>
      </c>
      <c r="AF86" s="153">
        <f>IFERROR(COUNTIFS(managers,'Owner View'!U86,opponent,'Owner View'!T86,outcome,"W"),"")</f>
        <v>7</v>
      </c>
      <c r="AG86" s="151">
        <f>IFERROR(AVERAGEIFS(points,managers,'Owner View'!U86,opponent,'Owner View'!T86,outcome,"L"),"")</f>
        <v>84.75</v>
      </c>
      <c r="AH86" s="152">
        <f>IFERROR(AG86-VLOOKUP(U86,'SFFL Main Page'!$B$4:$L$20,10,FALSE),"")</f>
        <v>2.8145161290322562</v>
      </c>
      <c r="AI86" s="153">
        <f>IFERROR(COUNTIFS(managers,'Owner View'!U86,opponent,'Owner View'!T86,outcome,"L"),"")</f>
        <v>4</v>
      </c>
      <c r="AJ86" s="151">
        <f t="shared" si="26"/>
        <v>96.181818181818187</v>
      </c>
      <c r="AK86" s="169">
        <f>IFERROR(AJ86-VLOOKUP(U86,'SFFL Main Page'!$B$4:$L$20,8,FALSE),"")</f>
        <v>4.6128526645768062</v>
      </c>
      <c r="AL86" s="152">
        <f t="shared" si="27"/>
        <v>-7.2971892739134177</v>
      </c>
    </row>
    <row r="87" spans="19:38" x14ac:dyDescent="0.3">
      <c r="S87" s="159">
        <v>82</v>
      </c>
      <c r="T87" s="118" t="s">
        <v>48</v>
      </c>
      <c r="U87" s="172" t="s">
        <v>23</v>
      </c>
      <c r="V87" s="151">
        <f>IFERROR(AVERAGEIFS(points,managers,'Owner View'!T87,opponent,'Owner View'!U87,outcome,"W"),"")</f>
        <v>100.875</v>
      </c>
      <c r="W87" s="152">
        <f>IFERROR(V87-VLOOKUP(T87,'SFFL Main Page'!$B$4:$L$20,9,FALSE),"")</f>
        <v>-7.8701219512195166</v>
      </c>
      <c r="X87" s="153">
        <f>IFERROR(COUNTIFS(managers,'Owner View'!T87,opponent,'Owner View'!U87,outcome,"W"),"")</f>
        <v>8</v>
      </c>
      <c r="Y87" s="151">
        <f>IFERROR(AVERAGEIFS(points,managers,'Owner View'!T87,opponent,'Owner View'!U87,outcome,"L"),"")</f>
        <v>90</v>
      </c>
      <c r="Z87" s="152">
        <f>IFERROR(Y87-VLOOKUP(T87,'SFFL Main Page'!$B$4:$L$20,10,FALSE),"")</f>
        <v>5.2424242424242493</v>
      </c>
      <c r="AA87" s="153">
        <f>IFERROR(COUNTIFS(managers,'Owner View'!T87,opponent,'Owner View'!U87,outcome,"L"),"")</f>
        <v>6</v>
      </c>
      <c r="AB87" s="166">
        <f t="shared" si="25"/>
        <v>96.214285714285708</v>
      </c>
      <c r="AC87" s="152">
        <f>IFERROR(AB87-VLOOKUP(T87,'SFFL Main Page'!$B$4:$L$20,8,FALSE),"")</f>
        <v>-1.833687258687263</v>
      </c>
      <c r="AD87" s="151">
        <f>IFERROR(AVERAGEIFS(points,managers,'Owner View'!U87,opponent,'Owner View'!T87,outcome,"W"),"")</f>
        <v>112.5</v>
      </c>
      <c r="AE87" s="152">
        <f>IFERROR(AD87-VLOOKUP(U87,'SFFL Main Page'!$B$4:$L$20,9,FALSE),"")</f>
        <v>9.574468085106389</v>
      </c>
      <c r="AF87" s="153">
        <f>IFERROR(COUNTIFS(managers,'Owner View'!U87,opponent,'Owner View'!T87,outcome,"W"),"")</f>
        <v>6</v>
      </c>
      <c r="AG87" s="151">
        <f>IFERROR(AVERAGEIFS(points,managers,'Owner View'!U87,opponent,'Owner View'!T87,outcome,"L"),"")</f>
        <v>70.125</v>
      </c>
      <c r="AH87" s="152">
        <f>IFERROR(AG87-VLOOKUP(U87,'SFFL Main Page'!$B$4:$L$20,10,FALSE),"")</f>
        <v>-10.507911392405063</v>
      </c>
      <c r="AI87" s="153">
        <f>IFERROR(COUNTIFS(managers,'Owner View'!U87,opponent,'Owner View'!T87,outcome,"L"),"")</f>
        <v>8</v>
      </c>
      <c r="AJ87" s="151">
        <f t="shared" si="26"/>
        <v>88.285714285714292</v>
      </c>
      <c r="AK87" s="169">
        <f>IFERROR(AJ87-VLOOKUP(U87,'SFFL Main Page'!$B$4:$L$20,8,FALSE),"")</f>
        <v>-4.5533661740558244</v>
      </c>
      <c r="AL87" s="152">
        <f t="shared" si="27"/>
        <v>2.7196789153685614</v>
      </c>
    </row>
    <row r="88" spans="19:38" x14ac:dyDescent="0.3">
      <c r="S88" s="159">
        <v>83</v>
      </c>
      <c r="T88" s="118" t="s">
        <v>48</v>
      </c>
      <c r="U88" s="172" t="s">
        <v>28</v>
      </c>
      <c r="V88" s="151">
        <f>IFERROR(AVERAGEIFS(points,managers,'Owner View'!T88,opponent,'Owner View'!U88,outcome,"W"),"")</f>
        <v>105.91</v>
      </c>
      <c r="W88" s="152">
        <f>IFERROR(V88-VLOOKUP(T88,'SFFL Main Page'!$B$4:$L$20,9,FALSE),"")</f>
        <v>-2.83512195121952</v>
      </c>
      <c r="X88" s="153">
        <f>IFERROR(COUNTIFS(managers,'Owner View'!T88,opponent,'Owner View'!U88,outcome,"W"),"")</f>
        <v>10</v>
      </c>
      <c r="Y88" s="151">
        <f>IFERROR(AVERAGEIFS(points,managers,'Owner View'!T88,opponent,'Owner View'!U88,outcome,"L"),"")</f>
        <v>79.8</v>
      </c>
      <c r="Z88" s="152">
        <f>IFERROR(Y88-VLOOKUP(T88,'SFFL Main Page'!$B$4:$L$20,10,FALSE),"")</f>
        <v>-4.9575757575757535</v>
      </c>
      <c r="AA88" s="153">
        <f>IFERROR(COUNTIFS(managers,'Owner View'!T88,opponent,'Owner View'!U88,outcome,"L"),"")</f>
        <v>5</v>
      </c>
      <c r="AB88" s="166">
        <f t="shared" si="25"/>
        <v>97.206666666666663</v>
      </c>
      <c r="AC88" s="152">
        <f>IFERROR(AB88-VLOOKUP(T88,'SFFL Main Page'!$B$4:$L$20,8,FALSE),"")</f>
        <v>-0.84130630630630776</v>
      </c>
      <c r="AD88" s="151">
        <f>IFERROR(AVERAGEIFS(points,managers,'Owner View'!U88,opponent,'Owner View'!T88,outcome,"W"),"")</f>
        <v>115.4</v>
      </c>
      <c r="AE88" s="152">
        <f>IFERROR(AD88-VLOOKUP(U88,'SFFL Main Page'!$B$4:$L$20,9,FALSE),"")</f>
        <v>9.0666666666666771</v>
      </c>
      <c r="AF88" s="153">
        <f>IFERROR(COUNTIFS(managers,'Owner View'!U88,opponent,'Owner View'!T88,outcome,"W"),"")</f>
        <v>5</v>
      </c>
      <c r="AG88" s="151">
        <f>IFERROR(AVERAGEIFS(points,managers,'Owner View'!U88,opponent,'Owner View'!T88,outcome,"L"),"")</f>
        <v>85</v>
      </c>
      <c r="AH88" s="152">
        <f>IFERROR(AG88-VLOOKUP(U88,'SFFL Main Page'!$B$4:$L$20,10,FALSE),"")</f>
        <v>4.08536585365853</v>
      </c>
      <c r="AI88" s="153">
        <f>IFERROR(COUNTIFS(managers,'Owner View'!U88,opponent,'Owner View'!T88,outcome,"L"),"")</f>
        <v>10</v>
      </c>
      <c r="AJ88" s="151">
        <f t="shared" si="26"/>
        <v>95.13333333333334</v>
      </c>
      <c r="AK88" s="169">
        <f>IFERROR(AJ88-VLOOKUP(U88,'SFFL Main Page'!$B$4:$L$20,8,FALSE),"")</f>
        <v>0.90919540229886309</v>
      </c>
      <c r="AL88" s="152">
        <f t="shared" si="27"/>
        <v>-1.7505017086051708</v>
      </c>
    </row>
    <row r="89" spans="19:38" x14ac:dyDescent="0.3">
      <c r="S89" s="159">
        <v>84</v>
      </c>
      <c r="T89" s="118" t="s">
        <v>48</v>
      </c>
      <c r="U89" s="172" t="s">
        <v>24</v>
      </c>
      <c r="V89" s="151">
        <f>IFERROR(AVERAGEIFS(points,managers,'Owner View'!T89,opponent,'Owner View'!U89,outcome,"W"),"")</f>
        <v>110.6</v>
      </c>
      <c r="W89" s="152">
        <f>IFERROR(V89-VLOOKUP(T89,'SFFL Main Page'!$B$4:$L$20,9,FALSE),"")</f>
        <v>1.8548780487804777</v>
      </c>
      <c r="X89" s="153">
        <f>IFERROR(COUNTIFS(managers,'Owner View'!T89,opponent,'Owner View'!U89,outcome,"W"),"")</f>
        <v>5</v>
      </c>
      <c r="Y89" s="151">
        <f>IFERROR(AVERAGEIFS(points,managers,'Owner View'!T89,opponent,'Owner View'!U89,outcome,"L"),"")</f>
        <v>79.857142857142861</v>
      </c>
      <c r="Z89" s="152">
        <f>IFERROR(Y89-VLOOKUP(T89,'SFFL Main Page'!$B$4:$L$20,10,FALSE),"")</f>
        <v>-4.9004329004328895</v>
      </c>
      <c r="AA89" s="153">
        <f>IFERROR(COUNTIFS(managers,'Owner View'!T89,opponent,'Owner View'!U89,outcome,"L"),"")</f>
        <v>7</v>
      </c>
      <c r="AB89" s="166">
        <f t="shared" si="25"/>
        <v>92.666666666666671</v>
      </c>
      <c r="AC89" s="152">
        <f>IFERROR(AB89-VLOOKUP(T89,'SFFL Main Page'!$B$4:$L$20,8,FALSE),"")</f>
        <v>-5.3813063063062998</v>
      </c>
      <c r="AD89" s="151">
        <f>IFERROR(AVERAGEIFS(points,managers,'Owner View'!U89,opponent,'Owner View'!T89,outcome,"W"),"")</f>
        <v>97.428571428571431</v>
      </c>
      <c r="AE89" s="152">
        <f>IFERROR(AD89-VLOOKUP(U89,'SFFL Main Page'!$B$4:$L$20,9,FALSE),"")</f>
        <v>-7.3304647160068868</v>
      </c>
      <c r="AF89" s="153">
        <f>IFERROR(COUNTIFS(managers,'Owner View'!U89,opponent,'Owner View'!T89,outcome,"W"),"")</f>
        <v>7</v>
      </c>
      <c r="AG89" s="151">
        <f>IFERROR(AVERAGEIFS(points,managers,'Owner View'!U89,opponent,'Owner View'!T89,outcome,"L"),"")</f>
        <v>74.8</v>
      </c>
      <c r="AH89" s="152">
        <f>IFERROR(AG89-VLOOKUP(U89,'SFFL Main Page'!$B$4:$L$20,10,FALSE),"")</f>
        <v>-1.7604395604395648</v>
      </c>
      <c r="AI89" s="153">
        <f>IFERROR(COUNTIFS(managers,'Owner View'!U89,opponent,'Owner View'!T89,outcome,"L"),"")</f>
        <v>5</v>
      </c>
      <c r="AJ89" s="151">
        <f t="shared" si="26"/>
        <v>88</v>
      </c>
      <c r="AK89" s="169">
        <f>IFERROR(AJ89-VLOOKUP(U89,'SFFL Main Page'!$B$4:$L$20,8,FALSE),"")</f>
        <v>-2.0114942528735611</v>
      </c>
      <c r="AL89" s="152">
        <f t="shared" si="27"/>
        <v>-3.3698120534327387</v>
      </c>
    </row>
    <row r="90" spans="19:38" x14ac:dyDescent="0.3">
      <c r="S90" s="159">
        <v>85</v>
      </c>
      <c r="T90" s="118" t="s">
        <v>29</v>
      </c>
      <c r="U90" s="172" t="s">
        <v>27</v>
      </c>
      <c r="V90" s="151">
        <f>IFERROR(AVERAGEIFS(points,managers,'Owner View'!T90,opponent,'Owner View'!U90,outcome,"W"),"")</f>
        <v>90.5</v>
      </c>
      <c r="W90" s="152">
        <f>IFERROR(V90-VLOOKUP(T90,'SFFL Main Page'!$B$4:$L$20,9,FALSE),"")</f>
        <v>-10.570588235294125</v>
      </c>
      <c r="X90" s="153">
        <f>IFERROR(COUNTIFS(managers,'Owner View'!T90,opponent,'Owner View'!U90,outcome,"W"),"")</f>
        <v>2</v>
      </c>
      <c r="Y90" s="151">
        <f>IFERROR(AVERAGEIFS(points,managers,'Owner View'!T90,opponent,'Owner View'!U90,outcome,"L"),"")</f>
        <v>74.285714285714292</v>
      </c>
      <c r="Z90" s="152">
        <f>IFERROR(Y90-VLOOKUP(T90,'SFFL Main Page'!$B$4:$L$20,10,FALSE),"")</f>
        <v>-3.8392857142857082</v>
      </c>
      <c r="AA90" s="153">
        <f>IFERROR(COUNTIFS(managers,'Owner View'!T90,opponent,'Owner View'!U90,outcome,"L"),"")</f>
        <v>7</v>
      </c>
      <c r="AB90" s="166">
        <f t="shared" si="25"/>
        <v>77.888888888888886</v>
      </c>
      <c r="AC90" s="152">
        <f>IFERROR(AB90-VLOOKUP(T90,'SFFL Main Page'!$B$4:$L$20,8,FALSE),"")</f>
        <v>-11.513409961685824</v>
      </c>
      <c r="AD90" s="151">
        <f>IFERROR(AVERAGEIFS(points,managers,'Owner View'!U90,opponent,'Owner View'!T90,outcome,"W"),"")</f>
        <v>91.857142857142861</v>
      </c>
      <c r="AE90" s="152">
        <f>IFERROR(AD90-VLOOKUP(U90,'SFFL Main Page'!$B$4:$L$20,9,FALSE),"")</f>
        <v>-3.6322188449847914</v>
      </c>
      <c r="AF90" s="153">
        <f>IFERROR(COUNTIFS(managers,'Owner View'!U90,opponent,'Owner View'!T90,outcome,"W"),"")</f>
        <v>7</v>
      </c>
      <c r="AG90" s="151">
        <f>IFERROR(AVERAGEIFS(points,managers,'Owner View'!U90,opponent,'Owner View'!T90,outcome,"L"),"")</f>
        <v>78.5</v>
      </c>
      <c r="AH90" s="152">
        <f>IFERROR(AG90-VLOOKUP(U90,'SFFL Main Page'!$B$4:$L$20,10,FALSE),"")</f>
        <v>8.5350877192982466</v>
      </c>
      <c r="AI90" s="153">
        <f>IFERROR(COUNTIFS(managers,'Owner View'!U90,opponent,'Owner View'!T90,outcome,"L"),"")</f>
        <v>2</v>
      </c>
      <c r="AJ90" s="151">
        <f t="shared" si="26"/>
        <v>88.888888888888886</v>
      </c>
      <c r="AK90" s="169">
        <f>IFERROR(AJ90-VLOOKUP(U90,'SFFL Main Page'!$B$4:$L$20,8,FALSE),"")</f>
        <v>7.3888888888888857</v>
      </c>
      <c r="AL90" s="152">
        <f t="shared" si="27"/>
        <v>-18.902298850574709</v>
      </c>
    </row>
    <row r="91" spans="19:38" x14ac:dyDescent="0.3">
      <c r="S91" s="159">
        <v>86</v>
      </c>
      <c r="T91" s="118" t="s">
        <v>29</v>
      </c>
      <c r="U91" s="172" t="s">
        <v>227</v>
      </c>
      <c r="V91" s="151">
        <f>IFERROR(AVERAGEIFS(points,managers,'Owner View'!T91,opponent,'Owner View'!U91,outcome,"W"),"")</f>
        <v>101.66666666666667</v>
      </c>
      <c r="W91" s="152">
        <f>IFERROR(V91-VLOOKUP(T91,'SFFL Main Page'!$B$4:$L$20,9,FALSE),"")</f>
        <v>0.5960784313725469</v>
      </c>
      <c r="X91" s="153">
        <f>IFERROR(COUNTIFS(managers,'Owner View'!T91,opponent,'Owner View'!U91,outcome,"W"),"")</f>
        <v>3</v>
      </c>
      <c r="Y91" s="151">
        <f>IFERROR(AVERAGEIFS(points,managers,'Owner View'!T91,opponent,'Owner View'!U91,outcome,"L"),"")</f>
        <v>103.5</v>
      </c>
      <c r="Z91" s="152">
        <f>IFERROR(Y91-VLOOKUP(T91,'SFFL Main Page'!$B$4:$L$20,10,FALSE),"")</f>
        <v>25.375</v>
      </c>
      <c r="AA91" s="153">
        <f>IFERROR(COUNTIFS(managers,'Owner View'!T91,opponent,'Owner View'!U91,outcome,"L"),"")</f>
        <v>2</v>
      </c>
      <c r="AB91" s="166">
        <f t="shared" si="25"/>
        <v>102.4</v>
      </c>
      <c r="AC91" s="152">
        <f>IFERROR(AB91-VLOOKUP(T91,'SFFL Main Page'!$B$4:$L$20,8,FALSE),"")</f>
        <v>12.997701149425296</v>
      </c>
      <c r="AD91" s="151">
        <f>IFERROR(AVERAGEIFS(points,managers,'Owner View'!U91,opponent,'Owner View'!T91,outcome,"W"),"")</f>
        <v>105</v>
      </c>
      <c r="AE91" s="152">
        <f>IFERROR(AD91-VLOOKUP(U91,'SFFL Main Page'!$B$4:$L$20,9,FALSE),"")</f>
        <v>-3.6896551724137936</v>
      </c>
      <c r="AF91" s="153">
        <f>IFERROR(COUNTIFS(managers,'Owner View'!U91,opponent,'Owner View'!T91,outcome,"W"),"")</f>
        <v>2</v>
      </c>
      <c r="AG91" s="151">
        <f>IFERROR(AVERAGEIFS(points,managers,'Owner View'!U91,opponent,'Owner View'!T91,outcome,"L"),"")</f>
        <v>70</v>
      </c>
      <c r="AH91" s="152">
        <f>IFERROR(AG91-VLOOKUP(U91,'SFFL Main Page'!$B$4:$L$20,10,FALSE),"")</f>
        <v>-11.58536585365853</v>
      </c>
      <c r="AI91" s="153">
        <f>IFERROR(COUNTIFS(managers,'Owner View'!U91,opponent,'Owner View'!T91,outcome,"L"),"")</f>
        <v>3</v>
      </c>
      <c r="AJ91" s="151">
        <f t="shared" si="26"/>
        <v>84</v>
      </c>
      <c r="AK91" s="169">
        <f>IFERROR(AJ91-VLOOKUP(U91,'SFFL Main Page'!$B$4:$L$20,8,FALSE),"")</f>
        <v>-8.8142857142857167</v>
      </c>
      <c r="AL91" s="152">
        <f t="shared" si="27"/>
        <v>21.811986863711013</v>
      </c>
    </row>
    <row r="92" spans="19:38" x14ac:dyDescent="0.3">
      <c r="S92" s="159">
        <v>87</v>
      </c>
      <c r="T92" s="118" t="s">
        <v>29</v>
      </c>
      <c r="U92" s="172" t="s">
        <v>25</v>
      </c>
      <c r="V92" s="151">
        <f>IFERROR(AVERAGEIFS(points,managers,'Owner View'!T92,opponent,'Owner View'!U92,outcome,"W"),"")</f>
        <v>102.57142857142857</v>
      </c>
      <c r="W92" s="152">
        <f>IFERROR(V92-VLOOKUP(T92,'SFFL Main Page'!$B$4:$L$20,9,FALSE),"")</f>
        <v>1.5008403361344449</v>
      </c>
      <c r="X92" s="153">
        <f>IFERROR(COUNTIFS(managers,'Owner View'!T92,opponent,'Owner View'!U92,outcome,"W"),"")</f>
        <v>7</v>
      </c>
      <c r="Y92" s="151">
        <f>IFERROR(AVERAGEIFS(points,managers,'Owner View'!T92,opponent,'Owner View'!U92,outcome,"L"),"")</f>
        <v>85.833333333333329</v>
      </c>
      <c r="Z92" s="152">
        <f>IFERROR(Y92-VLOOKUP(T92,'SFFL Main Page'!$B$4:$L$20,10,FALSE),"")</f>
        <v>7.7083333333333286</v>
      </c>
      <c r="AA92" s="153">
        <f>IFERROR(COUNTIFS(managers,'Owner View'!T92,opponent,'Owner View'!U92,outcome,"L"),"")</f>
        <v>6</v>
      </c>
      <c r="AB92" s="166">
        <f t="shared" si="25"/>
        <v>94.84615384615384</v>
      </c>
      <c r="AC92" s="152">
        <f>IFERROR(AB92-VLOOKUP(T92,'SFFL Main Page'!$B$4:$L$20,8,FALSE),"")</f>
        <v>5.4438549955791302</v>
      </c>
      <c r="AD92" s="151">
        <f>IFERROR(AVERAGEIFS(points,managers,'Owner View'!U92,opponent,'Owner View'!T92,outcome,"W"),"")</f>
        <v>106.5</v>
      </c>
      <c r="AE92" s="152">
        <f>IFERROR(AD92-VLOOKUP(U92,'SFFL Main Page'!$B$4:$L$20,9,FALSE),"")</f>
        <v>4.7298850574712645</v>
      </c>
      <c r="AF92" s="153">
        <f>IFERROR(COUNTIFS(managers,'Owner View'!U92,opponent,'Owner View'!T92,outcome,"W"),"")</f>
        <v>6</v>
      </c>
      <c r="AG92" s="151">
        <f>IFERROR(AVERAGEIFS(points,managers,'Owner View'!U92,opponent,'Owner View'!T92,outcome,"L"),"")</f>
        <v>84</v>
      </c>
      <c r="AH92" s="152">
        <f>IFERROR(AG92-VLOOKUP(U92,'SFFL Main Page'!$B$4:$L$20,10,FALSE),"")</f>
        <v>6.0595238095238102</v>
      </c>
      <c r="AI92" s="153">
        <f>IFERROR(COUNTIFS(managers,'Owner View'!U92,opponent,'Owner View'!T92,outcome,"L"),"")</f>
        <v>7</v>
      </c>
      <c r="AJ92" s="151">
        <f t="shared" si="26"/>
        <v>94.384615384615387</v>
      </c>
      <c r="AK92" s="169">
        <f>IFERROR(AJ92-VLOOKUP(U92,'SFFL Main Page'!$B$4:$L$20,8,FALSE),"")</f>
        <v>4.3961096374889479</v>
      </c>
      <c r="AL92" s="152">
        <f t="shared" si="27"/>
        <v>1.0477453580901823</v>
      </c>
    </row>
    <row r="93" spans="19:38" x14ac:dyDescent="0.3">
      <c r="S93" s="159">
        <v>88</v>
      </c>
      <c r="T93" s="118" t="s">
        <v>29</v>
      </c>
      <c r="U93" s="172" t="s">
        <v>47</v>
      </c>
      <c r="V93" s="151">
        <f>IFERROR(AVERAGEIFS(points,managers,'Owner View'!T93,opponent,'Owner View'!U93,outcome,"W"),"")</f>
        <v>105</v>
      </c>
      <c r="W93" s="152">
        <f>IFERROR(V93-VLOOKUP(T93,'SFFL Main Page'!$B$4:$L$20,9,FALSE),"")</f>
        <v>3.9294117647058755</v>
      </c>
      <c r="X93" s="153">
        <f>IFERROR(COUNTIFS(managers,'Owner View'!T93,opponent,'Owner View'!U93,outcome,"W"),"")</f>
        <v>5</v>
      </c>
      <c r="Y93" s="151">
        <f>IFERROR(AVERAGEIFS(points,managers,'Owner View'!T93,opponent,'Owner View'!U93,outcome,"L"),"")</f>
        <v>86.166666666666671</v>
      </c>
      <c r="Z93" s="152">
        <f>IFERROR(Y93-VLOOKUP(T93,'SFFL Main Page'!$B$4:$L$20,10,FALSE),"")</f>
        <v>8.0416666666666714</v>
      </c>
      <c r="AA93" s="153">
        <f>IFERROR(COUNTIFS(managers,'Owner View'!T93,opponent,'Owner View'!U93,outcome,"L"),"")</f>
        <v>6</v>
      </c>
      <c r="AB93" s="166">
        <f t="shared" si="25"/>
        <v>94.727272727272734</v>
      </c>
      <c r="AC93" s="152">
        <f>IFERROR(AB93-VLOOKUP(T93,'SFFL Main Page'!$B$4:$L$20,8,FALSE),"")</f>
        <v>5.3249738766980244</v>
      </c>
      <c r="AD93" s="151">
        <f>IFERROR(AVERAGEIFS(points,managers,'Owner View'!U93,opponent,'Owner View'!T93,outcome,"W"),"")</f>
        <v>105.5</v>
      </c>
      <c r="AE93" s="152">
        <f>IFERROR(AD93-VLOOKUP(U93,'SFFL Main Page'!$B$4:$L$20,9,FALSE),"")</f>
        <v>0.14210526315790162</v>
      </c>
      <c r="AF93" s="153">
        <f>IFERROR(COUNTIFS(managers,'Owner View'!U93,opponent,'Owner View'!T93,outcome,"W"),"")</f>
        <v>6</v>
      </c>
      <c r="AG93" s="151">
        <f>IFERROR(AVERAGEIFS(points,managers,'Owner View'!U93,opponent,'Owner View'!T93,outcome,"L"),"")</f>
        <v>81.8</v>
      </c>
      <c r="AH93" s="152">
        <f>IFERROR(AG93-VLOOKUP(U93,'SFFL Main Page'!$B$4:$L$20,10,FALSE),"")</f>
        <v>-1.776923076923083</v>
      </c>
      <c r="AI93" s="153">
        <f>IFERROR(COUNTIFS(managers,'Owner View'!U93,opponent,'Owner View'!T93,outcome,"L"),"")</f>
        <v>5</v>
      </c>
      <c r="AJ93" s="151">
        <f t="shared" si="26"/>
        <v>94.727272727272734</v>
      </c>
      <c r="AK93" s="169">
        <f>IFERROR(AJ93-VLOOKUP(U93,'SFFL Main Page'!$B$4:$L$20,8,FALSE),"")</f>
        <v>-2.8335380835380732</v>
      </c>
      <c r="AL93" s="152">
        <f t="shared" si="27"/>
        <v>8.1585119602360976</v>
      </c>
    </row>
    <row r="94" spans="19:38" x14ac:dyDescent="0.3">
      <c r="S94" s="159">
        <v>89</v>
      </c>
      <c r="T94" s="118" t="s">
        <v>29</v>
      </c>
      <c r="U94" s="172" t="s">
        <v>26</v>
      </c>
      <c r="V94" s="151">
        <f>IFERROR(AVERAGEIFS(points,managers,'Owner View'!T94,opponent,'Owner View'!U94,outcome,"W"),"")</f>
        <v>97.5</v>
      </c>
      <c r="W94" s="152">
        <f>IFERROR(V94-VLOOKUP(T94,'SFFL Main Page'!$B$4:$L$20,9,FALSE),"")</f>
        <v>-3.5705882352941245</v>
      </c>
      <c r="X94" s="153">
        <f>IFERROR(COUNTIFS(managers,'Owner View'!T94,opponent,'Owner View'!U94,outcome,"W"),"")</f>
        <v>6</v>
      </c>
      <c r="Y94" s="151">
        <f>IFERROR(AVERAGEIFS(points,managers,'Owner View'!T94,opponent,'Owner View'!U94,outcome,"L"),"")</f>
        <v>79.944444444444443</v>
      </c>
      <c r="Z94" s="152">
        <f>IFERROR(Y94-VLOOKUP(T94,'SFFL Main Page'!$B$4:$L$20,10,FALSE),"")</f>
        <v>1.8194444444444429</v>
      </c>
      <c r="AA94" s="153">
        <f>IFERROR(COUNTIFS(managers,'Owner View'!T94,opponent,'Owner View'!U94,outcome,"L"),"")</f>
        <v>18</v>
      </c>
      <c r="AB94" s="166">
        <f t="shared" si="25"/>
        <v>84.333333333333329</v>
      </c>
      <c r="AC94" s="152">
        <f>IFERROR(AB94-VLOOKUP(T94,'SFFL Main Page'!$B$4:$L$20,8,FALSE),"")</f>
        <v>-5.0689655172413808</v>
      </c>
      <c r="AD94" s="151">
        <f>IFERROR(AVERAGEIFS(points,managers,'Owner View'!U94,opponent,'Owner View'!T94,outcome,"W"),"")</f>
        <v>100.88888888888889</v>
      </c>
      <c r="AE94" s="152">
        <f>IFERROR(AD94-VLOOKUP(U94,'SFFL Main Page'!$B$4:$L$20,9,FALSE),"")</f>
        <v>-2.6631944444444429</v>
      </c>
      <c r="AF94" s="153">
        <f>IFERROR(COUNTIFS(managers,'Owner View'!U94,opponent,'Owner View'!T94,outcome,"W"),"")</f>
        <v>18</v>
      </c>
      <c r="AG94" s="151">
        <f>IFERROR(AVERAGEIFS(points,managers,'Owner View'!U94,opponent,'Owner View'!T94,outcome,"L"),"")</f>
        <v>76.833333333333329</v>
      </c>
      <c r="AH94" s="152">
        <f>IFERROR(AG94-VLOOKUP(U94,'SFFL Main Page'!$B$4:$L$20,10,FALSE),"")</f>
        <v>-0.69913419913420682</v>
      </c>
      <c r="AI94" s="153">
        <f>IFERROR(COUNTIFS(managers,'Owner View'!U94,opponent,'Owner View'!T94,outcome,"L"),"")</f>
        <v>6</v>
      </c>
      <c r="AJ94" s="151">
        <f t="shared" si="26"/>
        <v>94.875</v>
      </c>
      <c r="AK94" s="169">
        <f>IFERROR(AJ94-VLOOKUP(U94,'SFFL Main Page'!$B$4:$L$20,8,FALSE),"")</f>
        <v>2.8922413793103487</v>
      </c>
      <c r="AL94" s="152">
        <f t="shared" si="27"/>
        <v>-7.9612068965517295</v>
      </c>
    </row>
    <row r="95" spans="19:38" x14ac:dyDescent="0.3">
      <c r="S95" s="159">
        <v>90</v>
      </c>
      <c r="T95" s="118" t="s">
        <v>29</v>
      </c>
      <c r="U95" s="172" t="s">
        <v>48</v>
      </c>
      <c r="V95" s="151">
        <f>IFERROR(AVERAGEIFS(points,managers,'Owner View'!T95,opponent,'Owner View'!U95,outcome,"W"),"")</f>
        <v>102.75</v>
      </c>
      <c r="W95" s="152">
        <f>IFERROR(V95-VLOOKUP(T95,'SFFL Main Page'!$B$4:$L$20,9,FALSE),"")</f>
        <v>1.6794117647058755</v>
      </c>
      <c r="X95" s="153">
        <f>IFERROR(COUNTIFS(managers,'Owner View'!T95,opponent,'Owner View'!U95,outcome,"W"),"")</f>
        <v>8</v>
      </c>
      <c r="Y95" s="151">
        <f>IFERROR(AVERAGEIFS(points,managers,'Owner View'!T95,opponent,'Owner View'!U95,outcome,"L"),"")</f>
        <v>63.666666666666664</v>
      </c>
      <c r="Z95" s="152">
        <f>IFERROR(Y95-VLOOKUP(T95,'SFFL Main Page'!$B$4:$L$20,10,FALSE),"")</f>
        <v>-14.458333333333336</v>
      </c>
      <c r="AA95" s="153">
        <f>IFERROR(COUNTIFS(managers,'Owner View'!T95,opponent,'Owner View'!U95,outcome,"L"),"")</f>
        <v>6</v>
      </c>
      <c r="AB95" s="166">
        <f t="shared" si="25"/>
        <v>86</v>
      </c>
      <c r="AC95" s="152">
        <f>IFERROR(AB95-VLOOKUP(T95,'SFFL Main Page'!$B$4:$L$20,8,FALSE),"")</f>
        <v>-3.4022988505747094</v>
      </c>
      <c r="AD95" s="151">
        <f>IFERROR(AVERAGEIFS(points,managers,'Owner View'!U95,opponent,'Owner View'!T95,outcome,"W"),"")</f>
        <v>92</v>
      </c>
      <c r="AE95" s="152">
        <f>IFERROR(AD95-VLOOKUP(U95,'SFFL Main Page'!$B$4:$L$20,9,FALSE),"")</f>
        <v>-16.745121951219517</v>
      </c>
      <c r="AF95" s="153">
        <f>IFERROR(COUNTIFS(managers,'Owner View'!U95,opponent,'Owner View'!T95,outcome,"W"),"")</f>
        <v>6</v>
      </c>
      <c r="AG95" s="151">
        <f>IFERROR(AVERAGEIFS(points,managers,'Owner View'!U95,opponent,'Owner View'!T95,outcome,"L"),"")</f>
        <v>87.875</v>
      </c>
      <c r="AH95" s="152">
        <f>IFERROR(AG95-VLOOKUP(U95,'SFFL Main Page'!$B$4:$L$20,10,FALSE),"")</f>
        <v>3.1174242424242493</v>
      </c>
      <c r="AI95" s="153">
        <f>IFERROR(COUNTIFS(managers,'Owner View'!U95,opponent,'Owner View'!T95,outcome,"L"),"")</f>
        <v>8</v>
      </c>
      <c r="AJ95" s="151">
        <f t="shared" si="26"/>
        <v>89.642857142857139</v>
      </c>
      <c r="AK95" s="169">
        <f>IFERROR(AJ95-VLOOKUP(U95,'SFFL Main Page'!$B$4:$L$20,8,FALSE),"")</f>
        <v>-8.4051158301158324</v>
      </c>
      <c r="AL95" s="152">
        <f t="shared" si="27"/>
        <v>5.002816979541123</v>
      </c>
    </row>
    <row r="96" spans="19:38" x14ac:dyDescent="0.3">
      <c r="S96" s="159">
        <v>91</v>
      </c>
      <c r="T96" s="118" t="s">
        <v>29</v>
      </c>
      <c r="U96" s="172" t="s">
        <v>43</v>
      </c>
      <c r="V96" s="151">
        <f>IFERROR(AVERAGEIFS(points,managers,'Owner View'!T96,opponent,'Owner View'!U96,outcome,"W"),"")</f>
        <v>102.44444444444444</v>
      </c>
      <c r="W96" s="152">
        <f>IFERROR(V96-VLOOKUP(T96,'SFFL Main Page'!$B$4:$L$20,9,FALSE),"")</f>
        <v>1.3738562091503184</v>
      </c>
      <c r="X96" s="153">
        <f>IFERROR(COUNTIFS(managers,'Owner View'!T96,opponent,'Owner View'!U96,outcome,"W"),"")</f>
        <v>9</v>
      </c>
      <c r="Y96" s="151">
        <f>IFERROR(AVERAGEIFS(points,managers,'Owner View'!T96,opponent,'Owner View'!U96,outcome,"L"),"")</f>
        <v>72.833333333333329</v>
      </c>
      <c r="Z96" s="152">
        <f>IFERROR(Y96-VLOOKUP(T96,'SFFL Main Page'!$B$4:$L$20,10,FALSE),"")</f>
        <v>-5.2916666666666714</v>
      </c>
      <c r="AA96" s="153">
        <f>IFERROR(COUNTIFS(managers,'Owner View'!T96,opponent,'Owner View'!U96,outcome,"L"),"")</f>
        <v>6</v>
      </c>
      <c r="AB96" s="166">
        <f t="shared" si="25"/>
        <v>90.6</v>
      </c>
      <c r="AC96" s="152">
        <f>IFERROR(AB96-VLOOKUP(T96,'SFFL Main Page'!$B$4:$L$20,8,FALSE),"")</f>
        <v>1.1977011494252849</v>
      </c>
      <c r="AD96" s="151">
        <f>IFERROR(AVERAGEIFS(points,managers,'Owner View'!U96,opponent,'Owner View'!T96,outcome,"W"),"")</f>
        <v>88.666666666666671</v>
      </c>
      <c r="AE96" s="152">
        <f>IFERROR(AD96-VLOOKUP(U96,'SFFL Main Page'!$B$4:$L$20,9,FALSE),"")</f>
        <v>-12.160493827160494</v>
      </c>
      <c r="AF96" s="153">
        <f>IFERROR(COUNTIFS(managers,'Owner View'!U96,opponent,'Owner View'!T96,outcome,"W"),"")</f>
        <v>6</v>
      </c>
      <c r="AG96" s="151">
        <f>IFERROR(AVERAGEIFS(points,managers,'Owner View'!U96,opponent,'Owner View'!T96,outcome,"L"),"")</f>
        <v>72.666666666666671</v>
      </c>
      <c r="AH96" s="152">
        <f>IFERROR(AG96-VLOOKUP(U96,'SFFL Main Page'!$B$4:$L$20,10,FALSE),"")</f>
        <v>-2.7028985507246261</v>
      </c>
      <c r="AI96" s="153">
        <f>IFERROR(COUNTIFS(managers,'Owner View'!U96,opponent,'Owner View'!T96,outcome,"L"),"")</f>
        <v>9</v>
      </c>
      <c r="AJ96" s="151">
        <f t="shared" si="26"/>
        <v>79.066666666666663</v>
      </c>
      <c r="AK96" s="169">
        <f>IFERROR(AJ96-VLOOKUP(U96,'SFFL Main Page'!$B$4:$L$20,8,FALSE),"")</f>
        <v>-8.1747126436781627</v>
      </c>
      <c r="AL96" s="152">
        <f t="shared" si="27"/>
        <v>9.3724137931034477</v>
      </c>
    </row>
    <row r="97" spans="19:38" x14ac:dyDescent="0.3">
      <c r="S97" s="159">
        <v>92</v>
      </c>
      <c r="T97" s="118" t="s">
        <v>29</v>
      </c>
      <c r="U97" s="172" t="s">
        <v>473</v>
      </c>
      <c r="V97" s="151">
        <f>IFERROR(AVERAGEIFS(points,managers,'Owner View'!T97,opponent,'Owner View'!U97,outcome,"W"),"")</f>
        <v>111</v>
      </c>
      <c r="W97" s="152">
        <f>IFERROR(V97-VLOOKUP(T97,'SFFL Main Page'!$B$4:$L$20,9,FALSE),"")</f>
        <v>9.9294117647058755</v>
      </c>
      <c r="X97" s="153">
        <f>IFERROR(COUNTIFS(managers,'Owner View'!T97,opponent,'Owner View'!U97,outcome,"W"),"")</f>
        <v>2</v>
      </c>
      <c r="Y97" s="151" t="str">
        <f>IFERROR(AVERAGEIFS(points,managers,'Owner View'!T97,opponent,'Owner View'!U97,outcome,"L"),"")</f>
        <v/>
      </c>
      <c r="Z97" s="152" t="str">
        <f>IFERROR(Y97-VLOOKUP(T97,'SFFL Main Page'!$B$4:$L$20,10,FALSE),"")</f>
        <v/>
      </c>
      <c r="AA97" s="153">
        <f>IFERROR(COUNTIFS(managers,'Owner View'!T97,opponent,'Owner View'!U97,outcome,"L"),"")</f>
        <v>0</v>
      </c>
      <c r="AB97" s="166" t="str">
        <f t="shared" si="25"/>
        <v/>
      </c>
      <c r="AC97" s="152" t="str">
        <f>IFERROR(AB97-VLOOKUP(T97,'SFFL Main Page'!$B$4:$L$20,8,FALSE),"")</f>
        <v/>
      </c>
      <c r="AD97" s="151" t="str">
        <f>IFERROR(AVERAGEIFS(points,managers,'Owner View'!U97,opponent,'Owner View'!T97,outcome,"W"),"")</f>
        <v/>
      </c>
      <c r="AE97" s="152" t="str">
        <f>IFERROR(AD97-VLOOKUP(U97,'SFFL Main Page'!$B$4:$L$20,9,FALSE),"")</f>
        <v/>
      </c>
      <c r="AF97" s="153">
        <f>IFERROR(COUNTIFS(managers,'Owner View'!U97,opponent,'Owner View'!T97,outcome,"W"),"")</f>
        <v>0</v>
      </c>
      <c r="AG97" s="151">
        <f>IFERROR(AVERAGEIFS(points,managers,'Owner View'!U97,opponent,'Owner View'!T97,outcome,"L"),"")</f>
        <v>83.5</v>
      </c>
      <c r="AH97" s="152">
        <f>IFERROR(AG97-VLOOKUP(U97,'SFFL Main Page'!$B$4:$L$20,10,FALSE),"")</f>
        <v>-9.6578947368421098</v>
      </c>
      <c r="AI97" s="153">
        <f>IFERROR(COUNTIFS(managers,'Owner View'!U97,opponent,'Owner View'!T97,outcome,"L"),"")</f>
        <v>2</v>
      </c>
      <c r="AJ97" s="151" t="str">
        <f t="shared" si="26"/>
        <v/>
      </c>
      <c r="AK97" s="169" t="str">
        <f>IFERROR(AJ97-VLOOKUP(U97,'SFFL Main Page'!$B$4:$L$20,8,FALSE),"")</f>
        <v/>
      </c>
      <c r="AL97" s="152" t="str">
        <f t="shared" si="27"/>
        <v/>
      </c>
    </row>
    <row r="98" spans="19:38" x14ac:dyDescent="0.3">
      <c r="S98" s="159">
        <v>93</v>
      </c>
      <c r="T98" s="118" t="s">
        <v>29</v>
      </c>
      <c r="U98" s="172" t="s">
        <v>472</v>
      </c>
      <c r="V98" s="151">
        <f>IFERROR(AVERAGEIFS(points,managers,'Owner View'!T98,opponent,'Owner View'!U98,outcome,"W"),"")</f>
        <v>120</v>
      </c>
      <c r="W98" s="152">
        <f>IFERROR(V98-VLOOKUP(T98,'SFFL Main Page'!$B$4:$L$20,9,FALSE),"")</f>
        <v>18.929411764705875</v>
      </c>
      <c r="X98" s="153">
        <f>IFERROR(COUNTIFS(managers,'Owner View'!T98,opponent,'Owner View'!U98,outcome,"W"),"")</f>
        <v>1</v>
      </c>
      <c r="Y98" s="151">
        <f>IFERROR(AVERAGEIFS(points,managers,'Owner View'!T98,opponent,'Owner View'!U98,outcome,"L"),"")</f>
        <v>110</v>
      </c>
      <c r="Z98" s="152">
        <f>IFERROR(Y98-VLOOKUP(T98,'SFFL Main Page'!$B$4:$L$20,10,FALSE),"")</f>
        <v>31.875</v>
      </c>
      <c r="AA98" s="153">
        <f>IFERROR(COUNTIFS(managers,'Owner View'!T98,opponent,'Owner View'!U98,outcome,"L"),"")</f>
        <v>1</v>
      </c>
      <c r="AB98" s="166">
        <f t="shared" si="25"/>
        <v>115</v>
      </c>
      <c r="AC98" s="152">
        <f>IFERROR(AB98-VLOOKUP(T98,'SFFL Main Page'!$B$4:$L$20,8,FALSE),"")</f>
        <v>25.597701149425291</v>
      </c>
      <c r="AD98" s="151">
        <f>IFERROR(AVERAGEIFS(points,managers,'Owner View'!U98,opponent,'Owner View'!T98,outcome,"W"),"")</f>
        <v>122</v>
      </c>
      <c r="AE98" s="152">
        <f>IFERROR(AD98-VLOOKUP(U98,'SFFL Main Page'!$B$4:$L$20,9,FALSE),"")</f>
        <v>2.2727272727272663</v>
      </c>
      <c r="AF98" s="153">
        <f>IFERROR(COUNTIFS(managers,'Owner View'!U98,opponent,'Owner View'!T98,outcome,"W"),"")</f>
        <v>1</v>
      </c>
      <c r="AG98" s="151">
        <f>IFERROR(AVERAGEIFS(points,managers,'Owner View'!U98,opponent,'Owner View'!T98,outcome,"L"),"")</f>
        <v>114</v>
      </c>
      <c r="AH98" s="152">
        <f>IFERROR(AG98-VLOOKUP(U98,'SFFL Main Page'!$B$4:$L$20,10,FALSE),"")</f>
        <v>16.470588235294116</v>
      </c>
      <c r="AI98" s="153">
        <f>IFERROR(COUNTIFS(managers,'Owner View'!U98,opponent,'Owner View'!T98,outcome,"L"),"")</f>
        <v>1</v>
      </c>
      <c r="AJ98" s="151">
        <f t="shared" si="26"/>
        <v>118</v>
      </c>
      <c r="AK98" s="169">
        <f>IFERROR(AJ98-VLOOKUP(U98,'SFFL Main Page'!$B$4:$L$20,8,FALSE),"")</f>
        <v>11.75</v>
      </c>
      <c r="AL98" s="152">
        <f t="shared" si="27"/>
        <v>13.847701149425291</v>
      </c>
    </row>
    <row r="99" spans="19:38" x14ac:dyDescent="0.3">
      <c r="S99" s="159">
        <v>94</v>
      </c>
      <c r="T99" s="118" t="s">
        <v>29</v>
      </c>
      <c r="U99" s="172" t="s">
        <v>22</v>
      </c>
      <c r="V99" s="151">
        <f>IFERROR(AVERAGEIFS(points,managers,'Owner View'!T99,opponent,'Owner View'!U99,outcome,"W"),"")</f>
        <v>104.5</v>
      </c>
      <c r="W99" s="152">
        <f>IFERROR(V99-VLOOKUP(T99,'SFFL Main Page'!$B$4:$L$20,9,FALSE),"")</f>
        <v>3.4294117647058755</v>
      </c>
      <c r="X99" s="153">
        <f>IFERROR(COUNTIFS(managers,'Owner View'!T99,opponent,'Owner View'!U99,outcome,"W"),"")</f>
        <v>4</v>
      </c>
      <c r="Y99" s="151">
        <f>IFERROR(AVERAGEIFS(points,managers,'Owner View'!T99,opponent,'Owner View'!U99,outcome,"L"),"")</f>
        <v>81.25</v>
      </c>
      <c r="Z99" s="152">
        <f>IFERROR(Y99-VLOOKUP(T99,'SFFL Main Page'!$B$4:$L$20,10,FALSE),"")</f>
        <v>3.125</v>
      </c>
      <c r="AA99" s="153">
        <f>IFERROR(COUNTIFS(managers,'Owner View'!T99,opponent,'Owner View'!U99,outcome,"L"),"")</f>
        <v>8</v>
      </c>
      <c r="AB99" s="166">
        <f t="shared" si="25"/>
        <v>89</v>
      </c>
      <c r="AC99" s="152">
        <f>IFERROR(AB99-VLOOKUP(T99,'SFFL Main Page'!$B$4:$L$20,8,FALSE),"")</f>
        <v>-0.40229885057470938</v>
      </c>
      <c r="AD99" s="151">
        <f>IFERROR(AVERAGEIFS(points,managers,'Owner View'!U99,opponent,'Owner View'!T99,outcome,"W"),"")</f>
        <v>109</v>
      </c>
      <c r="AE99" s="152">
        <f>IFERROR(AD99-VLOOKUP(U99,'SFFL Main Page'!$B$4:$L$20,9,FALSE),"")</f>
        <v>6.6197183098591523</v>
      </c>
      <c r="AF99" s="153">
        <f>IFERROR(COUNTIFS(managers,'Owner View'!U99,opponent,'Owner View'!T99,outcome,"W"),"")</f>
        <v>8</v>
      </c>
      <c r="AG99" s="151">
        <f>IFERROR(AVERAGEIFS(points,managers,'Owner View'!U99,opponent,'Owner View'!T99,outcome,"L"),"")</f>
        <v>83.5</v>
      </c>
      <c r="AH99" s="152">
        <f>IFERROR(AG99-VLOOKUP(U99,'SFFL Main Page'!$B$4:$L$20,10,FALSE),"")</f>
        <v>3.5490196078431353</v>
      </c>
      <c r="AI99" s="153">
        <f>IFERROR(COUNTIFS(managers,'Owner View'!U99,opponent,'Owner View'!T99,outcome,"L"),"")</f>
        <v>4</v>
      </c>
      <c r="AJ99" s="151">
        <f t="shared" si="26"/>
        <v>100.5</v>
      </c>
      <c r="AK99" s="169">
        <f>IFERROR(AJ99-VLOOKUP(U99,'SFFL Main Page'!$B$4:$L$20,8,FALSE),"")</f>
        <v>11.339080459770116</v>
      </c>
      <c r="AL99" s="152">
        <f t="shared" si="27"/>
        <v>-11.741379310344826</v>
      </c>
    </row>
    <row r="100" spans="19:38" x14ac:dyDescent="0.3">
      <c r="S100" s="159">
        <v>95</v>
      </c>
      <c r="T100" s="118" t="s">
        <v>29</v>
      </c>
      <c r="U100" s="172" t="s">
        <v>30</v>
      </c>
      <c r="V100" s="151">
        <f>IFERROR(AVERAGEIFS(points,managers,'Owner View'!T100,opponent,'Owner View'!U100,outcome,"W"),"")</f>
        <v>104.5</v>
      </c>
      <c r="W100" s="152">
        <f>IFERROR(V100-VLOOKUP(T100,'SFFL Main Page'!$B$4:$L$20,9,FALSE),"")</f>
        <v>3.4294117647058755</v>
      </c>
      <c r="X100" s="153">
        <f>IFERROR(COUNTIFS(managers,'Owner View'!T100,opponent,'Owner View'!U100,outcome,"W"),"")</f>
        <v>12</v>
      </c>
      <c r="Y100" s="151">
        <f>IFERROR(AVERAGEIFS(points,managers,'Owner View'!T100,opponent,'Owner View'!U100,outcome,"L"),"")</f>
        <v>66</v>
      </c>
      <c r="Z100" s="152">
        <f>IFERROR(Y100-VLOOKUP(T100,'SFFL Main Page'!$B$4:$L$20,10,FALSE),"")</f>
        <v>-12.125</v>
      </c>
      <c r="AA100" s="153">
        <f>IFERROR(COUNTIFS(managers,'Owner View'!T100,opponent,'Owner View'!U100,outcome,"L"),"")</f>
        <v>5</v>
      </c>
      <c r="AB100" s="166">
        <f t="shared" si="25"/>
        <v>93.17647058823529</v>
      </c>
      <c r="AC100" s="152">
        <f>IFERROR(AB100-VLOOKUP(T100,'SFFL Main Page'!$B$4:$L$20,8,FALSE),"")</f>
        <v>3.7741717376605806</v>
      </c>
      <c r="AD100" s="151">
        <f>IFERROR(AVERAGEIFS(points,managers,'Owner View'!U100,opponent,'Owner View'!T100,outcome,"W"),"")</f>
        <v>103.2</v>
      </c>
      <c r="AE100" s="152">
        <f>IFERROR(AD100-VLOOKUP(U100,'SFFL Main Page'!$B$4:$L$20,9,FALSE),"")</f>
        <v>0.29999999999999716</v>
      </c>
      <c r="AF100" s="153">
        <f>IFERROR(COUNTIFS(managers,'Owner View'!U100,opponent,'Owner View'!T100,outcome,"W"),"")</f>
        <v>5</v>
      </c>
      <c r="AG100" s="151">
        <f>IFERROR(AVERAGEIFS(points,managers,'Owner View'!U100,opponent,'Owner View'!T100,outcome,"L"),"")</f>
        <v>79.916666666666671</v>
      </c>
      <c r="AH100" s="152">
        <f>IFERROR(AG100-VLOOKUP(U100,'SFFL Main Page'!$B$4:$L$20,10,FALSE),"")</f>
        <v>-2.0188172043010724</v>
      </c>
      <c r="AI100" s="153">
        <f>IFERROR(COUNTIFS(managers,'Owner View'!U100,opponent,'Owner View'!T100,outcome,"L"),"")</f>
        <v>12</v>
      </c>
      <c r="AJ100" s="151">
        <f t="shared" si="26"/>
        <v>86.764705882352942</v>
      </c>
      <c r="AK100" s="169">
        <f>IFERROR(AJ100-VLOOKUP(U100,'SFFL Main Page'!$B$4:$L$20,8,FALSE),"")</f>
        <v>-4.8042596348884388</v>
      </c>
      <c r="AL100" s="152">
        <f t="shared" si="27"/>
        <v>8.5784313725490193</v>
      </c>
    </row>
    <row r="101" spans="19:38" x14ac:dyDescent="0.3">
      <c r="S101" s="159">
        <v>96</v>
      </c>
      <c r="T101" s="118" t="s">
        <v>29</v>
      </c>
      <c r="U101" s="172" t="s">
        <v>23</v>
      </c>
      <c r="V101" s="151">
        <f>IFERROR(AVERAGEIFS(points,managers,'Owner View'!T101,opponent,'Owner View'!U101,outcome,"W"),"")</f>
        <v>112.875</v>
      </c>
      <c r="W101" s="152">
        <f>IFERROR(V101-VLOOKUP(T101,'SFFL Main Page'!$B$4:$L$20,9,FALSE),"")</f>
        <v>11.804411764705875</v>
      </c>
      <c r="X101" s="153">
        <f>IFERROR(COUNTIFS(managers,'Owner View'!T101,opponent,'Owner View'!U101,outcome,"W"),"")</f>
        <v>8</v>
      </c>
      <c r="Y101" s="151">
        <f>IFERROR(AVERAGEIFS(points,managers,'Owner View'!T101,opponent,'Owner View'!U101,outcome,"L"),"")</f>
        <v>73.666666666666671</v>
      </c>
      <c r="Z101" s="152">
        <f>IFERROR(Y101-VLOOKUP(T101,'SFFL Main Page'!$B$4:$L$20,10,FALSE),"")</f>
        <v>-4.4583333333333286</v>
      </c>
      <c r="AA101" s="153">
        <f>IFERROR(COUNTIFS(managers,'Owner View'!T101,opponent,'Owner View'!U101,outcome,"L"),"")</f>
        <v>6</v>
      </c>
      <c r="AB101" s="166">
        <f t="shared" si="25"/>
        <v>96.071428571428569</v>
      </c>
      <c r="AC101" s="152">
        <f>IFERROR(AB101-VLOOKUP(T101,'SFFL Main Page'!$B$4:$L$20,8,FALSE),"")</f>
        <v>6.66912972085386</v>
      </c>
      <c r="AD101" s="151">
        <f>IFERROR(AVERAGEIFS(points,managers,'Owner View'!U101,opponent,'Owner View'!T101,outcome,"W"),"")</f>
        <v>92.166666666666671</v>
      </c>
      <c r="AE101" s="152">
        <f>IFERROR(AD101-VLOOKUP(U101,'SFFL Main Page'!$B$4:$L$20,9,FALSE),"")</f>
        <v>-10.75886524822694</v>
      </c>
      <c r="AF101" s="153">
        <f>IFERROR(COUNTIFS(managers,'Owner View'!U101,opponent,'Owner View'!T101,outcome,"W"),"")</f>
        <v>6</v>
      </c>
      <c r="AG101" s="151">
        <f>IFERROR(AVERAGEIFS(points,managers,'Owner View'!U101,opponent,'Owner View'!T101,outcome,"L"),"")</f>
        <v>75.25</v>
      </c>
      <c r="AH101" s="152">
        <f>IFERROR(AG101-VLOOKUP(U101,'SFFL Main Page'!$B$4:$L$20,10,FALSE),"")</f>
        <v>-5.3829113924050631</v>
      </c>
      <c r="AI101" s="153">
        <f>IFERROR(COUNTIFS(managers,'Owner View'!U101,opponent,'Owner View'!T101,outcome,"L"),"")</f>
        <v>8</v>
      </c>
      <c r="AJ101" s="151">
        <f t="shared" si="26"/>
        <v>82.5</v>
      </c>
      <c r="AK101" s="169">
        <f>IFERROR(AJ101-VLOOKUP(U101,'SFFL Main Page'!$B$4:$L$20,8,FALSE),"")</f>
        <v>-10.339080459770116</v>
      </c>
      <c r="AL101" s="152">
        <f t="shared" si="27"/>
        <v>17.008210180623976</v>
      </c>
    </row>
    <row r="102" spans="19:38" x14ac:dyDescent="0.3">
      <c r="S102" s="159">
        <v>97</v>
      </c>
      <c r="T102" s="118" t="s">
        <v>29</v>
      </c>
      <c r="U102" s="172" t="s">
        <v>28</v>
      </c>
      <c r="V102" s="151">
        <f>IFERROR(AVERAGEIFS(points,managers,'Owner View'!T102,opponent,'Owner View'!U102,outcome,"W"),"")</f>
        <v>83.857142857142861</v>
      </c>
      <c r="W102" s="152">
        <f>IFERROR(V102-VLOOKUP(T102,'SFFL Main Page'!$B$4:$L$20,9,FALSE),"")</f>
        <v>-17.213445378151263</v>
      </c>
      <c r="X102" s="153">
        <f>IFERROR(COUNTIFS(managers,'Owner View'!T102,opponent,'Owner View'!U102,outcome,"W"),"")</f>
        <v>7</v>
      </c>
      <c r="Y102" s="151">
        <f>IFERROR(AVERAGEIFS(points,managers,'Owner View'!T102,opponent,'Owner View'!U102,outcome,"L"),"")</f>
        <v>83.25</v>
      </c>
      <c r="Z102" s="152">
        <f>IFERROR(Y102-VLOOKUP(T102,'SFFL Main Page'!$B$4:$L$20,10,FALSE),"")</f>
        <v>5.125</v>
      </c>
      <c r="AA102" s="153">
        <f>IFERROR(COUNTIFS(managers,'Owner View'!T102,opponent,'Owner View'!U102,outcome,"L"),"")</f>
        <v>12</v>
      </c>
      <c r="AB102" s="166">
        <f t="shared" si="25"/>
        <v>83.473684210526315</v>
      </c>
      <c r="AC102" s="152">
        <f>IFERROR(AB102-VLOOKUP(T102,'SFFL Main Page'!$B$4:$L$20,8,FALSE),"")</f>
        <v>-5.9286146400483943</v>
      </c>
      <c r="AD102" s="151">
        <f>IFERROR(AVERAGEIFS(points,managers,'Owner View'!U102,opponent,'Owner View'!T102,outcome,"W"),"")</f>
        <v>101.25</v>
      </c>
      <c r="AE102" s="152">
        <f>IFERROR(AD102-VLOOKUP(U102,'SFFL Main Page'!$B$4:$L$20,9,FALSE),"")</f>
        <v>-5.0833333333333286</v>
      </c>
      <c r="AF102" s="153">
        <f>IFERROR(COUNTIFS(managers,'Owner View'!U102,opponent,'Owner View'!T102,outcome,"W"),"")</f>
        <v>12</v>
      </c>
      <c r="AG102" s="151">
        <f>IFERROR(AVERAGEIFS(points,managers,'Owner View'!U102,opponent,'Owner View'!T102,outcome,"L"),"")</f>
        <v>79.571428571428569</v>
      </c>
      <c r="AH102" s="152">
        <f>IFERROR(AG102-VLOOKUP(U102,'SFFL Main Page'!$B$4:$L$20,10,FALSE),"")</f>
        <v>-1.3432055749129006</v>
      </c>
      <c r="AI102" s="153">
        <f>IFERROR(COUNTIFS(managers,'Owner View'!U102,opponent,'Owner View'!T102,outcome,"L"),"")</f>
        <v>7</v>
      </c>
      <c r="AJ102" s="151">
        <f t="shared" si="26"/>
        <v>93.263157894736835</v>
      </c>
      <c r="AK102" s="169">
        <f>IFERROR(AJ102-VLOOKUP(U102,'SFFL Main Page'!$B$4:$L$20,8,FALSE),"")</f>
        <v>-0.9609800362976415</v>
      </c>
      <c r="AL102" s="152">
        <f t="shared" si="27"/>
        <v>-4.9676346037507528</v>
      </c>
    </row>
    <row r="103" spans="19:38" x14ac:dyDescent="0.3">
      <c r="S103" s="159">
        <v>98</v>
      </c>
      <c r="T103" s="118" t="s">
        <v>29</v>
      </c>
      <c r="U103" s="172" t="s">
        <v>24</v>
      </c>
      <c r="V103" s="151">
        <f>IFERROR(AVERAGEIFS(points,managers,'Owner View'!T103,opponent,'Owner View'!U103,outcome,"W"),"")</f>
        <v>93.545454545454547</v>
      </c>
      <c r="W103" s="152">
        <f>IFERROR(V103-VLOOKUP(T103,'SFFL Main Page'!$B$4:$L$20,9,FALSE),"")</f>
        <v>-7.5251336898395778</v>
      </c>
      <c r="X103" s="153">
        <f>IFERROR(COUNTIFS(managers,'Owner View'!T103,opponent,'Owner View'!U103,outcome,"W"),"")</f>
        <v>11</v>
      </c>
      <c r="Y103" s="151">
        <f>IFERROR(AVERAGEIFS(points,managers,'Owner View'!T103,opponent,'Owner View'!U103,outcome,"L"),"")</f>
        <v>65.400000000000006</v>
      </c>
      <c r="Z103" s="152">
        <f>IFERROR(Y103-VLOOKUP(T103,'SFFL Main Page'!$B$4:$L$20,10,FALSE),"")</f>
        <v>-12.724999999999994</v>
      </c>
      <c r="AA103" s="153">
        <f>IFERROR(COUNTIFS(managers,'Owner View'!T103,opponent,'Owner View'!U103,outcome,"L"),"")</f>
        <v>5</v>
      </c>
      <c r="AB103" s="166">
        <f t="shared" si="25"/>
        <v>84.75</v>
      </c>
      <c r="AC103" s="152">
        <f>IFERROR(AB103-VLOOKUP(T103,'SFFL Main Page'!$B$4:$L$20,8,FALSE),"")</f>
        <v>-4.6522988505747094</v>
      </c>
      <c r="AD103" s="151">
        <f>IFERROR(AVERAGEIFS(points,managers,'Owner View'!U103,opponent,'Owner View'!T103,outcome,"W"),"")</f>
        <v>104.2</v>
      </c>
      <c r="AE103" s="152">
        <f>IFERROR(AD103-VLOOKUP(U103,'SFFL Main Page'!$B$4:$L$20,9,FALSE),"")</f>
        <v>-0.55903614457831452</v>
      </c>
      <c r="AF103" s="153">
        <f>IFERROR(COUNTIFS(managers,'Owner View'!U103,opponent,'Owner View'!T103,outcome,"W"),"")</f>
        <v>5</v>
      </c>
      <c r="AG103" s="151">
        <f>IFERROR(AVERAGEIFS(points,managers,'Owner View'!U103,opponent,'Owner View'!T103,outcome,"L"),"")</f>
        <v>80.727272727272734</v>
      </c>
      <c r="AH103" s="152">
        <f>IFERROR(AG103-VLOOKUP(U103,'SFFL Main Page'!$B$4:$L$20,10,FALSE),"")</f>
        <v>4.1668331668331717</v>
      </c>
      <c r="AI103" s="153">
        <f>IFERROR(COUNTIFS(managers,'Owner View'!U103,opponent,'Owner View'!T103,outcome,"L"),"")</f>
        <v>11</v>
      </c>
      <c r="AJ103" s="151">
        <f t="shared" si="26"/>
        <v>88.0625</v>
      </c>
      <c r="AK103" s="169">
        <f>IFERROR(AJ103-VLOOKUP(U103,'SFFL Main Page'!$B$4:$L$20,8,FALSE),"")</f>
        <v>-1.9489942528735611</v>
      </c>
      <c r="AL103" s="152">
        <f t="shared" si="27"/>
        <v>-2.7033045977011483</v>
      </c>
    </row>
    <row r="104" spans="19:38" x14ac:dyDescent="0.3">
      <c r="S104" s="159">
        <v>99</v>
      </c>
      <c r="T104" s="118" t="s">
        <v>43</v>
      </c>
      <c r="U104" s="172" t="s">
        <v>27</v>
      </c>
      <c r="V104" s="151">
        <f>IFERROR(AVERAGEIFS(points,managers,'Owner View'!T104,opponent,'Owner View'!U104,outcome,"W"),"")</f>
        <v>88.5</v>
      </c>
      <c r="W104" s="152">
        <f>IFERROR(V104-VLOOKUP(T104,'SFFL Main Page'!$B$4:$L$20,9,FALSE),"")</f>
        <v>-12.327160493827165</v>
      </c>
      <c r="X104" s="153">
        <f>IFERROR(COUNTIFS(managers,'Owner View'!T104,opponent,'Owner View'!U104,outcome,"W"),"")</f>
        <v>6</v>
      </c>
      <c r="Y104" s="151">
        <f>IFERROR(AVERAGEIFS(points,managers,'Owner View'!T104,opponent,'Owner View'!U104,outcome,"L"),"")</f>
        <v>76.2</v>
      </c>
      <c r="Z104" s="152">
        <f>IFERROR(Y104-VLOOKUP(T104,'SFFL Main Page'!$B$4:$L$20,10,FALSE),"")</f>
        <v>0.83043478260870529</v>
      </c>
      <c r="AA104" s="153">
        <f>IFERROR(COUNTIFS(managers,'Owner View'!T104,opponent,'Owner View'!U104,outcome,"L"),"")</f>
        <v>5</v>
      </c>
      <c r="AB104" s="166">
        <f t="shared" si="25"/>
        <v>82.909090909090907</v>
      </c>
      <c r="AC104" s="152">
        <f>IFERROR(AB104-VLOOKUP(T104,'SFFL Main Page'!$B$4:$L$20,8,FALSE),"")</f>
        <v>-4.3322884012539191</v>
      </c>
      <c r="AD104" s="151">
        <f>IFERROR(AVERAGEIFS(points,managers,'Owner View'!U104,opponent,'Owner View'!T104,outcome,"W"),"")</f>
        <v>92</v>
      </c>
      <c r="AE104" s="152">
        <f>IFERROR(AD104-VLOOKUP(U104,'SFFL Main Page'!$B$4:$L$20,9,FALSE),"")</f>
        <v>-3.4893617021276526</v>
      </c>
      <c r="AF104" s="153">
        <f>IFERROR(COUNTIFS(managers,'Owner View'!U104,opponent,'Owner View'!T104,outcome,"W"),"")</f>
        <v>5</v>
      </c>
      <c r="AG104" s="151">
        <f>IFERROR(AVERAGEIFS(points,managers,'Owner View'!U104,opponent,'Owner View'!T104,outcome,"L"),"")</f>
        <v>58.666666666666664</v>
      </c>
      <c r="AH104" s="152">
        <f>IFERROR(AG104-VLOOKUP(U104,'SFFL Main Page'!$B$4:$L$20,10,FALSE),"")</f>
        <v>-11.298245614035089</v>
      </c>
      <c r="AI104" s="153">
        <f>IFERROR(COUNTIFS(managers,'Owner View'!U104,opponent,'Owner View'!T104,outcome,"L"),"")</f>
        <v>6</v>
      </c>
      <c r="AJ104" s="151">
        <f t="shared" si="26"/>
        <v>73.818181818181813</v>
      </c>
      <c r="AK104" s="169">
        <f>IFERROR(AJ104-VLOOKUP(U104,'SFFL Main Page'!$B$4:$L$20,8,FALSE),"")</f>
        <v>-7.681818181818187</v>
      </c>
      <c r="AL104" s="152">
        <f t="shared" si="27"/>
        <v>3.3495297805642679</v>
      </c>
    </row>
    <row r="105" spans="19:38" x14ac:dyDescent="0.3">
      <c r="S105" s="159">
        <v>100</v>
      </c>
      <c r="T105" s="118" t="s">
        <v>43</v>
      </c>
      <c r="U105" s="172" t="s">
        <v>227</v>
      </c>
      <c r="V105" s="151">
        <f>IFERROR(AVERAGEIFS(points,managers,'Owner View'!T105,opponent,'Owner View'!U105,outcome,"W"),"")</f>
        <v>94</v>
      </c>
      <c r="W105" s="152">
        <f>IFERROR(V105-VLOOKUP(T105,'SFFL Main Page'!$B$4:$L$20,9,FALSE),"")</f>
        <v>-6.8271604938271651</v>
      </c>
      <c r="X105" s="153">
        <f>IFERROR(COUNTIFS(managers,'Owner View'!T105,opponent,'Owner View'!U105,outcome,"W"),"")</f>
        <v>3</v>
      </c>
      <c r="Y105" s="151">
        <f>IFERROR(AVERAGEIFS(points,managers,'Owner View'!T105,opponent,'Owner View'!U105,outcome,"L"),"")</f>
        <v>81.333333333333329</v>
      </c>
      <c r="Z105" s="152">
        <f>IFERROR(Y105-VLOOKUP(T105,'SFFL Main Page'!$B$4:$L$20,10,FALSE),"")</f>
        <v>5.963768115942031</v>
      </c>
      <c r="AA105" s="153">
        <f>IFERROR(COUNTIFS(managers,'Owner View'!T105,opponent,'Owner View'!U105,outcome,"L"),"")</f>
        <v>3</v>
      </c>
      <c r="AB105" s="166">
        <f t="shared" si="25"/>
        <v>87.666666666666671</v>
      </c>
      <c r="AC105" s="152">
        <f>IFERROR(AB105-VLOOKUP(T105,'SFFL Main Page'!$B$4:$L$20,8,FALSE),"")</f>
        <v>0.42528735632184578</v>
      </c>
      <c r="AD105" s="151">
        <f>IFERROR(AVERAGEIFS(points,managers,'Owner View'!U105,opponent,'Owner View'!T105,outcome,"W"),"")</f>
        <v>101.66666666666667</v>
      </c>
      <c r="AE105" s="152">
        <f>IFERROR(AD105-VLOOKUP(U105,'SFFL Main Page'!$B$4:$L$20,9,FALSE),"")</f>
        <v>-7.0229885057471222</v>
      </c>
      <c r="AF105" s="153">
        <f>IFERROR(COUNTIFS(managers,'Owner View'!U105,opponent,'Owner View'!T105,outcome,"W"),"")</f>
        <v>3</v>
      </c>
      <c r="AG105" s="151">
        <f>IFERROR(AVERAGEIFS(points,managers,'Owner View'!U105,opponent,'Owner View'!T105,outcome,"L"),"")</f>
        <v>75</v>
      </c>
      <c r="AH105" s="152">
        <f>IFERROR(AG105-VLOOKUP(U105,'SFFL Main Page'!$B$4:$L$20,10,FALSE),"")</f>
        <v>-6.58536585365853</v>
      </c>
      <c r="AI105" s="153">
        <f>IFERROR(COUNTIFS(managers,'Owner View'!U105,opponent,'Owner View'!T105,outcome,"L"),"")</f>
        <v>3</v>
      </c>
      <c r="AJ105" s="151">
        <f t="shared" si="26"/>
        <v>88.333333333333329</v>
      </c>
      <c r="AK105" s="169">
        <f>IFERROR(AJ105-VLOOKUP(U105,'SFFL Main Page'!$B$4:$L$20,8,FALSE),"")</f>
        <v>-4.4809523809523881</v>
      </c>
      <c r="AL105" s="152">
        <f t="shared" si="27"/>
        <v>4.9062397372742339</v>
      </c>
    </row>
    <row r="106" spans="19:38" x14ac:dyDescent="0.3">
      <c r="S106" s="159">
        <v>101</v>
      </c>
      <c r="T106" s="118" t="s">
        <v>43</v>
      </c>
      <c r="U106" s="172" t="s">
        <v>25</v>
      </c>
      <c r="V106" s="151">
        <f>IFERROR(AVERAGEIFS(points,managers,'Owner View'!T106,opponent,'Owner View'!U106,outcome,"W"),"")</f>
        <v>108.625</v>
      </c>
      <c r="W106" s="152">
        <f>IFERROR(V106-VLOOKUP(T106,'SFFL Main Page'!$B$4:$L$20,9,FALSE),"")</f>
        <v>7.7978395061728349</v>
      </c>
      <c r="X106" s="153">
        <f>IFERROR(COUNTIFS(managers,'Owner View'!T106,opponent,'Owner View'!U106,outcome,"W"),"")</f>
        <v>8</v>
      </c>
      <c r="Y106" s="151">
        <f>IFERROR(AVERAGEIFS(points,managers,'Owner View'!T106,opponent,'Owner View'!U106,outcome,"L"),"")</f>
        <v>72.125</v>
      </c>
      <c r="Z106" s="152">
        <f>IFERROR(Y106-VLOOKUP(T106,'SFFL Main Page'!$B$4:$L$20,10,FALSE),"")</f>
        <v>-3.2445652173912976</v>
      </c>
      <c r="AA106" s="153">
        <f>IFERROR(COUNTIFS(managers,'Owner View'!T106,opponent,'Owner View'!U106,outcome,"L"),"")</f>
        <v>8</v>
      </c>
      <c r="AB106" s="166">
        <f t="shared" si="25"/>
        <v>90.375</v>
      </c>
      <c r="AC106" s="152">
        <f>IFERROR(AB106-VLOOKUP(T106,'SFFL Main Page'!$B$4:$L$20,8,FALSE),"")</f>
        <v>3.1336206896551744</v>
      </c>
      <c r="AD106" s="151">
        <f>IFERROR(AVERAGEIFS(points,managers,'Owner View'!U106,opponent,'Owner View'!T106,outcome,"W"),"")</f>
        <v>97.875</v>
      </c>
      <c r="AE106" s="152">
        <f>IFERROR(AD106-VLOOKUP(U106,'SFFL Main Page'!$B$4:$L$20,9,FALSE),"")</f>
        <v>-3.8951149425287355</v>
      </c>
      <c r="AF106" s="153">
        <f>IFERROR(COUNTIFS(managers,'Owner View'!U106,opponent,'Owner View'!T106,outcome,"W"),"")</f>
        <v>8</v>
      </c>
      <c r="AG106" s="151">
        <f>IFERROR(AVERAGEIFS(points,managers,'Owner View'!U106,opponent,'Owner View'!T106,outcome,"L"),"")</f>
        <v>90</v>
      </c>
      <c r="AH106" s="152">
        <f>IFERROR(AG106-VLOOKUP(U106,'SFFL Main Page'!$B$4:$L$20,10,FALSE),"")</f>
        <v>12.05952380952381</v>
      </c>
      <c r="AI106" s="153">
        <f>IFERROR(COUNTIFS(managers,'Owner View'!U106,opponent,'Owner View'!T106,outcome,"L"),"")</f>
        <v>8</v>
      </c>
      <c r="AJ106" s="151">
        <f t="shared" si="26"/>
        <v>93.9375</v>
      </c>
      <c r="AK106" s="169">
        <f>IFERROR(AJ106-VLOOKUP(U106,'SFFL Main Page'!$B$4:$L$20,8,FALSE),"")</f>
        <v>3.9489942528735611</v>
      </c>
      <c r="AL106" s="152">
        <f t="shared" si="27"/>
        <v>-0.81537356321838672</v>
      </c>
    </row>
    <row r="107" spans="19:38" x14ac:dyDescent="0.3">
      <c r="S107" s="159">
        <v>102</v>
      </c>
      <c r="T107" s="118" t="s">
        <v>43</v>
      </c>
      <c r="U107" s="172" t="s">
        <v>47</v>
      </c>
      <c r="V107" s="151">
        <f>IFERROR(AVERAGEIFS(points,managers,'Owner View'!T107,opponent,'Owner View'!U107,outcome,"W"),"")</f>
        <v>85.75</v>
      </c>
      <c r="W107" s="152">
        <f>IFERROR(V107-VLOOKUP(T107,'SFFL Main Page'!$B$4:$L$20,9,FALSE),"")</f>
        <v>-15.077160493827165</v>
      </c>
      <c r="X107" s="153">
        <f>IFERROR(COUNTIFS(managers,'Owner View'!T107,opponent,'Owner View'!U107,outcome,"W"),"")</f>
        <v>4</v>
      </c>
      <c r="Y107" s="151">
        <f>IFERROR(AVERAGEIFS(points,managers,'Owner View'!T107,opponent,'Owner View'!U107,outcome,"L"),"")</f>
        <v>82.8</v>
      </c>
      <c r="Z107" s="152">
        <f>IFERROR(Y107-VLOOKUP(T107,'SFFL Main Page'!$B$4:$L$20,10,FALSE),"")</f>
        <v>7.4304347826086996</v>
      </c>
      <c r="AA107" s="153">
        <f>IFERROR(COUNTIFS(managers,'Owner View'!T107,opponent,'Owner View'!U107,outcome,"L"),"")</f>
        <v>10</v>
      </c>
      <c r="AB107" s="166">
        <f t="shared" si="25"/>
        <v>83.642857142857139</v>
      </c>
      <c r="AC107" s="152">
        <f>IFERROR(AB107-VLOOKUP(T107,'SFFL Main Page'!$B$4:$L$20,8,FALSE),"")</f>
        <v>-3.5985221674876868</v>
      </c>
      <c r="AD107" s="151">
        <f>IFERROR(AVERAGEIFS(points,managers,'Owner View'!U107,opponent,'Owner View'!T107,outcome,"W"),"")</f>
        <v>110.5</v>
      </c>
      <c r="AE107" s="152">
        <f>IFERROR(AD107-VLOOKUP(U107,'SFFL Main Page'!$B$4:$L$20,9,FALSE),"")</f>
        <v>5.1421052631579016</v>
      </c>
      <c r="AF107" s="153">
        <f>IFERROR(COUNTIFS(managers,'Owner View'!U107,opponent,'Owner View'!T107,outcome,"W"),"")</f>
        <v>10</v>
      </c>
      <c r="AG107" s="151">
        <f>IFERROR(AVERAGEIFS(points,managers,'Owner View'!U107,opponent,'Owner View'!T107,outcome,"L"),"")</f>
        <v>69</v>
      </c>
      <c r="AH107" s="152">
        <f>IFERROR(AG107-VLOOKUP(U107,'SFFL Main Page'!$B$4:$L$20,10,FALSE),"")</f>
        <v>-14.57692307692308</v>
      </c>
      <c r="AI107" s="153">
        <f>IFERROR(COUNTIFS(managers,'Owner View'!U107,opponent,'Owner View'!T107,outcome,"L"),"")</f>
        <v>4</v>
      </c>
      <c r="AJ107" s="151">
        <f t="shared" si="26"/>
        <v>98.642857142857139</v>
      </c>
      <c r="AK107" s="169">
        <f>IFERROR(AJ107-VLOOKUP(U107,'SFFL Main Page'!$B$4:$L$20,8,FALSE),"")</f>
        <v>1.0820463320463318</v>
      </c>
      <c r="AL107" s="152">
        <f t="shared" si="27"/>
        <v>-4.6805684995340187</v>
      </c>
    </row>
    <row r="108" spans="19:38" x14ac:dyDescent="0.3">
      <c r="S108" s="159">
        <v>103</v>
      </c>
      <c r="T108" s="118" t="s">
        <v>43</v>
      </c>
      <c r="U108" s="172" t="s">
        <v>26</v>
      </c>
      <c r="V108" s="151">
        <f>IFERROR(AVERAGEIFS(points,managers,'Owner View'!T108,opponent,'Owner View'!U108,outcome,"W"),"")</f>
        <v>91.666666666666671</v>
      </c>
      <c r="W108" s="152">
        <f>IFERROR(V108-VLOOKUP(T108,'SFFL Main Page'!$B$4:$L$20,9,FALSE),"")</f>
        <v>-9.1604938271604937</v>
      </c>
      <c r="X108" s="153">
        <f>IFERROR(COUNTIFS(managers,'Owner View'!T108,opponent,'Owner View'!U108,outcome,"W"),"")</f>
        <v>3</v>
      </c>
      <c r="Y108" s="151">
        <f>IFERROR(AVERAGEIFS(points,managers,'Owner View'!T108,opponent,'Owner View'!U108,outcome,"L"),"")</f>
        <v>79</v>
      </c>
      <c r="Z108" s="152">
        <f>IFERROR(Y108-VLOOKUP(T108,'SFFL Main Page'!$B$4:$L$20,10,FALSE),"")</f>
        <v>3.6304347826087024</v>
      </c>
      <c r="AA108" s="153">
        <f>IFERROR(COUNTIFS(managers,'Owner View'!T108,opponent,'Owner View'!U108,outcome,"L"),"")</f>
        <v>11</v>
      </c>
      <c r="AB108" s="166">
        <f t="shared" si="25"/>
        <v>81.714285714285708</v>
      </c>
      <c r="AC108" s="152">
        <f>IFERROR(AB108-VLOOKUP(T108,'SFFL Main Page'!$B$4:$L$20,8,FALSE),"")</f>
        <v>-5.5270935960591174</v>
      </c>
      <c r="AD108" s="151">
        <f>IFERROR(AVERAGEIFS(points,managers,'Owner View'!U108,opponent,'Owner View'!T108,outcome,"W"),"")</f>
        <v>99.818181818181813</v>
      </c>
      <c r="AE108" s="152">
        <f>IFERROR(AD108-VLOOKUP(U108,'SFFL Main Page'!$B$4:$L$20,9,FALSE),"")</f>
        <v>-3.7339015151515156</v>
      </c>
      <c r="AF108" s="153">
        <f>IFERROR(COUNTIFS(managers,'Owner View'!U108,opponent,'Owner View'!T108,outcome,"W"),"")</f>
        <v>11</v>
      </c>
      <c r="AG108" s="151">
        <f>IFERROR(AVERAGEIFS(points,managers,'Owner View'!U108,opponent,'Owner View'!T108,outcome,"L"),"")</f>
        <v>77.666666666666671</v>
      </c>
      <c r="AH108" s="152">
        <f>IFERROR(AG108-VLOOKUP(U108,'SFFL Main Page'!$B$4:$L$20,10,FALSE),"")</f>
        <v>0.13419913419913598</v>
      </c>
      <c r="AI108" s="153">
        <f>IFERROR(COUNTIFS(managers,'Owner View'!U108,opponent,'Owner View'!T108,outcome,"L"),"")</f>
        <v>3</v>
      </c>
      <c r="AJ108" s="151">
        <f t="shared" si="26"/>
        <v>95.071428571428569</v>
      </c>
      <c r="AK108" s="169">
        <f>IFERROR(AJ108-VLOOKUP(U108,'SFFL Main Page'!$B$4:$L$20,8,FALSE),"")</f>
        <v>3.0886699507389181</v>
      </c>
      <c r="AL108" s="152">
        <f t="shared" si="27"/>
        <v>-8.6157635467980356</v>
      </c>
    </row>
    <row r="109" spans="19:38" x14ac:dyDescent="0.3">
      <c r="S109" s="159">
        <v>104</v>
      </c>
      <c r="T109" s="118" t="s">
        <v>43</v>
      </c>
      <c r="U109" s="172" t="s">
        <v>48</v>
      </c>
      <c r="V109" s="151">
        <f>IFERROR(AVERAGEIFS(points,managers,'Owner View'!T109,opponent,'Owner View'!U109,outcome,"W"),"")</f>
        <v>102.8</v>
      </c>
      <c r="W109" s="152">
        <f>IFERROR(V109-VLOOKUP(T109,'SFFL Main Page'!$B$4:$L$20,9,FALSE),"")</f>
        <v>1.9728395061728321</v>
      </c>
      <c r="X109" s="153">
        <f>IFERROR(COUNTIFS(managers,'Owner View'!T109,opponent,'Owner View'!U109,outcome,"W"),"")</f>
        <v>5</v>
      </c>
      <c r="Y109" s="151">
        <f>IFERROR(AVERAGEIFS(points,managers,'Owner View'!T109,opponent,'Owner View'!U109,outcome,"L"),"")</f>
        <v>76.333333333333329</v>
      </c>
      <c r="Z109" s="152">
        <f>IFERROR(Y109-VLOOKUP(T109,'SFFL Main Page'!$B$4:$L$20,10,FALSE),"")</f>
        <v>0.96376811594203105</v>
      </c>
      <c r="AA109" s="153">
        <f>IFERROR(COUNTIFS(managers,'Owner View'!T109,opponent,'Owner View'!U109,outcome,"L"),"")</f>
        <v>6</v>
      </c>
      <c r="AB109" s="166">
        <f t="shared" si="25"/>
        <v>88.36363636363636</v>
      </c>
      <c r="AC109" s="152">
        <f>IFERROR(AB109-VLOOKUP(T109,'SFFL Main Page'!$B$4:$L$20,8,FALSE),"")</f>
        <v>1.1222570532915341</v>
      </c>
      <c r="AD109" s="151">
        <f>IFERROR(AVERAGEIFS(points,managers,'Owner View'!U109,opponent,'Owner View'!T109,outcome,"W"),"")</f>
        <v>99</v>
      </c>
      <c r="AE109" s="152">
        <f>IFERROR(AD109-VLOOKUP(U109,'SFFL Main Page'!$B$4:$L$20,9,FALSE),"")</f>
        <v>-9.7451219512195166</v>
      </c>
      <c r="AF109" s="153">
        <f>IFERROR(COUNTIFS(managers,'Owner View'!U109,opponent,'Owner View'!T109,outcome,"W"),"")</f>
        <v>6</v>
      </c>
      <c r="AG109" s="151">
        <f>IFERROR(AVERAGEIFS(points,managers,'Owner View'!U109,opponent,'Owner View'!T109,outcome,"L"),"")</f>
        <v>87.2</v>
      </c>
      <c r="AH109" s="152">
        <f>IFERROR(AG109-VLOOKUP(U109,'SFFL Main Page'!$B$4:$L$20,10,FALSE),"")</f>
        <v>2.4424242424242522</v>
      </c>
      <c r="AI109" s="153">
        <f>IFERROR(COUNTIFS(managers,'Owner View'!U109,opponent,'Owner View'!T109,outcome,"L"),"")</f>
        <v>5</v>
      </c>
      <c r="AJ109" s="151">
        <f t="shared" si="26"/>
        <v>93.63636363636364</v>
      </c>
      <c r="AK109" s="169">
        <f>IFERROR(AJ109-VLOOKUP(U109,'SFFL Main Page'!$B$4:$L$20,8,FALSE),"")</f>
        <v>-4.411609336609331</v>
      </c>
      <c r="AL109" s="152">
        <f t="shared" si="27"/>
        <v>5.5338663899008651</v>
      </c>
    </row>
    <row r="110" spans="19:38" x14ac:dyDescent="0.3">
      <c r="S110" s="159">
        <v>105</v>
      </c>
      <c r="T110" s="118" t="s">
        <v>43</v>
      </c>
      <c r="U110" s="172" t="s">
        <v>29</v>
      </c>
      <c r="V110" s="151">
        <f>IFERROR(AVERAGEIFS(points,managers,'Owner View'!T110,opponent,'Owner View'!U110,outcome,"W"),"")</f>
        <v>88.666666666666671</v>
      </c>
      <c r="W110" s="152">
        <f>IFERROR(V110-VLOOKUP(T110,'SFFL Main Page'!$B$4:$L$20,9,FALSE),"")</f>
        <v>-12.160493827160494</v>
      </c>
      <c r="X110" s="153">
        <f>IFERROR(COUNTIFS(managers,'Owner View'!T110,opponent,'Owner View'!U110,outcome,"W"),"")</f>
        <v>6</v>
      </c>
      <c r="Y110" s="151">
        <f>IFERROR(AVERAGEIFS(points,managers,'Owner View'!T110,opponent,'Owner View'!U110,outcome,"L"),"")</f>
        <v>72.666666666666671</v>
      </c>
      <c r="Z110" s="152">
        <f>IFERROR(Y110-VLOOKUP(T110,'SFFL Main Page'!$B$4:$L$20,10,FALSE),"")</f>
        <v>-2.7028985507246261</v>
      </c>
      <c r="AA110" s="153">
        <f>IFERROR(COUNTIFS(managers,'Owner View'!T110,opponent,'Owner View'!U110,outcome,"L"),"")</f>
        <v>9</v>
      </c>
      <c r="AB110" s="166">
        <f t="shared" si="25"/>
        <v>79.066666666666663</v>
      </c>
      <c r="AC110" s="152">
        <f>IFERROR(AB110-VLOOKUP(T110,'SFFL Main Page'!$B$4:$L$20,8,FALSE),"")</f>
        <v>-8.1747126436781627</v>
      </c>
      <c r="AD110" s="151">
        <f>IFERROR(AVERAGEIFS(points,managers,'Owner View'!U110,opponent,'Owner View'!T110,outcome,"W"),"")</f>
        <v>102.44444444444444</v>
      </c>
      <c r="AE110" s="152">
        <f>IFERROR(AD110-VLOOKUP(U110,'SFFL Main Page'!$B$4:$L$20,9,FALSE),"")</f>
        <v>1.3738562091503184</v>
      </c>
      <c r="AF110" s="153">
        <f>IFERROR(COUNTIFS(managers,'Owner View'!U110,opponent,'Owner View'!T110,outcome,"W"),"")</f>
        <v>9</v>
      </c>
      <c r="AG110" s="151">
        <f>IFERROR(AVERAGEIFS(points,managers,'Owner View'!U110,opponent,'Owner View'!T110,outcome,"L"),"")</f>
        <v>72.833333333333329</v>
      </c>
      <c r="AH110" s="152">
        <f>IFERROR(AG110-VLOOKUP(U110,'SFFL Main Page'!$B$4:$L$20,10,FALSE),"")</f>
        <v>-5.2916666666666714</v>
      </c>
      <c r="AI110" s="153">
        <f>IFERROR(COUNTIFS(managers,'Owner View'!U110,opponent,'Owner View'!T110,outcome,"L"),"")</f>
        <v>6</v>
      </c>
      <c r="AJ110" s="151">
        <f t="shared" si="26"/>
        <v>90.6</v>
      </c>
      <c r="AK110" s="169">
        <f>IFERROR(AJ110-VLOOKUP(U110,'SFFL Main Page'!$B$4:$L$20,8,FALSE),"")</f>
        <v>1.1977011494252849</v>
      </c>
      <c r="AL110" s="152">
        <f t="shared" si="27"/>
        <v>-9.3724137931034477</v>
      </c>
    </row>
    <row r="111" spans="19:38" x14ac:dyDescent="0.3">
      <c r="S111" s="159">
        <v>106</v>
      </c>
      <c r="T111" s="118" t="s">
        <v>43</v>
      </c>
      <c r="U111" s="172" t="s">
        <v>473</v>
      </c>
      <c r="V111" s="151">
        <f>IFERROR(AVERAGEIFS(points,managers,'Owner View'!T111,opponent,'Owner View'!U111,outcome,"W"),"")</f>
        <v>95.5</v>
      </c>
      <c r="W111" s="152">
        <f>IFERROR(V111-VLOOKUP(T111,'SFFL Main Page'!$B$4:$L$20,9,FALSE),"")</f>
        <v>-5.3271604938271651</v>
      </c>
      <c r="X111" s="153">
        <f>IFERROR(COUNTIFS(managers,'Owner View'!T111,opponent,'Owner View'!U111,outcome,"W"),"")</f>
        <v>2</v>
      </c>
      <c r="Y111" s="151" t="str">
        <f>IFERROR(AVERAGEIFS(points,managers,'Owner View'!T111,opponent,'Owner View'!U111,outcome,"L"),"")</f>
        <v/>
      </c>
      <c r="Z111" s="152" t="str">
        <f>IFERROR(Y111-VLOOKUP(T111,'SFFL Main Page'!$B$4:$L$20,10,FALSE),"")</f>
        <v/>
      </c>
      <c r="AA111" s="153">
        <f>IFERROR(COUNTIFS(managers,'Owner View'!T111,opponent,'Owner View'!U111,outcome,"L"),"")</f>
        <v>0</v>
      </c>
      <c r="AB111" s="166" t="str">
        <f t="shared" si="25"/>
        <v/>
      </c>
      <c r="AC111" s="152" t="str">
        <f>IFERROR(AB111-VLOOKUP(T111,'SFFL Main Page'!$B$4:$L$20,8,FALSE),"")</f>
        <v/>
      </c>
      <c r="AD111" s="151" t="str">
        <f>IFERROR(AVERAGEIFS(points,managers,'Owner View'!U111,opponent,'Owner View'!T111,outcome,"W"),"")</f>
        <v/>
      </c>
      <c r="AE111" s="152" t="str">
        <f>IFERROR(AD111-VLOOKUP(U111,'SFFL Main Page'!$B$4:$L$20,9,FALSE),"")</f>
        <v/>
      </c>
      <c r="AF111" s="153">
        <f>IFERROR(COUNTIFS(managers,'Owner View'!U111,opponent,'Owner View'!T111,outcome,"W"),"")</f>
        <v>0</v>
      </c>
      <c r="AG111" s="151">
        <f>IFERROR(AVERAGEIFS(points,managers,'Owner View'!U111,opponent,'Owner View'!T111,outcome,"L"),"")</f>
        <v>90</v>
      </c>
      <c r="AH111" s="152">
        <f>IFERROR(AG111-VLOOKUP(U111,'SFFL Main Page'!$B$4:$L$20,10,FALSE),"")</f>
        <v>-3.1578947368421098</v>
      </c>
      <c r="AI111" s="153">
        <f>IFERROR(COUNTIFS(managers,'Owner View'!U111,opponent,'Owner View'!T111,outcome,"L"),"")</f>
        <v>2</v>
      </c>
      <c r="AJ111" s="151" t="str">
        <f t="shared" si="26"/>
        <v/>
      </c>
      <c r="AK111" s="169" t="str">
        <f>IFERROR(AJ111-VLOOKUP(U111,'SFFL Main Page'!$B$4:$L$20,8,FALSE),"")</f>
        <v/>
      </c>
      <c r="AL111" s="152" t="str">
        <f t="shared" si="27"/>
        <v/>
      </c>
    </row>
    <row r="112" spans="19:38" x14ac:dyDescent="0.3">
      <c r="S112" s="159">
        <v>107</v>
      </c>
      <c r="T112" s="118" t="s">
        <v>43</v>
      </c>
      <c r="U112" s="172" t="s">
        <v>472</v>
      </c>
      <c r="V112" s="151">
        <f>IFERROR(AVERAGEIFS(points,managers,'Owner View'!T112,opponent,'Owner View'!U112,outcome,"W"),"")</f>
        <v>123</v>
      </c>
      <c r="W112" s="152">
        <f>IFERROR(V112-VLOOKUP(T112,'SFFL Main Page'!$B$4:$L$20,9,FALSE),"")</f>
        <v>22.172839506172835</v>
      </c>
      <c r="X112" s="153">
        <f>IFERROR(COUNTIFS(managers,'Owner View'!T112,opponent,'Owner View'!U112,outcome,"W"),"")</f>
        <v>1</v>
      </c>
      <c r="Y112" s="151">
        <f>IFERROR(AVERAGEIFS(points,managers,'Owner View'!T112,opponent,'Owner View'!U112,outcome,"L"),"")</f>
        <v>97</v>
      </c>
      <c r="Z112" s="152">
        <f>IFERROR(Y112-VLOOKUP(T112,'SFFL Main Page'!$B$4:$L$20,10,FALSE),"")</f>
        <v>21.630434782608702</v>
      </c>
      <c r="AA112" s="153">
        <f>IFERROR(COUNTIFS(managers,'Owner View'!T112,opponent,'Owner View'!U112,outcome,"L"),"")</f>
        <v>1</v>
      </c>
      <c r="AB112" s="166">
        <f t="shared" si="25"/>
        <v>110</v>
      </c>
      <c r="AC112" s="152">
        <f>IFERROR(AB112-VLOOKUP(T112,'SFFL Main Page'!$B$4:$L$20,8,FALSE),"")</f>
        <v>22.758620689655174</v>
      </c>
      <c r="AD112" s="151">
        <f>IFERROR(AVERAGEIFS(points,managers,'Owner View'!U112,opponent,'Owner View'!T112,outcome,"W"),"")</f>
        <v>124</v>
      </c>
      <c r="AE112" s="152">
        <f>IFERROR(AD112-VLOOKUP(U112,'SFFL Main Page'!$B$4:$L$20,9,FALSE),"")</f>
        <v>4.2727272727272663</v>
      </c>
      <c r="AF112" s="153">
        <f>IFERROR(COUNTIFS(managers,'Owner View'!U112,opponent,'Owner View'!T112,outcome,"W"),"")</f>
        <v>1</v>
      </c>
      <c r="AG112" s="151">
        <f>IFERROR(AVERAGEIFS(points,managers,'Owner View'!U112,opponent,'Owner View'!T112,outcome,"L"),"")</f>
        <v>95</v>
      </c>
      <c r="AH112" s="152">
        <f>IFERROR(AG112-VLOOKUP(U112,'SFFL Main Page'!$B$4:$L$20,10,FALSE),"")</f>
        <v>-2.529411764705884</v>
      </c>
      <c r="AI112" s="153">
        <f>IFERROR(COUNTIFS(managers,'Owner View'!U112,opponent,'Owner View'!T112,outcome,"L"),"")</f>
        <v>1</v>
      </c>
      <c r="AJ112" s="151">
        <f t="shared" si="26"/>
        <v>109.5</v>
      </c>
      <c r="AK112" s="169">
        <f>IFERROR(AJ112-VLOOKUP(U112,'SFFL Main Page'!$B$4:$L$20,8,FALSE),"")</f>
        <v>3.25</v>
      </c>
      <c r="AL112" s="152">
        <f t="shared" si="27"/>
        <v>19.508620689655174</v>
      </c>
    </row>
    <row r="113" spans="19:38" x14ac:dyDescent="0.3">
      <c r="S113" s="159">
        <v>108</v>
      </c>
      <c r="T113" s="118" t="s">
        <v>43</v>
      </c>
      <c r="U113" s="172" t="s">
        <v>22</v>
      </c>
      <c r="V113" s="151">
        <f>IFERROR(AVERAGEIFS(points,managers,'Owner View'!T113,opponent,'Owner View'!U113,outcome,"W"),"")</f>
        <v>97.4</v>
      </c>
      <c r="W113" s="152">
        <f>IFERROR(V113-VLOOKUP(T113,'SFFL Main Page'!$B$4:$L$20,9,FALSE),"")</f>
        <v>-3.4271604938271594</v>
      </c>
      <c r="X113" s="153">
        <f>IFERROR(COUNTIFS(managers,'Owner View'!T113,opponent,'Owner View'!U113,outcome,"W"),"")</f>
        <v>10</v>
      </c>
      <c r="Y113" s="151">
        <f>IFERROR(AVERAGEIFS(points,managers,'Owner View'!T113,opponent,'Owner View'!U113,outcome,"L"),"")</f>
        <v>66.75</v>
      </c>
      <c r="Z113" s="152">
        <f>IFERROR(Y113-VLOOKUP(T113,'SFFL Main Page'!$B$4:$L$20,10,FALSE),"")</f>
        <v>-8.6195652173912976</v>
      </c>
      <c r="AA113" s="153">
        <f>IFERROR(COUNTIFS(managers,'Owner View'!T113,opponent,'Owner View'!U113,outcome,"L"),"")</f>
        <v>8</v>
      </c>
      <c r="AB113" s="166">
        <f t="shared" si="25"/>
        <v>83.777777777777771</v>
      </c>
      <c r="AC113" s="152">
        <f>IFERROR(AB113-VLOOKUP(T113,'SFFL Main Page'!$B$4:$L$20,8,FALSE),"")</f>
        <v>-3.4636015325670542</v>
      </c>
      <c r="AD113" s="151">
        <f>IFERROR(AVERAGEIFS(points,managers,'Owner View'!U113,opponent,'Owner View'!T113,outcome,"W"),"")</f>
        <v>99.125</v>
      </c>
      <c r="AE113" s="152">
        <f>IFERROR(AD113-VLOOKUP(U113,'SFFL Main Page'!$B$4:$L$20,9,FALSE),"")</f>
        <v>-3.2552816901408477</v>
      </c>
      <c r="AF113" s="153">
        <f>IFERROR(COUNTIFS(managers,'Owner View'!U113,opponent,'Owner View'!T113,outcome,"W"),"")</f>
        <v>8</v>
      </c>
      <c r="AG113" s="151">
        <f>IFERROR(AVERAGEIFS(points,managers,'Owner View'!U113,opponent,'Owner View'!T113,outcome,"L"),"")</f>
        <v>70.2</v>
      </c>
      <c r="AH113" s="152">
        <f>IFERROR(AG113-VLOOKUP(U113,'SFFL Main Page'!$B$4:$L$20,10,FALSE),"")</f>
        <v>-9.7509803921568619</v>
      </c>
      <c r="AI113" s="153">
        <f>IFERROR(COUNTIFS(managers,'Owner View'!U113,opponent,'Owner View'!T113,outcome,"L"),"")</f>
        <v>10</v>
      </c>
      <c r="AJ113" s="151">
        <f t="shared" si="26"/>
        <v>83.055555555555557</v>
      </c>
      <c r="AK113" s="169">
        <f>IFERROR(AJ113-VLOOKUP(U113,'SFFL Main Page'!$B$4:$L$20,8,FALSE),"")</f>
        <v>-6.1053639846743266</v>
      </c>
      <c r="AL113" s="152">
        <f t="shared" si="27"/>
        <v>2.6417624521072725</v>
      </c>
    </row>
    <row r="114" spans="19:38" x14ac:dyDescent="0.3">
      <c r="S114" s="159">
        <v>109</v>
      </c>
      <c r="T114" s="118" t="s">
        <v>43</v>
      </c>
      <c r="U114" s="172" t="s">
        <v>30</v>
      </c>
      <c r="V114" s="151">
        <f>IFERROR(AVERAGEIFS(points,managers,'Owner View'!T114,opponent,'Owner View'!U114,outcome,"W"),"")</f>
        <v>108.3</v>
      </c>
      <c r="W114" s="152">
        <f>IFERROR(V114-VLOOKUP(T114,'SFFL Main Page'!$B$4:$L$20,9,FALSE),"")</f>
        <v>7.4728395061728321</v>
      </c>
      <c r="X114" s="153">
        <f>IFERROR(COUNTIFS(managers,'Owner View'!T114,opponent,'Owner View'!U114,outcome,"W"),"")</f>
        <v>10</v>
      </c>
      <c r="Y114" s="151">
        <f>IFERROR(AVERAGEIFS(points,managers,'Owner View'!T114,opponent,'Owner View'!U114,outcome,"L"),"")</f>
        <v>76</v>
      </c>
      <c r="Z114" s="152">
        <f>IFERROR(Y114-VLOOKUP(T114,'SFFL Main Page'!$B$4:$L$20,10,FALSE),"")</f>
        <v>0.63043478260870245</v>
      </c>
      <c r="AA114" s="153">
        <f>IFERROR(COUNTIFS(managers,'Owner View'!T114,opponent,'Owner View'!U114,outcome,"L"),"")</f>
        <v>6</v>
      </c>
      <c r="AB114" s="166">
        <f t="shared" si="25"/>
        <v>96.1875</v>
      </c>
      <c r="AC114" s="152">
        <f>IFERROR(AB114-VLOOKUP(T114,'SFFL Main Page'!$B$4:$L$20,8,FALSE),"")</f>
        <v>8.9461206896551744</v>
      </c>
      <c r="AD114" s="151">
        <f>IFERROR(AVERAGEIFS(points,managers,'Owner View'!U114,opponent,'Owner View'!T114,outcome,"W"),"")</f>
        <v>101.66666666666667</v>
      </c>
      <c r="AE114" s="152">
        <f>IFERROR(AD114-VLOOKUP(U114,'SFFL Main Page'!$B$4:$L$20,9,FALSE),"")</f>
        <v>-1.2333333333333343</v>
      </c>
      <c r="AF114" s="153">
        <f>IFERROR(COUNTIFS(managers,'Owner View'!U114,opponent,'Owner View'!T114,outcome,"W"),"")</f>
        <v>6</v>
      </c>
      <c r="AG114" s="151">
        <f>IFERROR(AVERAGEIFS(points,managers,'Owner View'!U114,opponent,'Owner View'!T114,outcome,"L"),"")</f>
        <v>87.7</v>
      </c>
      <c r="AH114" s="152">
        <f>IFERROR(AG114-VLOOKUP(U114,'SFFL Main Page'!$B$4:$L$20,10,FALSE),"")</f>
        <v>5.7645161290322591</v>
      </c>
      <c r="AI114" s="153">
        <f>IFERROR(COUNTIFS(managers,'Owner View'!U114,opponent,'Owner View'!T114,outcome,"L"),"")</f>
        <v>10</v>
      </c>
      <c r="AJ114" s="151">
        <f t="shared" si="26"/>
        <v>92.9375</v>
      </c>
      <c r="AK114" s="169">
        <f>IFERROR(AJ114-VLOOKUP(U114,'SFFL Main Page'!$B$4:$L$20,8,FALSE),"")</f>
        <v>1.3685344827586192</v>
      </c>
      <c r="AL114" s="152">
        <f t="shared" si="27"/>
        <v>7.5775862068965552</v>
      </c>
    </row>
    <row r="115" spans="19:38" x14ac:dyDescent="0.3">
      <c r="S115" s="159">
        <v>110</v>
      </c>
      <c r="T115" s="118" t="s">
        <v>43</v>
      </c>
      <c r="U115" s="172" t="s">
        <v>23</v>
      </c>
      <c r="V115" s="151">
        <f>IFERROR(AVERAGEIFS(points,managers,'Owner View'!T115,opponent,'Owner View'!U115,outcome,"W"),"")</f>
        <v>106.75</v>
      </c>
      <c r="W115" s="152">
        <f>IFERROR(V115-VLOOKUP(T115,'SFFL Main Page'!$B$4:$L$20,9,FALSE),"")</f>
        <v>5.9228395061728349</v>
      </c>
      <c r="X115" s="153">
        <f>IFERROR(COUNTIFS(managers,'Owner View'!T115,opponent,'Owner View'!U115,outcome,"W"),"")</f>
        <v>4</v>
      </c>
      <c r="Y115" s="151">
        <f>IFERROR(AVERAGEIFS(points,managers,'Owner View'!T115,opponent,'Owner View'!U115,outcome,"L"),"")</f>
        <v>72.2</v>
      </c>
      <c r="Z115" s="152">
        <f>IFERROR(Y115-VLOOKUP(T115,'SFFL Main Page'!$B$4:$L$20,10,FALSE),"")</f>
        <v>-3.1695652173912947</v>
      </c>
      <c r="AA115" s="153">
        <f>IFERROR(COUNTIFS(managers,'Owner View'!T115,opponent,'Owner View'!U115,outcome,"L"),"")</f>
        <v>10</v>
      </c>
      <c r="AB115" s="166">
        <f t="shared" si="25"/>
        <v>82.071428571428569</v>
      </c>
      <c r="AC115" s="152">
        <f>IFERROR(AB115-VLOOKUP(T115,'SFFL Main Page'!$B$4:$L$20,8,FALSE),"")</f>
        <v>-5.1699507389162562</v>
      </c>
      <c r="AD115" s="151">
        <f>IFERROR(AVERAGEIFS(points,managers,'Owner View'!U115,opponent,'Owner View'!T115,outcome,"W"),"")</f>
        <v>90.2</v>
      </c>
      <c r="AE115" s="152">
        <f>IFERROR(AD115-VLOOKUP(U115,'SFFL Main Page'!$B$4:$L$20,9,FALSE),"")</f>
        <v>-12.725531914893608</v>
      </c>
      <c r="AF115" s="153">
        <f>IFERROR(COUNTIFS(managers,'Owner View'!U115,opponent,'Owner View'!T115,outcome,"W"),"")</f>
        <v>10</v>
      </c>
      <c r="AG115" s="151">
        <f>IFERROR(AVERAGEIFS(points,managers,'Owner View'!U115,opponent,'Owner View'!T115,outcome,"L"),"")</f>
        <v>81.75</v>
      </c>
      <c r="AH115" s="152">
        <f>IFERROR(AG115-VLOOKUP(U115,'SFFL Main Page'!$B$4:$L$20,10,FALSE),"")</f>
        <v>1.1170886075949369</v>
      </c>
      <c r="AI115" s="153">
        <f>IFERROR(COUNTIFS(managers,'Owner View'!U115,opponent,'Owner View'!T115,outcome,"L"),"")</f>
        <v>4</v>
      </c>
      <c r="AJ115" s="151">
        <f t="shared" si="26"/>
        <v>87.785714285714292</v>
      </c>
      <c r="AK115" s="169">
        <f>IFERROR(AJ115-VLOOKUP(U115,'SFFL Main Page'!$B$4:$L$20,8,FALSE),"")</f>
        <v>-5.0533661740558244</v>
      </c>
      <c r="AL115" s="152">
        <f t="shared" si="27"/>
        <v>-0.11658456486043178</v>
      </c>
    </row>
    <row r="116" spans="19:38" x14ac:dyDescent="0.3">
      <c r="S116" s="159">
        <v>111</v>
      </c>
      <c r="T116" s="118" t="s">
        <v>43</v>
      </c>
      <c r="U116" s="172" t="s">
        <v>28</v>
      </c>
      <c r="V116" s="151">
        <f>IFERROR(AVERAGEIFS(points,managers,'Owner View'!T116,opponent,'Owner View'!U116,outcome,"W"),"")</f>
        <v>108</v>
      </c>
      <c r="W116" s="152">
        <f>IFERROR(V116-VLOOKUP(T116,'SFFL Main Page'!$B$4:$L$20,9,FALSE),"")</f>
        <v>7.1728395061728349</v>
      </c>
      <c r="X116" s="153">
        <f>IFERROR(COUNTIFS(managers,'Owner View'!T116,opponent,'Owner View'!U116,outcome,"W"),"")</f>
        <v>14</v>
      </c>
      <c r="Y116" s="151">
        <f>IFERROR(AVERAGEIFS(points,managers,'Owner View'!T116,opponent,'Owner View'!U116,outcome,"L"),"")</f>
        <v>75.285714285714292</v>
      </c>
      <c r="Z116" s="152">
        <f>IFERROR(Y116-VLOOKUP(T116,'SFFL Main Page'!$B$4:$L$20,10,FALSE),"")</f>
        <v>-8.3850931677005747E-2</v>
      </c>
      <c r="AA116" s="153">
        <f>IFERROR(COUNTIFS(managers,'Owner View'!T116,opponent,'Owner View'!U116,outcome,"L"),"")</f>
        <v>7</v>
      </c>
      <c r="AB116" s="166">
        <f t="shared" si="25"/>
        <v>97.095238095238102</v>
      </c>
      <c r="AC116" s="152">
        <f>IFERROR(AB116-VLOOKUP(T116,'SFFL Main Page'!$B$4:$L$20,8,FALSE),"")</f>
        <v>9.8538587848932764</v>
      </c>
      <c r="AD116" s="151">
        <f>IFERROR(AVERAGEIFS(points,managers,'Owner View'!U116,opponent,'Owner View'!T116,outcome,"W"),"")</f>
        <v>109.85714285714286</v>
      </c>
      <c r="AE116" s="152">
        <f>IFERROR(AD116-VLOOKUP(U116,'SFFL Main Page'!$B$4:$L$20,9,FALSE),"")</f>
        <v>3.5238095238095326</v>
      </c>
      <c r="AF116" s="153">
        <f>IFERROR(COUNTIFS(managers,'Owner View'!U116,opponent,'Owner View'!T116,outcome,"W"),"")</f>
        <v>7</v>
      </c>
      <c r="AG116" s="151">
        <f>IFERROR(AVERAGEIFS(points,managers,'Owner View'!U116,opponent,'Owner View'!T116,outcome,"L"),"")</f>
        <v>83.714285714285708</v>
      </c>
      <c r="AH116" s="152">
        <f>IFERROR(AG116-VLOOKUP(U116,'SFFL Main Page'!$B$4:$L$20,10,FALSE),"")</f>
        <v>2.7996515679442382</v>
      </c>
      <c r="AI116" s="153">
        <f>IFERROR(COUNTIFS(managers,'Owner View'!U116,opponent,'Owner View'!T116,outcome,"L"),"")</f>
        <v>14</v>
      </c>
      <c r="AJ116" s="151">
        <f t="shared" si="26"/>
        <v>92.428571428571431</v>
      </c>
      <c r="AK116" s="169">
        <f>IFERROR(AJ116-VLOOKUP(U116,'SFFL Main Page'!$B$4:$L$20,8,FALSE),"")</f>
        <v>-1.7955665024630463</v>
      </c>
      <c r="AL116" s="152">
        <f t="shared" si="27"/>
        <v>11.649425287356323</v>
      </c>
    </row>
    <row r="117" spans="19:38" x14ac:dyDescent="0.3">
      <c r="S117" s="159">
        <v>112</v>
      </c>
      <c r="T117" s="118" t="s">
        <v>43</v>
      </c>
      <c r="U117" s="172" t="s">
        <v>24</v>
      </c>
      <c r="V117" s="151">
        <f>IFERROR(AVERAGEIFS(points,managers,'Owner View'!T117,opponent,'Owner View'!U117,outcome,"W"),"")</f>
        <v>102.2</v>
      </c>
      <c r="W117" s="152">
        <f>IFERROR(V117-VLOOKUP(T117,'SFFL Main Page'!$B$4:$L$20,9,FALSE),"")</f>
        <v>1.3728395061728378</v>
      </c>
      <c r="X117" s="153">
        <f>IFERROR(COUNTIFS(managers,'Owner View'!T117,opponent,'Owner View'!U117,outcome,"W"),"")</f>
        <v>5</v>
      </c>
      <c r="Y117" s="151">
        <f>IFERROR(AVERAGEIFS(points,managers,'Owner View'!T117,opponent,'Owner View'!U117,outcome,"L"),"")</f>
        <v>73.375</v>
      </c>
      <c r="Z117" s="152">
        <f>IFERROR(Y117-VLOOKUP(T117,'SFFL Main Page'!$B$4:$L$20,10,FALSE),"")</f>
        <v>-1.9945652173912976</v>
      </c>
      <c r="AA117" s="153">
        <f>IFERROR(COUNTIFS(managers,'Owner View'!T117,opponent,'Owner View'!U117,outcome,"L"),"")</f>
        <v>8</v>
      </c>
      <c r="AB117" s="166">
        <f t="shared" si="25"/>
        <v>84.461538461538467</v>
      </c>
      <c r="AC117" s="152">
        <f>IFERROR(AB117-VLOOKUP(T117,'SFFL Main Page'!$B$4:$L$20,8,FALSE),"")</f>
        <v>-2.7798408488063586</v>
      </c>
      <c r="AD117" s="151">
        <f>IFERROR(AVERAGEIFS(points,managers,'Owner View'!U117,opponent,'Owner View'!T117,outcome,"W"),"")</f>
        <v>117</v>
      </c>
      <c r="AE117" s="152">
        <f>IFERROR(AD117-VLOOKUP(U117,'SFFL Main Page'!$B$4:$L$20,9,FALSE),"")</f>
        <v>12.240963855421683</v>
      </c>
      <c r="AF117" s="153">
        <f>IFERROR(COUNTIFS(managers,'Owner View'!U117,opponent,'Owner View'!T117,outcome,"W"),"")</f>
        <v>8</v>
      </c>
      <c r="AG117" s="151">
        <f>IFERROR(AVERAGEIFS(points,managers,'Owner View'!U117,opponent,'Owner View'!T117,outcome,"L"),"")</f>
        <v>86.8</v>
      </c>
      <c r="AH117" s="152">
        <f>IFERROR(AG117-VLOOKUP(U117,'SFFL Main Page'!$B$4:$L$20,10,FALSE),"")</f>
        <v>10.239560439560435</v>
      </c>
      <c r="AI117" s="153">
        <f>IFERROR(COUNTIFS(managers,'Owner View'!U117,opponent,'Owner View'!T117,outcome,"L"),"")</f>
        <v>5</v>
      </c>
      <c r="AJ117" s="151">
        <f t="shared" si="26"/>
        <v>105.38461538461539</v>
      </c>
      <c r="AK117" s="169">
        <f>IFERROR(AJ117-VLOOKUP(U117,'SFFL Main Page'!$B$4:$L$20,8,FALSE),"")</f>
        <v>15.373121131741826</v>
      </c>
      <c r="AL117" s="152">
        <f t="shared" si="27"/>
        <v>-18.152961980548184</v>
      </c>
    </row>
    <row r="118" spans="19:38" x14ac:dyDescent="0.3">
      <c r="S118" s="159">
        <v>113</v>
      </c>
      <c r="T118" s="118" t="s">
        <v>473</v>
      </c>
      <c r="U118" s="172" t="s">
        <v>27</v>
      </c>
      <c r="V118" s="151" t="str">
        <f>IFERROR(AVERAGEIFS(points,managers,'Owner View'!T118,opponent,'Owner View'!U118,outcome,"W"),"")</f>
        <v/>
      </c>
      <c r="W118" s="152" t="str">
        <f>IFERROR(V118-VLOOKUP(T118,'SFFL Main Page'!$B$4:$L$20,9,FALSE),"")</f>
        <v/>
      </c>
      <c r="X118" s="153">
        <f>IFERROR(COUNTIFS(managers,'Owner View'!T118,opponent,'Owner View'!U118,outcome,"W"),"")</f>
        <v>0</v>
      </c>
      <c r="Y118" s="151" t="str">
        <f>IFERROR(AVERAGEIFS(points,managers,'Owner View'!T118,opponent,'Owner View'!U118,outcome,"L"),"")</f>
        <v/>
      </c>
      <c r="Z118" s="152" t="str">
        <f>IFERROR(Y118-VLOOKUP(T118,'SFFL Main Page'!$B$4:$L$20,10,FALSE),"")</f>
        <v/>
      </c>
      <c r="AA118" s="153">
        <f>IFERROR(COUNTIFS(managers,'Owner View'!T118,opponent,'Owner View'!U118,outcome,"L"),"")</f>
        <v>0</v>
      </c>
      <c r="AB118" s="166" t="str">
        <f t="shared" si="25"/>
        <v/>
      </c>
      <c r="AC118" s="152" t="str">
        <f>IFERROR(AB118-VLOOKUP(T118,'SFFL Main Page'!$B$4:$L$20,8,FALSE),"")</f>
        <v/>
      </c>
      <c r="AD118" s="151" t="str">
        <f>IFERROR(AVERAGEIFS(points,managers,'Owner View'!U118,opponent,'Owner View'!T118,outcome,"W"),"")</f>
        <v/>
      </c>
      <c r="AE118" s="152" t="str">
        <f>IFERROR(AD118-VLOOKUP(U118,'SFFL Main Page'!$B$4:$L$20,9,FALSE),"")</f>
        <v/>
      </c>
      <c r="AF118" s="153">
        <f>IFERROR(COUNTIFS(managers,'Owner View'!U118,opponent,'Owner View'!T118,outcome,"W"),"")</f>
        <v>0</v>
      </c>
      <c r="AG118" s="151" t="str">
        <f>IFERROR(AVERAGEIFS(points,managers,'Owner View'!U118,opponent,'Owner View'!T118,outcome,"L"),"")</f>
        <v/>
      </c>
      <c r="AH118" s="152" t="str">
        <f>IFERROR(AG118-VLOOKUP(U118,'SFFL Main Page'!$B$4:$L$20,10,FALSE),"")</f>
        <v/>
      </c>
      <c r="AI118" s="153">
        <f>IFERROR(COUNTIFS(managers,'Owner View'!U118,opponent,'Owner View'!T118,outcome,"L"),"")</f>
        <v>0</v>
      </c>
      <c r="AJ118" s="151" t="str">
        <f t="shared" si="26"/>
        <v/>
      </c>
      <c r="AK118" s="169" t="str">
        <f>IFERROR(AJ118-VLOOKUP(U118,'SFFL Main Page'!$B$4:$L$20,8,FALSE),"")</f>
        <v/>
      </c>
      <c r="AL118" s="152" t="str">
        <f t="shared" si="27"/>
        <v/>
      </c>
    </row>
    <row r="119" spans="19:38" x14ac:dyDescent="0.3">
      <c r="S119" s="159">
        <v>114</v>
      </c>
      <c r="T119" s="118" t="s">
        <v>473</v>
      </c>
      <c r="U119" s="172" t="s">
        <v>227</v>
      </c>
      <c r="V119" s="151" t="str">
        <f>IFERROR(AVERAGEIFS(points,managers,'Owner View'!T119,opponent,'Owner View'!U119,outcome,"W"),"")</f>
        <v/>
      </c>
      <c r="W119" s="152" t="str">
        <f>IFERROR(V119-VLOOKUP(T119,'SFFL Main Page'!$B$4:$L$20,9,FALSE),"")</f>
        <v/>
      </c>
      <c r="X119" s="153">
        <f>IFERROR(COUNTIFS(managers,'Owner View'!T119,opponent,'Owner View'!U119,outcome,"W"),"")</f>
        <v>0</v>
      </c>
      <c r="Y119" s="151">
        <f>IFERROR(AVERAGEIFS(points,managers,'Owner View'!T119,opponent,'Owner View'!U119,outcome,"L"),"")</f>
        <v>77.333333333333329</v>
      </c>
      <c r="Z119" s="152">
        <f>IFERROR(Y119-VLOOKUP(T119,'SFFL Main Page'!$B$4:$L$20,10,FALSE),"")</f>
        <v>-15.824561403508781</v>
      </c>
      <c r="AA119" s="153">
        <f>IFERROR(COUNTIFS(managers,'Owner View'!T119,opponent,'Owner View'!U119,outcome,"L"),"")</f>
        <v>3</v>
      </c>
      <c r="AB119" s="166" t="str">
        <f t="shared" si="25"/>
        <v/>
      </c>
      <c r="AC119" s="152" t="str">
        <f>IFERROR(AB119-VLOOKUP(T119,'SFFL Main Page'!$B$4:$L$20,8,FALSE),"")</f>
        <v/>
      </c>
      <c r="AD119" s="151">
        <f>IFERROR(AVERAGEIFS(points,managers,'Owner View'!U119,opponent,'Owner View'!T119,outcome,"W"),"")</f>
        <v>100.33333333333333</v>
      </c>
      <c r="AE119" s="152">
        <f>IFERROR(AD119-VLOOKUP(U119,'SFFL Main Page'!$B$4:$L$20,9,FALSE),"")</f>
        <v>-8.356321839080465</v>
      </c>
      <c r="AF119" s="153">
        <f>IFERROR(COUNTIFS(managers,'Owner View'!U119,opponent,'Owner View'!T119,outcome,"W"),"")</f>
        <v>3</v>
      </c>
      <c r="AG119" s="151" t="str">
        <f>IFERROR(AVERAGEIFS(points,managers,'Owner View'!U119,opponent,'Owner View'!T119,outcome,"L"),"")</f>
        <v/>
      </c>
      <c r="AH119" s="152" t="str">
        <f>IFERROR(AG119-VLOOKUP(U119,'SFFL Main Page'!$B$4:$L$20,10,FALSE),"")</f>
        <v/>
      </c>
      <c r="AI119" s="153">
        <f>IFERROR(COUNTIFS(managers,'Owner View'!U119,opponent,'Owner View'!T119,outcome,"L"),"")</f>
        <v>0</v>
      </c>
      <c r="AJ119" s="151" t="str">
        <f t="shared" si="26"/>
        <v/>
      </c>
      <c r="AK119" s="169" t="str">
        <f>IFERROR(AJ119-VLOOKUP(U119,'SFFL Main Page'!$B$4:$L$20,8,FALSE),"")</f>
        <v/>
      </c>
      <c r="AL119" s="152" t="str">
        <f t="shared" si="27"/>
        <v/>
      </c>
    </row>
    <row r="120" spans="19:38" x14ac:dyDescent="0.3">
      <c r="S120" s="159">
        <v>115</v>
      </c>
      <c r="T120" s="118" t="s">
        <v>473</v>
      </c>
      <c r="U120" s="172" t="s">
        <v>25</v>
      </c>
      <c r="V120" s="151">
        <f>IFERROR(AVERAGEIFS(points,managers,'Owner View'!T120,opponent,'Owner View'!U120,outcome,"W"),"")</f>
        <v>113.5</v>
      </c>
      <c r="W120" s="152">
        <f>IFERROR(V120-VLOOKUP(T120,'SFFL Main Page'!$B$4:$L$20,9,FALSE),"")</f>
        <v>-9.0555555555555571</v>
      </c>
      <c r="X120" s="153">
        <f>IFERROR(COUNTIFS(managers,'Owner View'!T120,opponent,'Owner View'!U120,outcome,"W"),"")</f>
        <v>2</v>
      </c>
      <c r="Y120" s="151" t="str">
        <f>IFERROR(AVERAGEIFS(points,managers,'Owner View'!T120,opponent,'Owner View'!U120,outcome,"L"),"")</f>
        <v/>
      </c>
      <c r="Z120" s="152" t="str">
        <f>IFERROR(Y120-VLOOKUP(T120,'SFFL Main Page'!$B$4:$L$20,10,FALSE),"")</f>
        <v/>
      </c>
      <c r="AA120" s="153">
        <f>IFERROR(COUNTIFS(managers,'Owner View'!T120,opponent,'Owner View'!U120,outcome,"L"),"")</f>
        <v>0</v>
      </c>
      <c r="AB120" s="166" t="str">
        <f t="shared" si="25"/>
        <v/>
      </c>
      <c r="AC120" s="152" t="str">
        <f>IFERROR(AB120-VLOOKUP(T120,'SFFL Main Page'!$B$4:$L$20,8,FALSE),"")</f>
        <v/>
      </c>
      <c r="AD120" s="151" t="str">
        <f>IFERROR(AVERAGEIFS(points,managers,'Owner View'!U120,opponent,'Owner View'!T120,outcome,"W"),"")</f>
        <v/>
      </c>
      <c r="AE120" s="152" t="str">
        <f>IFERROR(AD120-VLOOKUP(U120,'SFFL Main Page'!$B$4:$L$20,9,FALSE),"")</f>
        <v/>
      </c>
      <c r="AF120" s="153">
        <f>IFERROR(COUNTIFS(managers,'Owner View'!U120,opponent,'Owner View'!T120,outcome,"W"),"")</f>
        <v>0</v>
      </c>
      <c r="AG120" s="151">
        <f>IFERROR(AVERAGEIFS(points,managers,'Owner View'!U120,opponent,'Owner View'!T120,outcome,"L"),"")</f>
        <v>57.5</v>
      </c>
      <c r="AH120" s="152">
        <f>IFERROR(AG120-VLOOKUP(U120,'SFFL Main Page'!$B$4:$L$20,10,FALSE),"")</f>
        <v>-20.44047619047619</v>
      </c>
      <c r="AI120" s="153">
        <f>IFERROR(COUNTIFS(managers,'Owner View'!U120,opponent,'Owner View'!T120,outcome,"L"),"")</f>
        <v>2</v>
      </c>
      <c r="AJ120" s="151" t="str">
        <f t="shared" si="26"/>
        <v/>
      </c>
      <c r="AK120" s="169" t="str">
        <f>IFERROR(AJ120-VLOOKUP(U120,'SFFL Main Page'!$B$4:$L$20,8,FALSE),"")</f>
        <v/>
      </c>
      <c r="AL120" s="152" t="str">
        <f t="shared" si="27"/>
        <v/>
      </c>
    </row>
    <row r="121" spans="19:38" x14ac:dyDescent="0.3">
      <c r="S121" s="159">
        <v>116</v>
      </c>
      <c r="T121" s="118" t="s">
        <v>473</v>
      </c>
      <c r="U121" s="172" t="s">
        <v>47</v>
      </c>
      <c r="V121" s="151" t="str">
        <f>IFERROR(AVERAGEIFS(points,managers,'Owner View'!T121,opponent,'Owner View'!U121,outcome,"W"),"")</f>
        <v/>
      </c>
      <c r="W121" s="152" t="str">
        <f>IFERROR(V121-VLOOKUP(T121,'SFFL Main Page'!$B$4:$L$20,9,FALSE),"")</f>
        <v/>
      </c>
      <c r="X121" s="153">
        <f>IFERROR(COUNTIFS(managers,'Owner View'!T121,opponent,'Owner View'!U121,outcome,"W"),"")</f>
        <v>0</v>
      </c>
      <c r="Y121" s="151">
        <f>IFERROR(AVERAGEIFS(points,managers,'Owner View'!T121,opponent,'Owner View'!U121,outcome,"L"),"")</f>
        <v>86.5</v>
      </c>
      <c r="Z121" s="152">
        <f>IFERROR(Y121-VLOOKUP(T121,'SFFL Main Page'!$B$4:$L$20,10,FALSE),"")</f>
        <v>-6.6578947368421098</v>
      </c>
      <c r="AA121" s="153">
        <f>IFERROR(COUNTIFS(managers,'Owner View'!T121,opponent,'Owner View'!U121,outcome,"L"),"")</f>
        <v>2</v>
      </c>
      <c r="AB121" s="166" t="str">
        <f t="shared" si="25"/>
        <v/>
      </c>
      <c r="AC121" s="152" t="str">
        <f>IFERROR(AB121-VLOOKUP(T121,'SFFL Main Page'!$B$4:$L$20,8,FALSE),"")</f>
        <v/>
      </c>
      <c r="AD121" s="151">
        <f>IFERROR(AVERAGEIFS(points,managers,'Owner View'!U121,opponent,'Owner View'!T121,outcome,"W"),"")</f>
        <v>139.5</v>
      </c>
      <c r="AE121" s="152">
        <f>IFERROR(AD121-VLOOKUP(U121,'SFFL Main Page'!$B$4:$L$20,9,FALSE),"")</f>
        <v>34.142105263157902</v>
      </c>
      <c r="AF121" s="153">
        <f>IFERROR(COUNTIFS(managers,'Owner View'!U121,opponent,'Owner View'!T121,outcome,"W"),"")</f>
        <v>2</v>
      </c>
      <c r="AG121" s="151" t="str">
        <f>IFERROR(AVERAGEIFS(points,managers,'Owner View'!U121,opponent,'Owner View'!T121,outcome,"L"),"")</f>
        <v/>
      </c>
      <c r="AH121" s="152" t="str">
        <f>IFERROR(AG121-VLOOKUP(U121,'SFFL Main Page'!$B$4:$L$20,10,FALSE),"")</f>
        <v/>
      </c>
      <c r="AI121" s="153">
        <f>IFERROR(COUNTIFS(managers,'Owner View'!U121,opponent,'Owner View'!T121,outcome,"L"),"")</f>
        <v>0</v>
      </c>
      <c r="AJ121" s="151" t="str">
        <f t="shared" si="26"/>
        <v/>
      </c>
      <c r="AK121" s="169" t="str">
        <f>IFERROR(AJ121-VLOOKUP(U121,'SFFL Main Page'!$B$4:$L$20,8,FALSE),"")</f>
        <v/>
      </c>
      <c r="AL121" s="152" t="str">
        <f t="shared" si="27"/>
        <v/>
      </c>
    </row>
    <row r="122" spans="19:38" x14ac:dyDescent="0.3">
      <c r="S122" s="159">
        <v>117</v>
      </c>
      <c r="T122" s="118" t="s">
        <v>473</v>
      </c>
      <c r="U122" s="172" t="s">
        <v>26</v>
      </c>
      <c r="V122" s="151">
        <f>IFERROR(AVERAGEIFS(points,managers,'Owner View'!T122,opponent,'Owner View'!U122,outcome,"W"),"")</f>
        <v>131</v>
      </c>
      <c r="W122" s="152">
        <f>IFERROR(V122-VLOOKUP(T122,'SFFL Main Page'!$B$4:$L$20,9,FALSE),"")</f>
        <v>8.4444444444444429</v>
      </c>
      <c r="X122" s="153">
        <f>IFERROR(COUNTIFS(managers,'Owner View'!T122,opponent,'Owner View'!U122,outcome,"W"),"")</f>
        <v>1</v>
      </c>
      <c r="Y122" s="151">
        <f>IFERROR(AVERAGEIFS(points,managers,'Owner View'!T122,opponent,'Owner View'!U122,outcome,"L"),"")</f>
        <v>88</v>
      </c>
      <c r="Z122" s="152">
        <f>IFERROR(Y122-VLOOKUP(T122,'SFFL Main Page'!$B$4:$L$20,10,FALSE),"")</f>
        <v>-5.1578947368421098</v>
      </c>
      <c r="AA122" s="153">
        <f>IFERROR(COUNTIFS(managers,'Owner View'!T122,opponent,'Owner View'!U122,outcome,"L"),"")</f>
        <v>1</v>
      </c>
      <c r="AB122" s="166">
        <f t="shared" si="25"/>
        <v>109.5</v>
      </c>
      <c r="AC122" s="152">
        <f>IFERROR(AB122-VLOOKUP(T122,'SFFL Main Page'!$B$4:$L$20,8,FALSE),"")</f>
        <v>6.8928571428571388</v>
      </c>
      <c r="AD122" s="151">
        <f>IFERROR(AVERAGEIFS(points,managers,'Owner View'!U122,opponent,'Owner View'!T122,outcome,"W"),"")</f>
        <v>97</v>
      </c>
      <c r="AE122" s="152">
        <f>IFERROR(AD122-VLOOKUP(U122,'SFFL Main Page'!$B$4:$L$20,9,FALSE),"")</f>
        <v>-6.5520833333333286</v>
      </c>
      <c r="AF122" s="153">
        <f>IFERROR(COUNTIFS(managers,'Owner View'!U122,opponent,'Owner View'!T122,outcome,"W"),"")</f>
        <v>1</v>
      </c>
      <c r="AG122" s="151">
        <f>IFERROR(AVERAGEIFS(points,managers,'Owner View'!U122,opponent,'Owner View'!T122,outcome,"L"),"")</f>
        <v>106</v>
      </c>
      <c r="AH122" s="152">
        <f>IFERROR(AG122-VLOOKUP(U122,'SFFL Main Page'!$B$4:$L$20,10,FALSE),"")</f>
        <v>28.467532467532465</v>
      </c>
      <c r="AI122" s="153">
        <f>IFERROR(COUNTIFS(managers,'Owner View'!U122,opponent,'Owner View'!T122,outcome,"L"),"")</f>
        <v>1</v>
      </c>
      <c r="AJ122" s="151">
        <f t="shared" si="26"/>
        <v>101.5</v>
      </c>
      <c r="AK122" s="169">
        <f>IFERROR(AJ122-VLOOKUP(U122,'SFFL Main Page'!$B$4:$L$20,8,FALSE),"")</f>
        <v>9.5172413793103487</v>
      </c>
      <c r="AL122" s="152">
        <f t="shared" si="27"/>
        <v>-2.62438423645321</v>
      </c>
    </row>
    <row r="123" spans="19:38" x14ac:dyDescent="0.3">
      <c r="S123" s="159">
        <v>118</v>
      </c>
      <c r="T123" s="118" t="s">
        <v>473</v>
      </c>
      <c r="U123" s="172" t="s">
        <v>48</v>
      </c>
      <c r="V123" s="151">
        <f>IFERROR(AVERAGEIFS(points,managers,'Owner View'!T123,opponent,'Owner View'!U123,outcome,"W"),"")</f>
        <v>123</v>
      </c>
      <c r="W123" s="152">
        <f>IFERROR(V123-VLOOKUP(T123,'SFFL Main Page'!$B$4:$L$20,9,FALSE),"")</f>
        <v>0.44444444444444287</v>
      </c>
      <c r="X123" s="153">
        <f>IFERROR(COUNTIFS(managers,'Owner View'!T123,opponent,'Owner View'!U123,outcome,"W"),"")</f>
        <v>1</v>
      </c>
      <c r="Y123" s="151">
        <f>IFERROR(AVERAGEIFS(points,managers,'Owner View'!T123,opponent,'Owner View'!U123,outcome,"L"),"")</f>
        <v>114</v>
      </c>
      <c r="Z123" s="152">
        <f>IFERROR(Y123-VLOOKUP(T123,'SFFL Main Page'!$B$4:$L$20,10,FALSE),"")</f>
        <v>20.84210526315789</v>
      </c>
      <c r="AA123" s="153">
        <f>IFERROR(COUNTIFS(managers,'Owner View'!T123,opponent,'Owner View'!U123,outcome,"L"),"")</f>
        <v>1</v>
      </c>
      <c r="AB123" s="166">
        <f t="shared" si="25"/>
        <v>118.5</v>
      </c>
      <c r="AC123" s="152">
        <f>IFERROR(AB123-VLOOKUP(T123,'SFFL Main Page'!$B$4:$L$20,8,FALSE),"")</f>
        <v>15.892857142857139</v>
      </c>
      <c r="AD123" s="151">
        <f>IFERROR(AVERAGEIFS(points,managers,'Owner View'!U123,opponent,'Owner View'!T123,outcome,"W"),"")</f>
        <v>152</v>
      </c>
      <c r="AE123" s="152">
        <f>IFERROR(AD123-VLOOKUP(U123,'SFFL Main Page'!$B$4:$L$20,9,FALSE),"")</f>
        <v>43.254878048780483</v>
      </c>
      <c r="AF123" s="153">
        <f>IFERROR(COUNTIFS(managers,'Owner View'!U123,opponent,'Owner View'!T123,outcome,"W"),"")</f>
        <v>1</v>
      </c>
      <c r="AG123" s="151">
        <f>IFERROR(AVERAGEIFS(points,managers,'Owner View'!U123,opponent,'Owner View'!T123,outcome,"L"),"")</f>
        <v>99</v>
      </c>
      <c r="AH123" s="152">
        <f>IFERROR(AG123-VLOOKUP(U123,'SFFL Main Page'!$B$4:$L$20,10,FALSE),"")</f>
        <v>14.242424242424249</v>
      </c>
      <c r="AI123" s="153">
        <f>IFERROR(COUNTIFS(managers,'Owner View'!U123,opponent,'Owner View'!T123,outcome,"L"),"")</f>
        <v>1</v>
      </c>
      <c r="AJ123" s="151">
        <f t="shared" si="26"/>
        <v>125.5</v>
      </c>
      <c r="AK123" s="169">
        <f>IFERROR(AJ123-VLOOKUP(U123,'SFFL Main Page'!$B$4:$L$20,8,FALSE),"")</f>
        <v>27.452027027027029</v>
      </c>
      <c r="AL123" s="152">
        <f t="shared" si="27"/>
        <v>-11.55916988416989</v>
      </c>
    </row>
    <row r="124" spans="19:38" x14ac:dyDescent="0.3">
      <c r="S124" s="159">
        <v>119</v>
      </c>
      <c r="T124" s="118" t="s">
        <v>473</v>
      </c>
      <c r="U124" s="172" t="s">
        <v>29</v>
      </c>
      <c r="V124" s="151" t="str">
        <f>IFERROR(AVERAGEIFS(points,managers,'Owner View'!T124,opponent,'Owner View'!U124,outcome,"W"),"")</f>
        <v/>
      </c>
      <c r="W124" s="152" t="str">
        <f>IFERROR(V124-VLOOKUP(T124,'SFFL Main Page'!$B$4:$L$20,9,FALSE),"")</f>
        <v/>
      </c>
      <c r="X124" s="153">
        <f>IFERROR(COUNTIFS(managers,'Owner View'!T124,opponent,'Owner View'!U124,outcome,"W"),"")</f>
        <v>0</v>
      </c>
      <c r="Y124" s="151">
        <f>IFERROR(AVERAGEIFS(points,managers,'Owner View'!T124,opponent,'Owner View'!U124,outcome,"L"),"")</f>
        <v>83.5</v>
      </c>
      <c r="Z124" s="152">
        <f>IFERROR(Y124-VLOOKUP(T124,'SFFL Main Page'!$B$4:$L$20,10,FALSE),"")</f>
        <v>-9.6578947368421098</v>
      </c>
      <c r="AA124" s="153">
        <f>IFERROR(COUNTIFS(managers,'Owner View'!T124,opponent,'Owner View'!U124,outcome,"L"),"")</f>
        <v>2</v>
      </c>
      <c r="AB124" s="166" t="str">
        <f t="shared" si="25"/>
        <v/>
      </c>
      <c r="AC124" s="152" t="str">
        <f>IFERROR(AB124-VLOOKUP(T124,'SFFL Main Page'!$B$4:$L$20,8,FALSE),"")</f>
        <v/>
      </c>
      <c r="AD124" s="151">
        <f>IFERROR(AVERAGEIFS(points,managers,'Owner View'!U124,opponent,'Owner View'!T124,outcome,"W"),"")</f>
        <v>111</v>
      </c>
      <c r="AE124" s="152">
        <f>IFERROR(AD124-VLOOKUP(U124,'SFFL Main Page'!$B$4:$L$20,9,FALSE),"")</f>
        <v>9.9294117647058755</v>
      </c>
      <c r="AF124" s="153">
        <f>IFERROR(COUNTIFS(managers,'Owner View'!U124,opponent,'Owner View'!T124,outcome,"W"),"")</f>
        <v>2</v>
      </c>
      <c r="AG124" s="151" t="str">
        <f>IFERROR(AVERAGEIFS(points,managers,'Owner View'!U124,opponent,'Owner View'!T124,outcome,"L"),"")</f>
        <v/>
      </c>
      <c r="AH124" s="152" t="str">
        <f>IFERROR(AG124-VLOOKUP(U124,'SFFL Main Page'!$B$4:$L$20,10,FALSE),"")</f>
        <v/>
      </c>
      <c r="AI124" s="153">
        <f>IFERROR(COUNTIFS(managers,'Owner View'!U124,opponent,'Owner View'!T124,outcome,"L"),"")</f>
        <v>0</v>
      </c>
      <c r="AJ124" s="151" t="str">
        <f t="shared" si="26"/>
        <v/>
      </c>
      <c r="AK124" s="169" t="str">
        <f>IFERROR(AJ124-VLOOKUP(U124,'SFFL Main Page'!$B$4:$L$20,8,FALSE),"")</f>
        <v/>
      </c>
      <c r="AL124" s="152" t="str">
        <f t="shared" si="27"/>
        <v/>
      </c>
    </row>
    <row r="125" spans="19:38" x14ac:dyDescent="0.3">
      <c r="S125" s="159">
        <v>120</v>
      </c>
      <c r="T125" s="118" t="s">
        <v>473</v>
      </c>
      <c r="U125" s="172" t="s">
        <v>43</v>
      </c>
      <c r="V125" s="151" t="str">
        <f>IFERROR(AVERAGEIFS(points,managers,'Owner View'!T125,opponent,'Owner View'!U125,outcome,"W"),"")</f>
        <v/>
      </c>
      <c r="W125" s="152" t="str">
        <f>IFERROR(V125-VLOOKUP(T125,'SFFL Main Page'!$B$4:$L$20,9,FALSE),"")</f>
        <v/>
      </c>
      <c r="X125" s="153">
        <f>IFERROR(COUNTIFS(managers,'Owner View'!T125,opponent,'Owner View'!U125,outcome,"W"),"")</f>
        <v>0</v>
      </c>
      <c r="Y125" s="151">
        <f>IFERROR(AVERAGEIFS(points,managers,'Owner View'!T125,opponent,'Owner View'!U125,outcome,"L"),"")</f>
        <v>90</v>
      </c>
      <c r="Z125" s="152">
        <f>IFERROR(Y125-VLOOKUP(T125,'SFFL Main Page'!$B$4:$L$20,10,FALSE),"")</f>
        <v>-3.1578947368421098</v>
      </c>
      <c r="AA125" s="153">
        <f>IFERROR(COUNTIFS(managers,'Owner View'!T125,opponent,'Owner View'!U125,outcome,"L"),"")</f>
        <v>2</v>
      </c>
      <c r="AB125" s="166" t="str">
        <f t="shared" si="25"/>
        <v/>
      </c>
      <c r="AC125" s="152" t="str">
        <f>IFERROR(AB125-VLOOKUP(T125,'SFFL Main Page'!$B$4:$L$20,8,FALSE),"")</f>
        <v/>
      </c>
      <c r="AD125" s="151">
        <f>IFERROR(AVERAGEIFS(points,managers,'Owner View'!U125,opponent,'Owner View'!T125,outcome,"W"),"")</f>
        <v>95.5</v>
      </c>
      <c r="AE125" s="152">
        <f>IFERROR(AD125-VLOOKUP(U125,'SFFL Main Page'!$B$4:$L$20,9,FALSE),"")</f>
        <v>-5.3271604938271651</v>
      </c>
      <c r="AF125" s="153">
        <f>IFERROR(COUNTIFS(managers,'Owner View'!U125,opponent,'Owner View'!T125,outcome,"W"),"")</f>
        <v>2</v>
      </c>
      <c r="AG125" s="151" t="str">
        <f>IFERROR(AVERAGEIFS(points,managers,'Owner View'!U125,opponent,'Owner View'!T125,outcome,"L"),"")</f>
        <v/>
      </c>
      <c r="AH125" s="152" t="str">
        <f>IFERROR(AG125-VLOOKUP(U125,'SFFL Main Page'!$B$4:$L$20,10,FALSE),"")</f>
        <v/>
      </c>
      <c r="AI125" s="153">
        <f>IFERROR(COUNTIFS(managers,'Owner View'!U125,opponent,'Owner View'!T125,outcome,"L"),"")</f>
        <v>0</v>
      </c>
      <c r="AJ125" s="151" t="str">
        <f t="shared" si="26"/>
        <v/>
      </c>
      <c r="AK125" s="169" t="str">
        <f>IFERROR(AJ125-VLOOKUP(U125,'SFFL Main Page'!$B$4:$L$20,8,FALSE),"")</f>
        <v/>
      </c>
      <c r="AL125" s="152" t="str">
        <f t="shared" si="27"/>
        <v/>
      </c>
    </row>
    <row r="126" spans="19:38" x14ac:dyDescent="0.3">
      <c r="S126" s="159">
        <v>121</v>
      </c>
      <c r="T126" s="118" t="s">
        <v>473</v>
      </c>
      <c r="U126" s="172" t="s">
        <v>472</v>
      </c>
      <c r="V126" s="151">
        <f>IFERROR(AVERAGEIFS(points,managers,'Owner View'!T126,opponent,'Owner View'!U126,outcome,"W"),"")</f>
        <v>139</v>
      </c>
      <c r="W126" s="152">
        <f>IFERROR(V126-VLOOKUP(T126,'SFFL Main Page'!$B$4:$L$20,9,FALSE),"")</f>
        <v>16.444444444444443</v>
      </c>
      <c r="X126" s="153">
        <f>IFERROR(COUNTIFS(managers,'Owner View'!T126,opponent,'Owner View'!U126,outcome,"W"),"")</f>
        <v>1</v>
      </c>
      <c r="Y126" s="151">
        <f>IFERROR(AVERAGEIFS(points,managers,'Owner View'!T126,opponent,'Owner View'!U126,outcome,"L"),"")</f>
        <v>96.5</v>
      </c>
      <c r="Z126" s="152">
        <f>IFERROR(Y126-VLOOKUP(T126,'SFFL Main Page'!$B$4:$L$20,10,FALSE),"")</f>
        <v>3.3421052631578902</v>
      </c>
      <c r="AA126" s="153">
        <f>IFERROR(COUNTIFS(managers,'Owner View'!T126,opponent,'Owner View'!U126,outcome,"L"),"")</f>
        <v>2</v>
      </c>
      <c r="AB126" s="166">
        <f t="shared" si="25"/>
        <v>110.66666666666667</v>
      </c>
      <c r="AC126" s="152">
        <f>IFERROR(AB126-VLOOKUP(T126,'SFFL Main Page'!$B$4:$L$20,8,FALSE),"")</f>
        <v>8.0595238095238102</v>
      </c>
      <c r="AD126" s="151">
        <f>IFERROR(AVERAGEIFS(points,managers,'Owner View'!U126,opponent,'Owner View'!T126,outcome,"W"),"")</f>
        <v>137.5</v>
      </c>
      <c r="AE126" s="152">
        <f>IFERROR(AD126-VLOOKUP(U126,'SFFL Main Page'!$B$4:$L$20,9,FALSE),"")</f>
        <v>17.772727272727266</v>
      </c>
      <c r="AF126" s="153">
        <f>IFERROR(COUNTIFS(managers,'Owner View'!U126,opponent,'Owner View'!T126,outcome,"W"),"")</f>
        <v>2</v>
      </c>
      <c r="AG126" s="151">
        <f>IFERROR(AVERAGEIFS(points,managers,'Owner View'!U126,opponent,'Owner View'!T126,outcome,"L"),"")</f>
        <v>106</v>
      </c>
      <c r="AH126" s="152">
        <f>IFERROR(AG126-VLOOKUP(U126,'SFFL Main Page'!$B$4:$L$20,10,FALSE),"")</f>
        <v>8.470588235294116</v>
      </c>
      <c r="AI126" s="153">
        <f>IFERROR(COUNTIFS(managers,'Owner View'!U126,opponent,'Owner View'!T126,outcome,"L"),"")</f>
        <v>1</v>
      </c>
      <c r="AJ126" s="151">
        <f t="shared" si="26"/>
        <v>127</v>
      </c>
      <c r="AK126" s="169">
        <f>IFERROR(AJ126-VLOOKUP(U126,'SFFL Main Page'!$B$4:$L$20,8,FALSE),"")</f>
        <v>20.75</v>
      </c>
      <c r="AL126" s="152">
        <f t="shared" si="27"/>
        <v>-12.69047619047619</v>
      </c>
    </row>
    <row r="127" spans="19:38" x14ac:dyDescent="0.3">
      <c r="S127" s="159">
        <v>122</v>
      </c>
      <c r="T127" s="118" t="s">
        <v>473</v>
      </c>
      <c r="U127" s="172" t="s">
        <v>22</v>
      </c>
      <c r="V127" s="151">
        <f>IFERROR(AVERAGEIFS(points,managers,'Owner View'!T127,opponent,'Owner View'!U127,outcome,"W"),"")</f>
        <v>131</v>
      </c>
      <c r="W127" s="152">
        <f>IFERROR(V127-VLOOKUP(T127,'SFFL Main Page'!$B$4:$L$20,9,FALSE),"")</f>
        <v>8.4444444444444429</v>
      </c>
      <c r="X127" s="153">
        <f>IFERROR(COUNTIFS(managers,'Owner View'!T127,opponent,'Owner View'!U127,outcome,"W"),"")</f>
        <v>1</v>
      </c>
      <c r="Y127" s="151">
        <f>IFERROR(AVERAGEIFS(points,managers,'Owner View'!T127,opponent,'Owner View'!U127,outcome,"L"),"")</f>
        <v>119</v>
      </c>
      <c r="Z127" s="152">
        <f>IFERROR(Y127-VLOOKUP(T127,'SFFL Main Page'!$B$4:$L$20,10,FALSE),"")</f>
        <v>25.84210526315789</v>
      </c>
      <c r="AA127" s="153">
        <f>IFERROR(COUNTIFS(managers,'Owner View'!T127,opponent,'Owner View'!U127,outcome,"L"),"")</f>
        <v>1</v>
      </c>
      <c r="AB127" s="166">
        <f t="shared" si="25"/>
        <v>125</v>
      </c>
      <c r="AC127" s="152">
        <f>IFERROR(AB127-VLOOKUP(T127,'SFFL Main Page'!$B$4:$L$20,8,FALSE),"")</f>
        <v>22.392857142857139</v>
      </c>
      <c r="AD127" s="151">
        <f>IFERROR(AVERAGEIFS(points,managers,'Owner View'!U127,opponent,'Owner View'!T127,outcome,"W"),"")</f>
        <v>126</v>
      </c>
      <c r="AE127" s="152">
        <f>IFERROR(AD127-VLOOKUP(U127,'SFFL Main Page'!$B$4:$L$20,9,FALSE),"")</f>
        <v>23.619718309859152</v>
      </c>
      <c r="AF127" s="153">
        <f>IFERROR(COUNTIFS(managers,'Owner View'!U127,opponent,'Owner View'!T127,outcome,"W"),"")</f>
        <v>1</v>
      </c>
      <c r="AG127" s="151">
        <f>IFERROR(AVERAGEIFS(points,managers,'Owner View'!U127,opponent,'Owner View'!T127,outcome,"L"),"")</f>
        <v>102</v>
      </c>
      <c r="AH127" s="152">
        <f>IFERROR(AG127-VLOOKUP(U127,'SFFL Main Page'!$B$4:$L$20,10,FALSE),"")</f>
        <v>22.049019607843135</v>
      </c>
      <c r="AI127" s="153">
        <f>IFERROR(COUNTIFS(managers,'Owner View'!U127,opponent,'Owner View'!T127,outcome,"L"),"")</f>
        <v>1</v>
      </c>
      <c r="AJ127" s="151">
        <f t="shared" si="26"/>
        <v>114</v>
      </c>
      <c r="AK127" s="169">
        <f>IFERROR(AJ127-VLOOKUP(U127,'SFFL Main Page'!$B$4:$L$20,8,FALSE),"")</f>
        <v>24.839080459770116</v>
      </c>
      <c r="AL127" s="152">
        <f t="shared" si="27"/>
        <v>-2.4462233169129775</v>
      </c>
    </row>
    <row r="128" spans="19:38" x14ac:dyDescent="0.3">
      <c r="S128" s="159">
        <v>123</v>
      </c>
      <c r="T128" s="118" t="s">
        <v>473</v>
      </c>
      <c r="U128" s="172" t="s">
        <v>30</v>
      </c>
      <c r="V128" s="151">
        <f>IFERROR(AVERAGEIFS(points,managers,'Owner View'!T128,opponent,'Owner View'!U128,outcome,"W"),"")</f>
        <v>111</v>
      </c>
      <c r="W128" s="152">
        <f>IFERROR(V128-VLOOKUP(T128,'SFFL Main Page'!$B$4:$L$20,9,FALSE),"")</f>
        <v>-11.555555555555557</v>
      </c>
      <c r="X128" s="153">
        <f>IFERROR(COUNTIFS(managers,'Owner View'!T128,opponent,'Owner View'!U128,outcome,"W"),"")</f>
        <v>1</v>
      </c>
      <c r="Y128" s="151">
        <f>IFERROR(AVERAGEIFS(points,managers,'Owner View'!T128,opponent,'Owner View'!U128,outcome,"L"),"")</f>
        <v>113</v>
      </c>
      <c r="Z128" s="152">
        <f>IFERROR(Y128-VLOOKUP(T128,'SFFL Main Page'!$B$4:$L$20,10,FALSE),"")</f>
        <v>19.84210526315789</v>
      </c>
      <c r="AA128" s="153">
        <f>IFERROR(COUNTIFS(managers,'Owner View'!T128,opponent,'Owner View'!U128,outcome,"L"),"")</f>
        <v>1</v>
      </c>
      <c r="AB128" s="166">
        <f t="shared" si="25"/>
        <v>112</v>
      </c>
      <c r="AC128" s="152">
        <f>IFERROR(AB128-VLOOKUP(T128,'SFFL Main Page'!$B$4:$L$20,8,FALSE),"")</f>
        <v>9.3928571428571388</v>
      </c>
      <c r="AD128" s="151">
        <f>IFERROR(AVERAGEIFS(points,managers,'Owner View'!U128,opponent,'Owner View'!T128,outcome,"W"),"")</f>
        <v>132</v>
      </c>
      <c r="AE128" s="152">
        <f>IFERROR(AD128-VLOOKUP(U128,'SFFL Main Page'!$B$4:$L$20,9,FALSE),"")</f>
        <v>29.099999999999994</v>
      </c>
      <c r="AF128" s="153">
        <f>IFERROR(COUNTIFS(managers,'Owner View'!U128,opponent,'Owner View'!T128,outcome,"W"),"")</f>
        <v>1</v>
      </c>
      <c r="AG128" s="151">
        <f>IFERROR(AVERAGEIFS(points,managers,'Owner View'!U128,opponent,'Owner View'!T128,outcome,"L"),"")</f>
        <v>97</v>
      </c>
      <c r="AH128" s="152">
        <f>IFERROR(AG128-VLOOKUP(U128,'SFFL Main Page'!$B$4:$L$20,10,FALSE),"")</f>
        <v>15.064516129032256</v>
      </c>
      <c r="AI128" s="153">
        <f>IFERROR(COUNTIFS(managers,'Owner View'!U128,opponent,'Owner View'!T128,outcome,"L"),"")</f>
        <v>1</v>
      </c>
      <c r="AJ128" s="151">
        <f t="shared" si="26"/>
        <v>114.5</v>
      </c>
      <c r="AK128" s="169">
        <f>IFERROR(AJ128-VLOOKUP(U128,'SFFL Main Page'!$B$4:$L$20,8,FALSE),"")</f>
        <v>22.931034482758619</v>
      </c>
      <c r="AL128" s="152">
        <f t="shared" si="27"/>
        <v>-13.53817733990148</v>
      </c>
    </row>
    <row r="129" spans="19:38" x14ac:dyDescent="0.3">
      <c r="S129" s="159">
        <v>124</v>
      </c>
      <c r="T129" s="118" t="s">
        <v>473</v>
      </c>
      <c r="U129" s="172" t="s">
        <v>23</v>
      </c>
      <c r="V129" s="151">
        <f>IFERROR(AVERAGEIFS(points,managers,'Owner View'!T129,opponent,'Owner View'!U129,outcome,"W"),"")</f>
        <v>123</v>
      </c>
      <c r="W129" s="152">
        <f>IFERROR(V129-VLOOKUP(T129,'SFFL Main Page'!$B$4:$L$20,9,FALSE),"")</f>
        <v>0.44444444444444287</v>
      </c>
      <c r="X129" s="153">
        <f>IFERROR(COUNTIFS(managers,'Owner View'!T129,opponent,'Owner View'!U129,outcome,"W"),"")</f>
        <v>1</v>
      </c>
      <c r="Y129" s="151">
        <f>IFERROR(AVERAGEIFS(points,managers,'Owner View'!T129,opponent,'Owner View'!U129,outcome,"L"),"")</f>
        <v>115</v>
      </c>
      <c r="Z129" s="152">
        <f>IFERROR(Y129-VLOOKUP(T129,'SFFL Main Page'!$B$4:$L$20,10,FALSE),"")</f>
        <v>21.84210526315789</v>
      </c>
      <c r="AA129" s="153">
        <f>IFERROR(COUNTIFS(managers,'Owner View'!T129,opponent,'Owner View'!U129,outcome,"L"),"")</f>
        <v>1</v>
      </c>
      <c r="AB129" s="166">
        <f t="shared" si="25"/>
        <v>119</v>
      </c>
      <c r="AC129" s="152">
        <f>IFERROR(AB129-VLOOKUP(T129,'SFFL Main Page'!$B$4:$L$20,8,FALSE),"")</f>
        <v>16.392857142857139</v>
      </c>
      <c r="AD129" s="151">
        <f>IFERROR(AVERAGEIFS(points,managers,'Owner View'!U129,opponent,'Owner View'!T129,outcome,"W"),"")</f>
        <v>146</v>
      </c>
      <c r="AE129" s="152">
        <f>IFERROR(AD129-VLOOKUP(U129,'SFFL Main Page'!$B$4:$L$20,9,FALSE),"")</f>
        <v>43.074468085106389</v>
      </c>
      <c r="AF129" s="153">
        <f>IFERROR(COUNTIFS(managers,'Owner View'!U129,opponent,'Owner View'!T129,outcome,"W"),"")</f>
        <v>1</v>
      </c>
      <c r="AG129" s="151">
        <f>IFERROR(AVERAGEIFS(points,managers,'Owner View'!U129,opponent,'Owner View'!T129,outcome,"L"),"")</f>
        <v>66</v>
      </c>
      <c r="AH129" s="152">
        <f>IFERROR(AG129-VLOOKUP(U129,'SFFL Main Page'!$B$4:$L$20,10,FALSE),"")</f>
        <v>-14.632911392405063</v>
      </c>
      <c r="AI129" s="153">
        <f>IFERROR(COUNTIFS(managers,'Owner View'!U129,opponent,'Owner View'!T129,outcome,"L"),"")</f>
        <v>1</v>
      </c>
      <c r="AJ129" s="151">
        <f t="shared" si="26"/>
        <v>106</v>
      </c>
      <c r="AK129" s="169">
        <f>IFERROR(AJ129-VLOOKUP(U129,'SFFL Main Page'!$B$4:$L$20,8,FALSE),"")</f>
        <v>13.160919540229884</v>
      </c>
      <c r="AL129" s="152">
        <f t="shared" si="27"/>
        <v>3.231937602627255</v>
      </c>
    </row>
    <row r="130" spans="19:38" x14ac:dyDescent="0.3">
      <c r="S130" s="159">
        <v>125</v>
      </c>
      <c r="T130" s="118" t="s">
        <v>473</v>
      </c>
      <c r="U130" s="172" t="s">
        <v>28</v>
      </c>
      <c r="V130" s="151">
        <f>IFERROR(AVERAGEIFS(points,managers,'Owner View'!T130,opponent,'Owner View'!U130,outcome,"W"),"")</f>
        <v>118</v>
      </c>
      <c r="W130" s="152">
        <f>IFERROR(V130-VLOOKUP(T130,'SFFL Main Page'!$B$4:$L$20,9,FALSE),"")</f>
        <v>-4.5555555555555571</v>
      </c>
      <c r="X130" s="153">
        <f>IFERROR(COUNTIFS(managers,'Owner View'!T130,opponent,'Owner View'!U130,outcome,"W"),"")</f>
        <v>1</v>
      </c>
      <c r="Y130" s="151">
        <f>IFERROR(AVERAGEIFS(points,managers,'Owner View'!T130,opponent,'Owner View'!U130,outcome,"L"),"")</f>
        <v>82</v>
      </c>
      <c r="Z130" s="152">
        <f>IFERROR(Y130-VLOOKUP(T130,'SFFL Main Page'!$B$4:$L$20,10,FALSE),"")</f>
        <v>-11.15789473684211</v>
      </c>
      <c r="AA130" s="153">
        <f>IFERROR(COUNTIFS(managers,'Owner View'!T130,opponent,'Owner View'!U130,outcome,"L"),"")</f>
        <v>1</v>
      </c>
      <c r="AB130" s="166">
        <f t="shared" si="25"/>
        <v>100</v>
      </c>
      <c r="AC130" s="152">
        <f>IFERROR(AB130-VLOOKUP(T130,'SFFL Main Page'!$B$4:$L$20,8,FALSE),"")</f>
        <v>-2.6071428571428612</v>
      </c>
      <c r="AD130" s="151">
        <f>IFERROR(AVERAGEIFS(points,managers,'Owner View'!U130,opponent,'Owner View'!T130,outcome,"W"),"")</f>
        <v>128</v>
      </c>
      <c r="AE130" s="152">
        <f>IFERROR(AD130-VLOOKUP(U130,'SFFL Main Page'!$B$4:$L$20,9,FALSE),"")</f>
        <v>21.666666666666671</v>
      </c>
      <c r="AF130" s="153">
        <f>IFERROR(COUNTIFS(managers,'Owner View'!U130,opponent,'Owner View'!T130,outcome,"W"),"")</f>
        <v>1</v>
      </c>
      <c r="AG130" s="151">
        <f>IFERROR(AVERAGEIFS(points,managers,'Owner View'!U130,opponent,'Owner View'!T130,outcome,"L"),"")</f>
        <v>102</v>
      </c>
      <c r="AH130" s="152">
        <f>IFERROR(AG130-VLOOKUP(U130,'SFFL Main Page'!$B$4:$L$20,10,FALSE),"")</f>
        <v>21.08536585365853</v>
      </c>
      <c r="AI130" s="153">
        <f>IFERROR(COUNTIFS(managers,'Owner View'!U130,opponent,'Owner View'!T130,outcome,"L"),"")</f>
        <v>1</v>
      </c>
      <c r="AJ130" s="151">
        <f t="shared" si="26"/>
        <v>115</v>
      </c>
      <c r="AK130" s="169">
        <f>IFERROR(AJ130-VLOOKUP(U130,'SFFL Main Page'!$B$4:$L$20,8,FALSE),"")</f>
        <v>20.775862068965523</v>
      </c>
      <c r="AL130" s="152">
        <f t="shared" si="27"/>
        <v>-23.383004926108384</v>
      </c>
    </row>
    <row r="131" spans="19:38" x14ac:dyDescent="0.3">
      <c r="S131" s="159">
        <v>126</v>
      </c>
      <c r="T131" s="118" t="s">
        <v>473</v>
      </c>
      <c r="U131" s="172" t="s">
        <v>24</v>
      </c>
      <c r="V131" s="151" t="str">
        <f>IFERROR(AVERAGEIFS(points,managers,'Owner View'!T131,opponent,'Owner View'!U131,outcome,"W"),"")</f>
        <v/>
      </c>
      <c r="W131" s="152" t="str">
        <f>IFERROR(V131-VLOOKUP(T131,'SFFL Main Page'!$B$4:$L$20,9,FALSE),"")</f>
        <v/>
      </c>
      <c r="X131" s="153">
        <f>IFERROR(COUNTIFS(managers,'Owner View'!T131,opponent,'Owner View'!U131,outcome,"W"),"")</f>
        <v>0</v>
      </c>
      <c r="Y131" s="151">
        <f>IFERROR(AVERAGEIFS(points,managers,'Owner View'!T131,opponent,'Owner View'!U131,outcome,"L"),"")</f>
        <v>97</v>
      </c>
      <c r="Z131" s="152">
        <f>IFERROR(Y131-VLOOKUP(T131,'SFFL Main Page'!$B$4:$L$20,10,FALSE),"")</f>
        <v>3.8421052631578902</v>
      </c>
      <c r="AA131" s="153">
        <f>IFERROR(COUNTIFS(managers,'Owner View'!T131,opponent,'Owner View'!U131,outcome,"L"),"")</f>
        <v>2</v>
      </c>
      <c r="AB131" s="166" t="str">
        <f t="shared" si="25"/>
        <v/>
      </c>
      <c r="AC131" s="152" t="str">
        <f>IFERROR(AB131-VLOOKUP(T131,'SFFL Main Page'!$B$4:$L$20,8,FALSE),"")</f>
        <v/>
      </c>
      <c r="AD131" s="151">
        <f>IFERROR(AVERAGEIFS(points,managers,'Owner View'!U131,opponent,'Owner View'!T131,outcome,"W"),"")</f>
        <v>122</v>
      </c>
      <c r="AE131" s="152">
        <f>IFERROR(AD131-VLOOKUP(U131,'SFFL Main Page'!$B$4:$L$20,9,FALSE),"")</f>
        <v>17.240963855421683</v>
      </c>
      <c r="AF131" s="153">
        <f>IFERROR(COUNTIFS(managers,'Owner View'!U131,opponent,'Owner View'!T131,outcome,"W"),"")</f>
        <v>2</v>
      </c>
      <c r="AG131" s="151" t="str">
        <f>IFERROR(AVERAGEIFS(points,managers,'Owner View'!U131,opponent,'Owner View'!T131,outcome,"L"),"")</f>
        <v/>
      </c>
      <c r="AH131" s="152" t="str">
        <f>IFERROR(AG131-VLOOKUP(U131,'SFFL Main Page'!$B$4:$L$20,10,FALSE),"")</f>
        <v/>
      </c>
      <c r="AI131" s="153">
        <f>IFERROR(COUNTIFS(managers,'Owner View'!U131,opponent,'Owner View'!T131,outcome,"L"),"")</f>
        <v>0</v>
      </c>
      <c r="AJ131" s="151" t="str">
        <f t="shared" si="26"/>
        <v/>
      </c>
      <c r="AK131" s="169" t="str">
        <f>IFERROR(AJ131-VLOOKUP(U131,'SFFL Main Page'!$B$4:$L$20,8,FALSE),"")</f>
        <v/>
      </c>
      <c r="AL131" s="152" t="str">
        <f t="shared" si="27"/>
        <v/>
      </c>
    </row>
    <row r="132" spans="19:38" x14ac:dyDescent="0.3">
      <c r="S132" s="159">
        <v>127</v>
      </c>
      <c r="T132" s="118" t="s">
        <v>472</v>
      </c>
      <c r="U132" s="172" t="s">
        <v>27</v>
      </c>
      <c r="V132" s="151" t="str">
        <f>IFERROR(AVERAGEIFS(points,managers,'Owner View'!T132,opponent,'Owner View'!U132,outcome,"W"),"")</f>
        <v/>
      </c>
      <c r="W132" s="152" t="str">
        <f>IFERROR(V132-VLOOKUP(T132,'SFFL Main Page'!$B$4:$L$20,9,FALSE),"")</f>
        <v/>
      </c>
      <c r="X132" s="153">
        <f>IFERROR(COUNTIFS(managers,'Owner View'!T132,opponent,'Owner View'!U132,outcome,"W"),"")</f>
        <v>0</v>
      </c>
      <c r="Y132" s="151" t="str">
        <f>IFERROR(AVERAGEIFS(points,managers,'Owner View'!T132,opponent,'Owner View'!U132,outcome,"L"),"")</f>
        <v/>
      </c>
      <c r="Z132" s="152" t="str">
        <f>IFERROR(Y132-VLOOKUP(T132,'SFFL Main Page'!$B$4:$L$20,10,FALSE),"")</f>
        <v/>
      </c>
      <c r="AA132" s="153">
        <f>IFERROR(COUNTIFS(managers,'Owner View'!T132,opponent,'Owner View'!U132,outcome,"L"),"")</f>
        <v>0</v>
      </c>
      <c r="AB132" s="166" t="str">
        <f t="shared" si="25"/>
        <v/>
      </c>
      <c r="AC132" s="152" t="str">
        <f>IFERROR(AB132-VLOOKUP(T132,'SFFL Main Page'!$B$4:$L$20,8,FALSE),"")</f>
        <v/>
      </c>
      <c r="AD132" s="151" t="str">
        <f>IFERROR(AVERAGEIFS(points,managers,'Owner View'!U132,opponent,'Owner View'!T132,outcome,"W"),"")</f>
        <v/>
      </c>
      <c r="AE132" s="152" t="str">
        <f>IFERROR(AD132-VLOOKUP(U132,'SFFL Main Page'!$B$4:$L$20,9,FALSE),"")</f>
        <v/>
      </c>
      <c r="AF132" s="153">
        <f>IFERROR(COUNTIFS(managers,'Owner View'!U132,opponent,'Owner View'!T132,outcome,"W"),"")</f>
        <v>0</v>
      </c>
      <c r="AG132" s="151" t="str">
        <f>IFERROR(AVERAGEIFS(points,managers,'Owner View'!U132,opponent,'Owner View'!T132,outcome,"L"),"")</f>
        <v/>
      </c>
      <c r="AH132" s="152" t="str">
        <f>IFERROR(AG132-VLOOKUP(U132,'SFFL Main Page'!$B$4:$L$20,10,FALSE),"")</f>
        <v/>
      </c>
      <c r="AI132" s="153">
        <f>IFERROR(COUNTIFS(managers,'Owner View'!U132,opponent,'Owner View'!T132,outcome,"L"),"")</f>
        <v>0</v>
      </c>
      <c r="AJ132" s="151" t="str">
        <f t="shared" si="26"/>
        <v/>
      </c>
      <c r="AK132" s="169" t="str">
        <f>IFERROR(AJ132-VLOOKUP(U132,'SFFL Main Page'!$B$4:$L$20,8,FALSE),"")</f>
        <v/>
      </c>
      <c r="AL132" s="152" t="str">
        <f t="shared" si="27"/>
        <v/>
      </c>
    </row>
    <row r="133" spans="19:38" x14ac:dyDescent="0.3">
      <c r="S133" s="159">
        <v>128</v>
      </c>
      <c r="T133" s="118" t="s">
        <v>472</v>
      </c>
      <c r="U133" s="172" t="s">
        <v>227</v>
      </c>
      <c r="V133" s="151" t="str">
        <f>IFERROR(AVERAGEIFS(points,managers,'Owner View'!T133,opponent,'Owner View'!U133,outcome,"W"),"")</f>
        <v/>
      </c>
      <c r="W133" s="152" t="str">
        <f>IFERROR(V133-VLOOKUP(T133,'SFFL Main Page'!$B$4:$L$20,9,FALSE),"")</f>
        <v/>
      </c>
      <c r="X133" s="153">
        <f>IFERROR(COUNTIFS(managers,'Owner View'!T133,opponent,'Owner View'!U133,outcome,"W"),"")</f>
        <v>0</v>
      </c>
      <c r="Y133" s="151">
        <f>IFERROR(AVERAGEIFS(points,managers,'Owner View'!T133,opponent,'Owner View'!U133,outcome,"L"),"")</f>
        <v>101.5</v>
      </c>
      <c r="Z133" s="152">
        <f>IFERROR(Y133-VLOOKUP(T133,'SFFL Main Page'!$B$4:$L$20,10,FALSE),"")</f>
        <v>3.970588235294116</v>
      </c>
      <c r="AA133" s="153">
        <f>IFERROR(COUNTIFS(managers,'Owner View'!T133,opponent,'Owner View'!U133,outcome,"L"),"")</f>
        <v>2</v>
      </c>
      <c r="AB133" s="166" t="str">
        <f t="shared" si="25"/>
        <v/>
      </c>
      <c r="AC133" s="152" t="str">
        <f>IFERROR(AB133-VLOOKUP(T133,'SFFL Main Page'!$B$4:$L$20,8,FALSE),"")</f>
        <v/>
      </c>
      <c r="AD133" s="151">
        <f>IFERROR(AVERAGEIFS(points,managers,'Owner View'!U133,opponent,'Owner View'!T133,outcome,"W"),"")</f>
        <v>117.5</v>
      </c>
      <c r="AE133" s="152">
        <f>IFERROR(AD133-VLOOKUP(U133,'SFFL Main Page'!$B$4:$L$20,9,FALSE),"")</f>
        <v>8.8103448275862064</v>
      </c>
      <c r="AF133" s="153">
        <f>IFERROR(COUNTIFS(managers,'Owner View'!U133,opponent,'Owner View'!T133,outcome,"W"),"")</f>
        <v>2</v>
      </c>
      <c r="AG133" s="151" t="str">
        <f>IFERROR(AVERAGEIFS(points,managers,'Owner View'!U133,opponent,'Owner View'!T133,outcome,"L"),"")</f>
        <v/>
      </c>
      <c r="AH133" s="152" t="str">
        <f>IFERROR(AG133-VLOOKUP(U133,'SFFL Main Page'!$B$4:$L$20,10,FALSE),"")</f>
        <v/>
      </c>
      <c r="AI133" s="153">
        <f>IFERROR(COUNTIFS(managers,'Owner View'!U133,opponent,'Owner View'!T133,outcome,"L"),"")</f>
        <v>0</v>
      </c>
      <c r="AJ133" s="151" t="str">
        <f t="shared" si="26"/>
        <v/>
      </c>
      <c r="AK133" s="169" t="str">
        <f>IFERROR(AJ133-VLOOKUP(U133,'SFFL Main Page'!$B$4:$L$20,8,FALSE),"")</f>
        <v/>
      </c>
      <c r="AL133" s="152" t="str">
        <f t="shared" si="27"/>
        <v/>
      </c>
    </row>
    <row r="134" spans="19:38" x14ac:dyDescent="0.3">
      <c r="S134" s="159">
        <v>129</v>
      </c>
      <c r="T134" s="118" t="s">
        <v>472</v>
      </c>
      <c r="U134" s="172" t="s">
        <v>25</v>
      </c>
      <c r="V134" s="151">
        <f>IFERROR(AVERAGEIFS(points,managers,'Owner View'!T134,opponent,'Owner View'!U134,outcome,"W"),"")</f>
        <v>121</v>
      </c>
      <c r="W134" s="152">
        <f>IFERROR(V134-VLOOKUP(T134,'SFFL Main Page'!$B$4:$L$20,9,FALSE),"")</f>
        <v>1.2727272727272663</v>
      </c>
      <c r="X134" s="153">
        <f>IFERROR(COUNTIFS(managers,'Owner View'!T134,opponent,'Owner View'!U134,outcome,"W"),"")</f>
        <v>1</v>
      </c>
      <c r="Y134" s="151">
        <f>IFERROR(AVERAGEIFS(points,managers,'Owner View'!T134,opponent,'Owner View'!U134,outcome,"L"),"")</f>
        <v>67</v>
      </c>
      <c r="Z134" s="152">
        <f>IFERROR(Y134-VLOOKUP(T134,'SFFL Main Page'!$B$4:$L$20,10,FALSE),"")</f>
        <v>-30.529411764705884</v>
      </c>
      <c r="AA134" s="153">
        <f>IFERROR(COUNTIFS(managers,'Owner View'!T134,opponent,'Owner View'!U134,outcome,"L"),"")</f>
        <v>1</v>
      </c>
      <c r="AB134" s="166">
        <f t="shared" si="25"/>
        <v>94</v>
      </c>
      <c r="AC134" s="152">
        <f>IFERROR(AB134-VLOOKUP(T134,'SFFL Main Page'!$B$4:$L$20,8,FALSE),"")</f>
        <v>-12.25</v>
      </c>
      <c r="AD134" s="151">
        <f>IFERROR(AVERAGEIFS(points,managers,'Owner View'!U134,opponent,'Owner View'!T134,outcome,"W"),"")</f>
        <v>93</v>
      </c>
      <c r="AE134" s="152">
        <f>IFERROR(AD134-VLOOKUP(U134,'SFFL Main Page'!$B$4:$L$20,9,FALSE),"")</f>
        <v>-8.7701149425287355</v>
      </c>
      <c r="AF134" s="153">
        <f>IFERROR(COUNTIFS(managers,'Owner View'!U134,opponent,'Owner View'!T134,outcome,"W"),"")</f>
        <v>1</v>
      </c>
      <c r="AG134" s="151">
        <f>IFERROR(AVERAGEIFS(points,managers,'Owner View'!U134,opponent,'Owner View'!T134,outcome,"L"),"")</f>
        <v>120</v>
      </c>
      <c r="AH134" s="152">
        <f>IFERROR(AG134-VLOOKUP(U134,'SFFL Main Page'!$B$4:$L$20,10,FALSE),"")</f>
        <v>42.05952380952381</v>
      </c>
      <c r="AI134" s="153">
        <f>IFERROR(COUNTIFS(managers,'Owner View'!U134,opponent,'Owner View'!T134,outcome,"L"),"")</f>
        <v>1</v>
      </c>
      <c r="AJ134" s="151">
        <f t="shared" si="26"/>
        <v>106.5</v>
      </c>
      <c r="AK134" s="169">
        <f>IFERROR(AJ134-VLOOKUP(U134,'SFFL Main Page'!$B$4:$L$20,8,FALSE),"")</f>
        <v>16.511494252873561</v>
      </c>
      <c r="AL134" s="152">
        <f t="shared" si="27"/>
        <v>-28.761494252873561</v>
      </c>
    </row>
    <row r="135" spans="19:38" x14ac:dyDescent="0.3">
      <c r="S135" s="159">
        <v>130</v>
      </c>
      <c r="T135" s="118" t="s">
        <v>472</v>
      </c>
      <c r="U135" s="172" t="s">
        <v>47</v>
      </c>
      <c r="V135" s="151">
        <f>IFERROR(AVERAGEIFS(points,managers,'Owner View'!T135,opponent,'Owner View'!U135,outcome,"W"),"")</f>
        <v>97</v>
      </c>
      <c r="W135" s="152">
        <f>IFERROR(V135-VLOOKUP(T135,'SFFL Main Page'!$B$4:$L$20,9,FALSE),"")</f>
        <v>-22.727272727272734</v>
      </c>
      <c r="X135" s="153">
        <f>IFERROR(COUNTIFS(managers,'Owner View'!T135,opponent,'Owner View'!U135,outcome,"W"),"")</f>
        <v>1</v>
      </c>
      <c r="Y135" s="151">
        <f>IFERROR(AVERAGEIFS(points,managers,'Owner View'!T135,opponent,'Owner View'!U135,outcome,"L"),"")</f>
        <v>94</v>
      </c>
      <c r="Z135" s="152">
        <f>IFERROR(Y135-VLOOKUP(T135,'SFFL Main Page'!$B$4:$L$20,10,FALSE),"")</f>
        <v>-3.529411764705884</v>
      </c>
      <c r="AA135" s="153">
        <f>IFERROR(COUNTIFS(managers,'Owner View'!T135,opponent,'Owner View'!U135,outcome,"L"),"")</f>
        <v>1</v>
      </c>
      <c r="AB135" s="166">
        <f t="shared" si="25"/>
        <v>95.5</v>
      </c>
      <c r="AC135" s="152">
        <f>IFERROR(AB135-VLOOKUP(T135,'SFFL Main Page'!$B$4:$L$20,8,FALSE),"")</f>
        <v>-10.75</v>
      </c>
      <c r="AD135" s="151">
        <f>IFERROR(AVERAGEIFS(points,managers,'Owner View'!U135,opponent,'Owner View'!T135,outcome,"W"),"")</f>
        <v>100</v>
      </c>
      <c r="AE135" s="152">
        <f>IFERROR(AD135-VLOOKUP(U135,'SFFL Main Page'!$B$4:$L$20,9,FALSE),"")</f>
        <v>-5.3578947368420984</v>
      </c>
      <c r="AF135" s="153">
        <f>IFERROR(COUNTIFS(managers,'Owner View'!U135,opponent,'Owner View'!T135,outcome,"W"),"")</f>
        <v>1</v>
      </c>
      <c r="AG135" s="151">
        <f>IFERROR(AVERAGEIFS(points,managers,'Owner View'!U135,opponent,'Owner View'!T135,outcome,"L"),"")</f>
        <v>71</v>
      </c>
      <c r="AH135" s="152">
        <f>IFERROR(AG135-VLOOKUP(U135,'SFFL Main Page'!$B$4:$L$20,10,FALSE),"")</f>
        <v>-12.57692307692308</v>
      </c>
      <c r="AI135" s="153">
        <f>IFERROR(COUNTIFS(managers,'Owner View'!U135,opponent,'Owner View'!T135,outcome,"L"),"")</f>
        <v>1</v>
      </c>
      <c r="AJ135" s="151">
        <f t="shared" si="26"/>
        <v>85.5</v>
      </c>
      <c r="AK135" s="169">
        <f>IFERROR(AJ135-VLOOKUP(U135,'SFFL Main Page'!$B$4:$L$20,8,FALSE),"")</f>
        <v>-12.060810810810807</v>
      </c>
      <c r="AL135" s="152">
        <f t="shared" si="27"/>
        <v>1.310810810810807</v>
      </c>
    </row>
    <row r="136" spans="19:38" x14ac:dyDescent="0.3">
      <c r="S136" s="159">
        <v>131</v>
      </c>
      <c r="T136" s="118" t="s">
        <v>472</v>
      </c>
      <c r="U136" s="172" t="s">
        <v>26</v>
      </c>
      <c r="V136" s="151">
        <f>IFERROR(AVERAGEIFS(points,managers,'Owner View'!T136,opponent,'Owner View'!U136,outcome,"W"),"")</f>
        <v>85</v>
      </c>
      <c r="W136" s="152">
        <f>IFERROR(V136-VLOOKUP(T136,'SFFL Main Page'!$B$4:$L$20,9,FALSE),"")</f>
        <v>-34.727272727272734</v>
      </c>
      <c r="X136" s="153">
        <f>IFERROR(COUNTIFS(managers,'Owner View'!T136,opponent,'Owner View'!U136,outcome,"W"),"")</f>
        <v>1</v>
      </c>
      <c r="Y136" s="151">
        <f>IFERROR(AVERAGEIFS(points,managers,'Owner View'!T136,opponent,'Owner View'!U136,outcome,"L"),"")</f>
        <v>81</v>
      </c>
      <c r="Z136" s="152">
        <f>IFERROR(Y136-VLOOKUP(T136,'SFFL Main Page'!$B$4:$L$20,10,FALSE),"")</f>
        <v>-16.529411764705884</v>
      </c>
      <c r="AA136" s="153">
        <f>IFERROR(COUNTIFS(managers,'Owner View'!T136,opponent,'Owner View'!U136,outcome,"L"),"")</f>
        <v>1</v>
      </c>
      <c r="AB136" s="166">
        <f t="shared" ref="AB136:AB199" si="28">IFERROR(((V136*X136)+(Y136*AA136))/SUM(X136,AA136),"")</f>
        <v>83</v>
      </c>
      <c r="AC136" s="152">
        <f>IFERROR(AB136-VLOOKUP(T136,'SFFL Main Page'!$B$4:$L$20,8,FALSE),"")</f>
        <v>-23.25</v>
      </c>
      <c r="AD136" s="151">
        <f>IFERROR(AVERAGEIFS(points,managers,'Owner View'!U136,opponent,'Owner View'!T136,outcome,"W"),"")</f>
        <v>115</v>
      </c>
      <c r="AE136" s="152">
        <f>IFERROR(AD136-VLOOKUP(U136,'SFFL Main Page'!$B$4:$L$20,9,FALSE),"")</f>
        <v>11.447916666666671</v>
      </c>
      <c r="AF136" s="153">
        <f>IFERROR(COUNTIFS(managers,'Owner View'!U136,opponent,'Owner View'!T136,outcome,"W"),"")</f>
        <v>1</v>
      </c>
      <c r="AG136" s="151">
        <f>IFERROR(AVERAGEIFS(points,managers,'Owner View'!U136,opponent,'Owner View'!T136,outcome,"L"),"")</f>
        <v>82</v>
      </c>
      <c r="AH136" s="152">
        <f>IFERROR(AG136-VLOOKUP(U136,'SFFL Main Page'!$B$4:$L$20,10,FALSE),"")</f>
        <v>4.4675324675324646</v>
      </c>
      <c r="AI136" s="153">
        <f>IFERROR(COUNTIFS(managers,'Owner View'!U136,opponent,'Owner View'!T136,outcome,"L"),"")</f>
        <v>1</v>
      </c>
      <c r="AJ136" s="151">
        <f t="shared" si="26"/>
        <v>98.5</v>
      </c>
      <c r="AK136" s="169">
        <f>IFERROR(AJ136-VLOOKUP(U136,'SFFL Main Page'!$B$4:$L$20,8,FALSE),"")</f>
        <v>6.5172413793103487</v>
      </c>
      <c r="AL136" s="152">
        <f t="shared" si="27"/>
        <v>-29.767241379310349</v>
      </c>
    </row>
    <row r="137" spans="19:38" x14ac:dyDescent="0.3">
      <c r="S137" s="159">
        <v>132</v>
      </c>
      <c r="T137" s="118" t="s">
        <v>472</v>
      </c>
      <c r="U137" s="172" t="s">
        <v>48</v>
      </c>
      <c r="V137" s="151" t="str">
        <f>IFERROR(AVERAGEIFS(points,managers,'Owner View'!T137,opponent,'Owner View'!U137,outcome,"W"),"")</f>
        <v/>
      </c>
      <c r="W137" s="152" t="str">
        <f>IFERROR(V137-VLOOKUP(T137,'SFFL Main Page'!$B$4:$L$20,9,FALSE),"")</f>
        <v/>
      </c>
      <c r="X137" s="153">
        <f>IFERROR(COUNTIFS(managers,'Owner View'!T137,opponent,'Owner View'!U137,outcome,"W"),"")</f>
        <v>0</v>
      </c>
      <c r="Y137" s="151">
        <f>IFERROR(AVERAGEIFS(points,managers,'Owner View'!T137,opponent,'Owner View'!U137,outcome,"L"),"")</f>
        <v>105</v>
      </c>
      <c r="Z137" s="152">
        <f>IFERROR(Y137-VLOOKUP(T137,'SFFL Main Page'!$B$4:$L$20,10,FALSE),"")</f>
        <v>7.470588235294116</v>
      </c>
      <c r="AA137" s="153">
        <f>IFERROR(COUNTIFS(managers,'Owner View'!T137,opponent,'Owner View'!U137,outcome,"L"),"")</f>
        <v>3</v>
      </c>
      <c r="AB137" s="166" t="str">
        <f t="shared" si="28"/>
        <v/>
      </c>
      <c r="AC137" s="152" t="str">
        <f>IFERROR(AB137-VLOOKUP(T137,'SFFL Main Page'!$B$4:$L$20,8,FALSE),"")</f>
        <v/>
      </c>
      <c r="AD137" s="151">
        <f>IFERROR(AVERAGEIFS(points,managers,'Owner View'!U137,opponent,'Owner View'!T137,outcome,"W"),"")</f>
        <v>121.33333333333333</v>
      </c>
      <c r="AE137" s="152">
        <f>IFERROR(AD137-VLOOKUP(U137,'SFFL Main Page'!$B$4:$L$20,9,FALSE),"")</f>
        <v>12.588211382113812</v>
      </c>
      <c r="AF137" s="153">
        <f>IFERROR(COUNTIFS(managers,'Owner View'!U137,opponent,'Owner View'!T137,outcome,"W"),"")</f>
        <v>3</v>
      </c>
      <c r="AG137" s="151" t="str">
        <f>IFERROR(AVERAGEIFS(points,managers,'Owner View'!U137,opponent,'Owner View'!T137,outcome,"L"),"")</f>
        <v/>
      </c>
      <c r="AH137" s="152" t="str">
        <f>IFERROR(AG137-VLOOKUP(U137,'SFFL Main Page'!$B$4:$L$20,10,FALSE),"")</f>
        <v/>
      </c>
      <c r="AI137" s="153">
        <f>IFERROR(COUNTIFS(managers,'Owner View'!U137,opponent,'Owner View'!T137,outcome,"L"),"")</f>
        <v>0</v>
      </c>
      <c r="AJ137" s="151" t="str">
        <f t="shared" si="26"/>
        <v/>
      </c>
      <c r="AK137" s="169" t="str">
        <f>IFERROR(AJ137-VLOOKUP(U137,'SFFL Main Page'!$B$4:$L$20,8,FALSE),"")</f>
        <v/>
      </c>
      <c r="AL137" s="152" t="str">
        <f t="shared" si="27"/>
        <v/>
      </c>
    </row>
    <row r="138" spans="19:38" x14ac:dyDescent="0.3">
      <c r="S138" s="159">
        <v>133</v>
      </c>
      <c r="T138" s="118" t="s">
        <v>472</v>
      </c>
      <c r="U138" s="172" t="s">
        <v>29</v>
      </c>
      <c r="V138" s="151">
        <f>IFERROR(AVERAGEIFS(points,managers,'Owner View'!T138,opponent,'Owner View'!U138,outcome,"W"),"")</f>
        <v>122</v>
      </c>
      <c r="W138" s="152">
        <f>IFERROR(V138-VLOOKUP(T138,'SFFL Main Page'!$B$4:$L$20,9,FALSE),"")</f>
        <v>2.2727272727272663</v>
      </c>
      <c r="X138" s="153">
        <f>IFERROR(COUNTIFS(managers,'Owner View'!T138,opponent,'Owner View'!U138,outcome,"W"),"")</f>
        <v>1</v>
      </c>
      <c r="Y138" s="151">
        <f>IFERROR(AVERAGEIFS(points,managers,'Owner View'!T138,opponent,'Owner View'!U138,outcome,"L"),"")</f>
        <v>114</v>
      </c>
      <c r="Z138" s="152">
        <f>IFERROR(Y138-VLOOKUP(T138,'SFFL Main Page'!$B$4:$L$20,10,FALSE),"")</f>
        <v>16.470588235294116</v>
      </c>
      <c r="AA138" s="153">
        <f>IFERROR(COUNTIFS(managers,'Owner View'!T138,opponent,'Owner View'!U138,outcome,"L"),"")</f>
        <v>1</v>
      </c>
      <c r="AB138" s="166">
        <f t="shared" si="28"/>
        <v>118</v>
      </c>
      <c r="AC138" s="152">
        <f>IFERROR(AB138-VLOOKUP(T138,'SFFL Main Page'!$B$4:$L$20,8,FALSE),"")</f>
        <v>11.75</v>
      </c>
      <c r="AD138" s="151">
        <f>IFERROR(AVERAGEIFS(points,managers,'Owner View'!U138,opponent,'Owner View'!T138,outcome,"W"),"")</f>
        <v>120</v>
      </c>
      <c r="AE138" s="152">
        <f>IFERROR(AD138-VLOOKUP(U138,'SFFL Main Page'!$B$4:$L$20,9,FALSE),"")</f>
        <v>18.929411764705875</v>
      </c>
      <c r="AF138" s="153">
        <f>IFERROR(COUNTIFS(managers,'Owner View'!U138,opponent,'Owner View'!T138,outcome,"W"),"")</f>
        <v>1</v>
      </c>
      <c r="AG138" s="151">
        <f>IFERROR(AVERAGEIFS(points,managers,'Owner View'!U138,opponent,'Owner View'!T138,outcome,"L"),"")</f>
        <v>110</v>
      </c>
      <c r="AH138" s="152">
        <f>IFERROR(AG138-VLOOKUP(U138,'SFFL Main Page'!$B$4:$L$20,10,FALSE),"")</f>
        <v>31.875</v>
      </c>
      <c r="AI138" s="153">
        <f>IFERROR(COUNTIFS(managers,'Owner View'!U138,opponent,'Owner View'!T138,outcome,"L"),"")</f>
        <v>1</v>
      </c>
      <c r="AJ138" s="151">
        <f t="shared" si="26"/>
        <v>115</v>
      </c>
      <c r="AK138" s="169">
        <f>IFERROR(AJ138-VLOOKUP(U138,'SFFL Main Page'!$B$4:$L$20,8,FALSE),"")</f>
        <v>25.597701149425291</v>
      </c>
      <c r="AL138" s="152">
        <f t="shared" si="27"/>
        <v>-13.847701149425291</v>
      </c>
    </row>
    <row r="139" spans="19:38" x14ac:dyDescent="0.3">
      <c r="S139" s="159">
        <v>134</v>
      </c>
      <c r="T139" s="118" t="s">
        <v>472</v>
      </c>
      <c r="U139" s="172" t="s">
        <v>43</v>
      </c>
      <c r="V139" s="151">
        <f>IFERROR(AVERAGEIFS(points,managers,'Owner View'!T139,opponent,'Owner View'!U139,outcome,"W"),"")</f>
        <v>124</v>
      </c>
      <c r="W139" s="152">
        <f>IFERROR(V139-VLOOKUP(T139,'SFFL Main Page'!$B$4:$L$20,9,FALSE),"")</f>
        <v>4.2727272727272663</v>
      </c>
      <c r="X139" s="153">
        <f>IFERROR(COUNTIFS(managers,'Owner View'!T139,opponent,'Owner View'!U139,outcome,"W"),"")</f>
        <v>1</v>
      </c>
      <c r="Y139" s="151">
        <f>IFERROR(AVERAGEIFS(points,managers,'Owner View'!T139,opponent,'Owner View'!U139,outcome,"L"),"")</f>
        <v>95</v>
      </c>
      <c r="Z139" s="152">
        <f>IFERROR(Y139-VLOOKUP(T139,'SFFL Main Page'!$B$4:$L$20,10,FALSE),"")</f>
        <v>-2.529411764705884</v>
      </c>
      <c r="AA139" s="153">
        <f>IFERROR(COUNTIFS(managers,'Owner View'!T139,opponent,'Owner View'!U139,outcome,"L"),"")</f>
        <v>1</v>
      </c>
      <c r="AB139" s="166">
        <f t="shared" si="28"/>
        <v>109.5</v>
      </c>
      <c r="AC139" s="152">
        <f>IFERROR(AB139-VLOOKUP(T139,'SFFL Main Page'!$B$4:$L$20,8,FALSE),"")</f>
        <v>3.25</v>
      </c>
      <c r="AD139" s="151">
        <f>IFERROR(AVERAGEIFS(points,managers,'Owner View'!U139,opponent,'Owner View'!T139,outcome,"W"),"")</f>
        <v>123</v>
      </c>
      <c r="AE139" s="152">
        <f>IFERROR(AD139-VLOOKUP(U139,'SFFL Main Page'!$B$4:$L$20,9,FALSE),"")</f>
        <v>22.172839506172835</v>
      </c>
      <c r="AF139" s="153">
        <f>IFERROR(COUNTIFS(managers,'Owner View'!U139,opponent,'Owner View'!T139,outcome,"W"),"")</f>
        <v>1</v>
      </c>
      <c r="AG139" s="151">
        <f>IFERROR(AVERAGEIFS(points,managers,'Owner View'!U139,opponent,'Owner View'!T139,outcome,"L"),"")</f>
        <v>97</v>
      </c>
      <c r="AH139" s="152">
        <f>IFERROR(AG139-VLOOKUP(U139,'SFFL Main Page'!$B$4:$L$20,10,FALSE),"")</f>
        <v>21.630434782608702</v>
      </c>
      <c r="AI139" s="153">
        <f>IFERROR(COUNTIFS(managers,'Owner View'!U139,opponent,'Owner View'!T139,outcome,"L"),"")</f>
        <v>1</v>
      </c>
      <c r="AJ139" s="151">
        <f t="shared" si="26"/>
        <v>110</v>
      </c>
      <c r="AK139" s="169">
        <f>IFERROR(AJ139-VLOOKUP(U139,'SFFL Main Page'!$B$4:$L$20,8,FALSE),"")</f>
        <v>22.758620689655174</v>
      </c>
      <c r="AL139" s="152">
        <f t="shared" si="27"/>
        <v>-19.508620689655174</v>
      </c>
    </row>
    <row r="140" spans="19:38" x14ac:dyDescent="0.3">
      <c r="S140" s="159">
        <v>135</v>
      </c>
      <c r="T140" s="118" t="s">
        <v>472</v>
      </c>
      <c r="U140" s="172" t="s">
        <v>473</v>
      </c>
      <c r="V140" s="151">
        <f>IFERROR(AVERAGEIFS(points,managers,'Owner View'!T140,opponent,'Owner View'!U140,outcome,"W"),"")</f>
        <v>137.5</v>
      </c>
      <c r="W140" s="152">
        <f>IFERROR(V140-VLOOKUP(T140,'SFFL Main Page'!$B$4:$L$20,9,FALSE),"")</f>
        <v>17.772727272727266</v>
      </c>
      <c r="X140" s="153">
        <f>IFERROR(COUNTIFS(managers,'Owner View'!T140,opponent,'Owner View'!U140,outcome,"W"),"")</f>
        <v>2</v>
      </c>
      <c r="Y140" s="151">
        <f>IFERROR(AVERAGEIFS(points,managers,'Owner View'!T140,opponent,'Owner View'!U140,outcome,"L"),"")</f>
        <v>106</v>
      </c>
      <c r="Z140" s="152">
        <f>IFERROR(Y140-VLOOKUP(T140,'SFFL Main Page'!$B$4:$L$20,10,FALSE),"")</f>
        <v>8.470588235294116</v>
      </c>
      <c r="AA140" s="153">
        <f>IFERROR(COUNTIFS(managers,'Owner View'!T140,opponent,'Owner View'!U140,outcome,"L"),"")</f>
        <v>1</v>
      </c>
      <c r="AB140" s="166">
        <f t="shared" si="28"/>
        <v>127</v>
      </c>
      <c r="AC140" s="152">
        <f>IFERROR(AB140-VLOOKUP(T140,'SFFL Main Page'!$B$4:$L$20,8,FALSE),"")</f>
        <v>20.75</v>
      </c>
      <c r="AD140" s="151">
        <f>IFERROR(AVERAGEIFS(points,managers,'Owner View'!U140,opponent,'Owner View'!T140,outcome,"W"),"")</f>
        <v>139</v>
      </c>
      <c r="AE140" s="152">
        <f>IFERROR(AD140-VLOOKUP(U140,'SFFL Main Page'!$B$4:$L$20,9,FALSE),"")</f>
        <v>16.444444444444443</v>
      </c>
      <c r="AF140" s="153">
        <f>IFERROR(COUNTIFS(managers,'Owner View'!U140,opponent,'Owner View'!T140,outcome,"W"),"")</f>
        <v>1</v>
      </c>
      <c r="AG140" s="151">
        <f>IFERROR(AVERAGEIFS(points,managers,'Owner View'!U140,opponent,'Owner View'!T140,outcome,"L"),"")</f>
        <v>96.5</v>
      </c>
      <c r="AH140" s="152">
        <f>IFERROR(AG140-VLOOKUP(U140,'SFFL Main Page'!$B$4:$L$20,10,FALSE),"")</f>
        <v>3.3421052631578902</v>
      </c>
      <c r="AI140" s="153">
        <f>IFERROR(COUNTIFS(managers,'Owner View'!U140,opponent,'Owner View'!T140,outcome,"L"),"")</f>
        <v>2</v>
      </c>
      <c r="AJ140" s="151">
        <f t="shared" si="26"/>
        <v>110.66666666666667</v>
      </c>
      <c r="AK140" s="169">
        <f>IFERROR(AJ140-VLOOKUP(U140,'SFFL Main Page'!$B$4:$L$20,8,FALSE),"")</f>
        <v>8.0595238095238102</v>
      </c>
      <c r="AL140" s="152">
        <f t="shared" si="27"/>
        <v>12.69047619047619</v>
      </c>
    </row>
    <row r="141" spans="19:38" x14ac:dyDescent="0.3">
      <c r="S141" s="159">
        <v>136</v>
      </c>
      <c r="T141" s="118" t="s">
        <v>472</v>
      </c>
      <c r="U141" s="172" t="s">
        <v>22</v>
      </c>
      <c r="V141" s="151">
        <f>IFERROR(AVERAGEIFS(points,managers,'Owner View'!T141,opponent,'Owner View'!U141,outcome,"W"),"")</f>
        <v>120</v>
      </c>
      <c r="W141" s="152">
        <f>IFERROR(V141-VLOOKUP(T141,'SFFL Main Page'!$B$4:$L$20,9,FALSE),"")</f>
        <v>0.27272727272726627</v>
      </c>
      <c r="X141" s="153">
        <f>IFERROR(COUNTIFS(managers,'Owner View'!T141,opponent,'Owner View'!U141,outcome,"W"),"")</f>
        <v>1</v>
      </c>
      <c r="Y141" s="151">
        <f>IFERROR(AVERAGEIFS(points,managers,'Owner View'!T141,opponent,'Owner View'!U141,outcome,"L"),"")</f>
        <v>112</v>
      </c>
      <c r="Z141" s="152">
        <f>IFERROR(Y141-VLOOKUP(T141,'SFFL Main Page'!$B$4:$L$20,10,FALSE),"")</f>
        <v>14.470588235294116</v>
      </c>
      <c r="AA141" s="153">
        <f>IFERROR(COUNTIFS(managers,'Owner View'!T141,opponent,'Owner View'!U141,outcome,"L"),"")</f>
        <v>1</v>
      </c>
      <c r="AB141" s="166">
        <f t="shared" si="28"/>
        <v>116</v>
      </c>
      <c r="AC141" s="152">
        <f>IFERROR(AB141-VLOOKUP(T141,'SFFL Main Page'!$B$4:$L$20,8,FALSE),"")</f>
        <v>9.75</v>
      </c>
      <c r="AD141" s="151">
        <f>IFERROR(AVERAGEIFS(points,managers,'Owner View'!U141,opponent,'Owner View'!T141,outcome,"W"),"")</f>
        <v>125</v>
      </c>
      <c r="AE141" s="152">
        <f>IFERROR(AD141-VLOOKUP(U141,'SFFL Main Page'!$B$4:$L$20,9,FALSE),"")</f>
        <v>22.619718309859152</v>
      </c>
      <c r="AF141" s="153">
        <f>IFERROR(COUNTIFS(managers,'Owner View'!U141,opponent,'Owner View'!T141,outcome,"W"),"")</f>
        <v>1</v>
      </c>
      <c r="AG141" s="151">
        <f>IFERROR(AVERAGEIFS(points,managers,'Owner View'!U141,opponent,'Owner View'!T141,outcome,"L"),"")</f>
        <v>119</v>
      </c>
      <c r="AH141" s="152">
        <f>IFERROR(AG141-VLOOKUP(U141,'SFFL Main Page'!$B$4:$L$20,10,FALSE),"")</f>
        <v>39.049019607843135</v>
      </c>
      <c r="AI141" s="153">
        <f>IFERROR(COUNTIFS(managers,'Owner View'!U141,opponent,'Owner View'!T141,outcome,"L"),"")</f>
        <v>1</v>
      </c>
      <c r="AJ141" s="151">
        <f t="shared" ref="AJ141:AJ204" si="29">IFERROR(((AD141*AF141)+(AG141*AI141))/SUM(AF141,AI141),"")</f>
        <v>122</v>
      </c>
      <c r="AK141" s="169">
        <f>IFERROR(AJ141-VLOOKUP(U141,'SFFL Main Page'!$B$4:$L$20,8,FALSE),"")</f>
        <v>32.839080459770116</v>
      </c>
      <c r="AL141" s="152">
        <f t="shared" ref="AL141:AL204" si="30">IFERROR(AC141-AK141,"")</f>
        <v>-23.089080459770116</v>
      </c>
    </row>
    <row r="142" spans="19:38" x14ac:dyDescent="0.3">
      <c r="S142" s="159">
        <v>137</v>
      </c>
      <c r="T142" s="118" t="s">
        <v>472</v>
      </c>
      <c r="U142" s="172" t="s">
        <v>30</v>
      </c>
      <c r="V142" s="151">
        <f>IFERROR(AVERAGEIFS(points,managers,'Owner View'!T142,opponent,'Owner View'!U142,outcome,"W"),"")</f>
        <v>126</v>
      </c>
      <c r="W142" s="152">
        <f>IFERROR(V142-VLOOKUP(T142,'SFFL Main Page'!$B$4:$L$20,9,FALSE),"")</f>
        <v>6.2727272727272663</v>
      </c>
      <c r="X142" s="153">
        <f>IFERROR(COUNTIFS(managers,'Owner View'!T142,opponent,'Owner View'!U142,outcome,"W"),"")</f>
        <v>1</v>
      </c>
      <c r="Y142" s="151">
        <f>IFERROR(AVERAGEIFS(points,managers,'Owner View'!T142,opponent,'Owner View'!U142,outcome,"L"),"")</f>
        <v>101</v>
      </c>
      <c r="Z142" s="152">
        <f>IFERROR(Y142-VLOOKUP(T142,'SFFL Main Page'!$B$4:$L$20,10,FALSE),"")</f>
        <v>3.470588235294116</v>
      </c>
      <c r="AA142" s="153">
        <f>IFERROR(COUNTIFS(managers,'Owner View'!T142,opponent,'Owner View'!U142,outcome,"L"),"")</f>
        <v>1</v>
      </c>
      <c r="AB142" s="166">
        <f t="shared" si="28"/>
        <v>113.5</v>
      </c>
      <c r="AC142" s="152">
        <f>IFERROR(AB142-VLOOKUP(T142,'SFFL Main Page'!$B$4:$L$20,8,FALSE),"")</f>
        <v>7.25</v>
      </c>
      <c r="AD142" s="151">
        <f>IFERROR(AVERAGEIFS(points,managers,'Owner View'!U142,opponent,'Owner View'!T142,outcome,"W"),"")</f>
        <v>156</v>
      </c>
      <c r="AE142" s="152">
        <f>IFERROR(AD142-VLOOKUP(U142,'SFFL Main Page'!$B$4:$L$20,9,FALSE),"")</f>
        <v>53.099999999999994</v>
      </c>
      <c r="AF142" s="153">
        <f>IFERROR(COUNTIFS(managers,'Owner View'!U142,opponent,'Owner View'!T142,outcome,"W"),"")</f>
        <v>1</v>
      </c>
      <c r="AG142" s="151">
        <f>IFERROR(AVERAGEIFS(points,managers,'Owner View'!U142,opponent,'Owner View'!T142,outcome,"L"),"")</f>
        <v>119</v>
      </c>
      <c r="AH142" s="152">
        <f>IFERROR(AG142-VLOOKUP(U142,'SFFL Main Page'!$B$4:$L$20,10,FALSE),"")</f>
        <v>37.064516129032256</v>
      </c>
      <c r="AI142" s="153">
        <f>IFERROR(COUNTIFS(managers,'Owner View'!U142,opponent,'Owner View'!T142,outcome,"L"),"")</f>
        <v>1</v>
      </c>
      <c r="AJ142" s="151">
        <f t="shared" si="29"/>
        <v>137.5</v>
      </c>
      <c r="AK142" s="169">
        <f>IFERROR(AJ142-VLOOKUP(U142,'SFFL Main Page'!$B$4:$L$20,8,FALSE),"")</f>
        <v>45.931034482758619</v>
      </c>
      <c r="AL142" s="152">
        <f t="shared" si="30"/>
        <v>-38.681034482758619</v>
      </c>
    </row>
    <row r="143" spans="19:38" x14ac:dyDescent="0.3">
      <c r="S143" s="159">
        <v>138</v>
      </c>
      <c r="T143" s="118" t="s">
        <v>472</v>
      </c>
      <c r="U143" s="172" t="s">
        <v>23</v>
      </c>
      <c r="V143" s="151">
        <f>IFERROR(AVERAGEIFS(points,managers,'Owner View'!T143,opponent,'Owner View'!U143,outcome,"W"),"")</f>
        <v>132</v>
      </c>
      <c r="W143" s="152">
        <f>IFERROR(V143-VLOOKUP(T143,'SFFL Main Page'!$B$4:$L$20,9,FALSE),"")</f>
        <v>12.272727272727266</v>
      </c>
      <c r="X143" s="153">
        <f>IFERROR(COUNTIFS(managers,'Owner View'!T143,opponent,'Owner View'!U143,outcome,"W"),"")</f>
        <v>1</v>
      </c>
      <c r="Y143" s="151">
        <f>IFERROR(AVERAGEIFS(points,managers,'Owner View'!T143,opponent,'Owner View'!U143,outcome,"L"),"")</f>
        <v>92</v>
      </c>
      <c r="Z143" s="152">
        <f>IFERROR(Y143-VLOOKUP(T143,'SFFL Main Page'!$B$4:$L$20,10,FALSE),"")</f>
        <v>-5.529411764705884</v>
      </c>
      <c r="AA143" s="153">
        <f>IFERROR(COUNTIFS(managers,'Owner View'!T143,opponent,'Owner View'!U143,outcome,"L"),"")</f>
        <v>1</v>
      </c>
      <c r="AB143" s="166">
        <f t="shared" si="28"/>
        <v>112</v>
      </c>
      <c r="AC143" s="152">
        <f>IFERROR(AB143-VLOOKUP(T143,'SFFL Main Page'!$B$4:$L$20,8,FALSE),"")</f>
        <v>5.75</v>
      </c>
      <c r="AD143" s="151">
        <f>IFERROR(AVERAGEIFS(points,managers,'Owner View'!U143,opponent,'Owner View'!T143,outcome,"W"),"")</f>
        <v>111</v>
      </c>
      <c r="AE143" s="152">
        <f>IFERROR(AD143-VLOOKUP(U143,'SFFL Main Page'!$B$4:$L$20,9,FALSE),"")</f>
        <v>8.074468085106389</v>
      </c>
      <c r="AF143" s="153">
        <f>IFERROR(COUNTIFS(managers,'Owner View'!U143,opponent,'Owner View'!T143,outcome,"W"),"")</f>
        <v>1</v>
      </c>
      <c r="AG143" s="151">
        <f>IFERROR(AVERAGEIFS(points,managers,'Owner View'!U143,opponent,'Owner View'!T143,outcome,"L"),"")</f>
        <v>97</v>
      </c>
      <c r="AH143" s="152">
        <f>IFERROR(AG143-VLOOKUP(U143,'SFFL Main Page'!$B$4:$L$20,10,FALSE),"")</f>
        <v>16.367088607594937</v>
      </c>
      <c r="AI143" s="153">
        <f>IFERROR(COUNTIFS(managers,'Owner View'!U143,opponent,'Owner View'!T143,outcome,"L"),"")</f>
        <v>1</v>
      </c>
      <c r="AJ143" s="151">
        <f t="shared" si="29"/>
        <v>104</v>
      </c>
      <c r="AK143" s="169">
        <f>IFERROR(AJ143-VLOOKUP(U143,'SFFL Main Page'!$B$4:$L$20,8,FALSE),"")</f>
        <v>11.160919540229884</v>
      </c>
      <c r="AL143" s="152">
        <f t="shared" si="30"/>
        <v>-5.4109195402298838</v>
      </c>
    </row>
    <row r="144" spans="19:38" x14ac:dyDescent="0.3">
      <c r="S144" s="159">
        <v>139</v>
      </c>
      <c r="T144" s="118" t="s">
        <v>472</v>
      </c>
      <c r="U144" s="172" t="s">
        <v>28</v>
      </c>
      <c r="V144" s="151" t="str">
        <f>IFERROR(AVERAGEIFS(points,managers,'Owner View'!T144,opponent,'Owner View'!U144,outcome,"W"),"")</f>
        <v/>
      </c>
      <c r="W144" s="152" t="str">
        <f>IFERROR(V144-VLOOKUP(T144,'SFFL Main Page'!$B$4:$L$20,9,FALSE),"")</f>
        <v/>
      </c>
      <c r="X144" s="153">
        <f>IFERROR(COUNTIFS(managers,'Owner View'!T144,opponent,'Owner View'!U144,outcome,"W"),"")</f>
        <v>0</v>
      </c>
      <c r="Y144" s="151">
        <f>IFERROR(AVERAGEIFS(points,managers,'Owner View'!T144,opponent,'Owner View'!U144,outcome,"L"),"")</f>
        <v>95</v>
      </c>
      <c r="Z144" s="152">
        <f>IFERROR(Y144-VLOOKUP(T144,'SFFL Main Page'!$B$4:$L$20,10,FALSE),"")</f>
        <v>-2.529411764705884</v>
      </c>
      <c r="AA144" s="153">
        <f>IFERROR(COUNTIFS(managers,'Owner View'!T144,opponent,'Owner View'!U144,outcome,"L"),"")</f>
        <v>2</v>
      </c>
      <c r="AB144" s="166" t="str">
        <f t="shared" si="28"/>
        <v/>
      </c>
      <c r="AC144" s="152" t="str">
        <f>IFERROR(AB144-VLOOKUP(T144,'SFFL Main Page'!$B$4:$L$20,8,FALSE),"")</f>
        <v/>
      </c>
      <c r="AD144" s="151">
        <f>IFERROR(AVERAGEIFS(points,managers,'Owner View'!U144,opponent,'Owner View'!T144,outcome,"W"),"")</f>
        <v>117.5</v>
      </c>
      <c r="AE144" s="152">
        <f>IFERROR(AD144-VLOOKUP(U144,'SFFL Main Page'!$B$4:$L$20,9,FALSE),"")</f>
        <v>11.166666666666671</v>
      </c>
      <c r="AF144" s="153">
        <f>IFERROR(COUNTIFS(managers,'Owner View'!U144,opponent,'Owner View'!T144,outcome,"W"),"")</f>
        <v>2</v>
      </c>
      <c r="AG144" s="151" t="str">
        <f>IFERROR(AVERAGEIFS(points,managers,'Owner View'!U144,opponent,'Owner View'!T144,outcome,"L"),"")</f>
        <v/>
      </c>
      <c r="AH144" s="152" t="str">
        <f>IFERROR(AG144-VLOOKUP(U144,'SFFL Main Page'!$B$4:$L$20,10,FALSE),"")</f>
        <v/>
      </c>
      <c r="AI144" s="153">
        <f>IFERROR(COUNTIFS(managers,'Owner View'!U144,opponent,'Owner View'!T144,outcome,"L"),"")</f>
        <v>0</v>
      </c>
      <c r="AJ144" s="151" t="str">
        <f t="shared" si="29"/>
        <v/>
      </c>
      <c r="AK144" s="169" t="str">
        <f>IFERROR(AJ144-VLOOKUP(U144,'SFFL Main Page'!$B$4:$L$20,8,FALSE),"")</f>
        <v/>
      </c>
      <c r="AL144" s="152" t="str">
        <f t="shared" si="30"/>
        <v/>
      </c>
    </row>
    <row r="145" spans="19:38" x14ac:dyDescent="0.3">
      <c r="S145" s="159">
        <v>140</v>
      </c>
      <c r="T145" s="118" t="s">
        <v>472</v>
      </c>
      <c r="U145" s="172" t="s">
        <v>24</v>
      </c>
      <c r="V145" s="151">
        <f>IFERROR(AVERAGEIFS(points,managers,'Owner View'!T145,opponent,'Owner View'!U145,outcome,"W"),"")</f>
        <v>115</v>
      </c>
      <c r="W145" s="152">
        <f>IFERROR(V145-VLOOKUP(T145,'SFFL Main Page'!$B$4:$L$20,9,FALSE),"")</f>
        <v>-4.7272727272727337</v>
      </c>
      <c r="X145" s="153">
        <f>IFERROR(COUNTIFS(managers,'Owner View'!T145,opponent,'Owner View'!U145,outcome,"W"),"")</f>
        <v>1</v>
      </c>
      <c r="Y145" s="151">
        <f>IFERROR(AVERAGEIFS(points,managers,'Owner View'!T145,opponent,'Owner View'!U145,outcome,"L"),"")</f>
        <v>88</v>
      </c>
      <c r="Z145" s="152">
        <f>IFERROR(Y145-VLOOKUP(T145,'SFFL Main Page'!$B$4:$L$20,10,FALSE),"")</f>
        <v>-9.529411764705884</v>
      </c>
      <c r="AA145" s="153">
        <f>IFERROR(COUNTIFS(managers,'Owner View'!T145,opponent,'Owner View'!U145,outcome,"L"),"")</f>
        <v>1</v>
      </c>
      <c r="AB145" s="166">
        <f t="shared" si="28"/>
        <v>101.5</v>
      </c>
      <c r="AC145" s="152">
        <f>IFERROR(AB145-VLOOKUP(T145,'SFFL Main Page'!$B$4:$L$20,8,FALSE),"")</f>
        <v>-4.75</v>
      </c>
      <c r="AD145" s="151">
        <f>IFERROR(AVERAGEIFS(points,managers,'Owner View'!U145,opponent,'Owner View'!T145,outcome,"W"),"")</f>
        <v>89</v>
      </c>
      <c r="AE145" s="152">
        <f>IFERROR(AD145-VLOOKUP(U145,'SFFL Main Page'!$B$4:$L$20,9,FALSE),"")</f>
        <v>-15.759036144578317</v>
      </c>
      <c r="AF145" s="153">
        <f>IFERROR(COUNTIFS(managers,'Owner View'!U145,opponent,'Owner View'!T145,outcome,"W"),"")</f>
        <v>1</v>
      </c>
      <c r="AG145" s="151">
        <f>IFERROR(AVERAGEIFS(points,managers,'Owner View'!U145,opponent,'Owner View'!T145,outcome,"L"),"")</f>
        <v>113</v>
      </c>
      <c r="AH145" s="152">
        <f>IFERROR(AG145-VLOOKUP(U145,'SFFL Main Page'!$B$4:$L$20,10,FALSE),"")</f>
        <v>36.439560439560438</v>
      </c>
      <c r="AI145" s="153">
        <f>IFERROR(COUNTIFS(managers,'Owner View'!U145,opponent,'Owner View'!T145,outcome,"L"),"")</f>
        <v>1</v>
      </c>
      <c r="AJ145" s="151">
        <f t="shared" si="29"/>
        <v>101</v>
      </c>
      <c r="AK145" s="169">
        <f>IFERROR(AJ145-VLOOKUP(U145,'SFFL Main Page'!$B$4:$L$20,8,FALSE),"")</f>
        <v>10.988505747126439</v>
      </c>
      <c r="AL145" s="152">
        <f t="shared" si="30"/>
        <v>-15.738505747126439</v>
      </c>
    </row>
    <row r="146" spans="19:38" x14ac:dyDescent="0.3">
      <c r="S146" s="159">
        <v>141</v>
      </c>
      <c r="T146" s="118" t="s">
        <v>22</v>
      </c>
      <c r="U146" s="172" t="s">
        <v>27</v>
      </c>
      <c r="V146" s="151">
        <f>IFERROR(AVERAGEIFS(points,managers,'Owner View'!T146,opponent,'Owner View'!U146,outcome,"W"),"")</f>
        <v>93.666666666666671</v>
      </c>
      <c r="W146" s="152">
        <f>IFERROR(V146-VLOOKUP(T146,'SFFL Main Page'!$B$4:$L$20,9,FALSE),"")</f>
        <v>-8.7136150234741763</v>
      </c>
      <c r="X146" s="153">
        <f>IFERROR(COUNTIFS(managers,'Owner View'!T146,opponent,'Owner View'!U146,outcome,"W"),"")</f>
        <v>3</v>
      </c>
      <c r="Y146" s="151">
        <f>IFERROR(AVERAGEIFS(points,managers,'Owner View'!T146,opponent,'Owner View'!U146,outcome,"L"),"")</f>
        <v>64.166666666666671</v>
      </c>
      <c r="Z146" s="152">
        <f>IFERROR(Y146-VLOOKUP(T146,'SFFL Main Page'!$B$4:$L$20,10,FALSE),"")</f>
        <v>-15.784313725490193</v>
      </c>
      <c r="AA146" s="153">
        <f>IFERROR(COUNTIFS(managers,'Owner View'!T146,opponent,'Owner View'!U146,outcome,"L"),"")</f>
        <v>6</v>
      </c>
      <c r="AB146" s="166">
        <f t="shared" si="28"/>
        <v>74</v>
      </c>
      <c r="AC146" s="152">
        <f>IFERROR(AB146-VLOOKUP(T146,'SFFL Main Page'!$B$4:$L$20,8,FALSE),"")</f>
        <v>-15.160919540229884</v>
      </c>
      <c r="AD146" s="151">
        <f>IFERROR(AVERAGEIFS(points,managers,'Owner View'!U146,opponent,'Owner View'!T146,outcome,"W"),"")</f>
        <v>95.333333333333329</v>
      </c>
      <c r="AE146" s="152">
        <f>IFERROR(AD146-VLOOKUP(U146,'SFFL Main Page'!$B$4:$L$20,9,FALSE),"")</f>
        <v>-0.15602836879432402</v>
      </c>
      <c r="AF146" s="153">
        <f>IFERROR(COUNTIFS(managers,'Owner View'!U146,opponent,'Owner View'!T146,outcome,"W"),"")</f>
        <v>6</v>
      </c>
      <c r="AG146" s="151">
        <f>IFERROR(AVERAGEIFS(points,managers,'Owner View'!U146,opponent,'Owner View'!T146,outcome,"L"),"")</f>
        <v>65.666666666666671</v>
      </c>
      <c r="AH146" s="152">
        <f>IFERROR(AG146-VLOOKUP(U146,'SFFL Main Page'!$B$4:$L$20,10,FALSE),"")</f>
        <v>-4.298245614035082</v>
      </c>
      <c r="AI146" s="153">
        <f>IFERROR(COUNTIFS(managers,'Owner View'!U146,opponent,'Owner View'!T146,outcome,"L"),"")</f>
        <v>3</v>
      </c>
      <c r="AJ146" s="151">
        <f t="shared" si="29"/>
        <v>85.444444444444443</v>
      </c>
      <c r="AK146" s="169">
        <f>IFERROR(AJ146-VLOOKUP(U146,'SFFL Main Page'!$B$4:$L$20,8,FALSE),"")</f>
        <v>3.9444444444444429</v>
      </c>
      <c r="AL146" s="152">
        <f t="shared" si="30"/>
        <v>-19.105363984674327</v>
      </c>
    </row>
    <row r="147" spans="19:38" x14ac:dyDescent="0.3">
      <c r="S147" s="159">
        <v>142</v>
      </c>
      <c r="T147" s="118" t="s">
        <v>22</v>
      </c>
      <c r="U147" s="172" t="s">
        <v>227</v>
      </c>
      <c r="V147" s="151">
        <f>IFERROR(AVERAGEIFS(points,managers,'Owner View'!T147,opponent,'Owner View'!U147,outcome,"W"),"")</f>
        <v>112.66666666666667</v>
      </c>
      <c r="W147" s="152">
        <f>IFERROR(V147-VLOOKUP(T147,'SFFL Main Page'!$B$4:$L$20,9,FALSE),"")</f>
        <v>10.286384976525824</v>
      </c>
      <c r="X147" s="153">
        <f>IFERROR(COUNTIFS(managers,'Owner View'!T147,opponent,'Owner View'!U147,outcome,"W"),"")</f>
        <v>6</v>
      </c>
      <c r="Y147" s="151">
        <f>IFERROR(AVERAGEIFS(points,managers,'Owner View'!T147,opponent,'Owner View'!U147,outcome,"L"),"")</f>
        <v>83.333333333333329</v>
      </c>
      <c r="Z147" s="152">
        <f>IFERROR(Y147-VLOOKUP(T147,'SFFL Main Page'!$B$4:$L$20,10,FALSE),"")</f>
        <v>3.3823529411764639</v>
      </c>
      <c r="AA147" s="153">
        <f>IFERROR(COUNTIFS(managers,'Owner View'!T147,opponent,'Owner View'!U147,outcome,"L"),"")</f>
        <v>3</v>
      </c>
      <c r="AB147" s="166">
        <f t="shared" si="28"/>
        <v>102.88888888888889</v>
      </c>
      <c r="AC147" s="152">
        <f>IFERROR(AB147-VLOOKUP(T147,'SFFL Main Page'!$B$4:$L$20,8,FALSE),"")</f>
        <v>13.727969348659002</v>
      </c>
      <c r="AD147" s="151">
        <f>IFERROR(AVERAGEIFS(points,managers,'Owner View'!U147,opponent,'Owner View'!T147,outcome,"W"),"")</f>
        <v>115.33333333333333</v>
      </c>
      <c r="AE147" s="152">
        <f>IFERROR(AD147-VLOOKUP(U147,'SFFL Main Page'!$B$4:$L$20,9,FALSE),"")</f>
        <v>6.643678160919535</v>
      </c>
      <c r="AF147" s="153">
        <f>IFERROR(COUNTIFS(managers,'Owner View'!U147,opponent,'Owner View'!T147,outcome,"W"),"")</f>
        <v>3</v>
      </c>
      <c r="AG147" s="151">
        <f>IFERROR(AVERAGEIFS(points,managers,'Owner View'!U147,opponent,'Owner View'!T147,outcome,"L"),"")</f>
        <v>79.333333333333329</v>
      </c>
      <c r="AH147" s="152">
        <f>IFERROR(AG147-VLOOKUP(U147,'SFFL Main Page'!$B$4:$L$20,10,FALSE),"")</f>
        <v>-2.2520325203252014</v>
      </c>
      <c r="AI147" s="153">
        <f>IFERROR(COUNTIFS(managers,'Owner View'!U147,opponent,'Owner View'!T147,outcome,"L"),"")</f>
        <v>6</v>
      </c>
      <c r="AJ147" s="151">
        <f t="shared" si="29"/>
        <v>91.333333333333329</v>
      </c>
      <c r="AK147" s="169">
        <f>IFERROR(AJ147-VLOOKUP(U147,'SFFL Main Page'!$B$4:$L$20,8,FALSE),"")</f>
        <v>-1.4809523809523881</v>
      </c>
      <c r="AL147" s="152">
        <f t="shared" si="30"/>
        <v>15.20892172961139</v>
      </c>
    </row>
    <row r="148" spans="19:38" x14ac:dyDescent="0.3">
      <c r="S148" s="159">
        <v>143</v>
      </c>
      <c r="T148" s="118" t="s">
        <v>22</v>
      </c>
      <c r="U148" s="172" t="s">
        <v>25</v>
      </c>
      <c r="V148" s="151">
        <f>IFERROR(AVERAGEIFS(points,managers,'Owner View'!T148,opponent,'Owner View'!U148,outcome,"W"),"")</f>
        <v>86</v>
      </c>
      <c r="W148" s="152">
        <f>IFERROR(V148-VLOOKUP(T148,'SFFL Main Page'!$B$4:$L$20,9,FALSE),"")</f>
        <v>-16.380281690140848</v>
      </c>
      <c r="X148" s="153">
        <f>IFERROR(COUNTIFS(managers,'Owner View'!T148,opponent,'Owner View'!U148,outcome,"W"),"")</f>
        <v>3</v>
      </c>
      <c r="Y148" s="151">
        <f>IFERROR(AVERAGEIFS(points,managers,'Owner View'!T148,opponent,'Owner View'!U148,outcome,"L"),"")</f>
        <v>80.230769230769226</v>
      </c>
      <c r="Z148" s="152">
        <f>IFERROR(Y148-VLOOKUP(T148,'SFFL Main Page'!$B$4:$L$20,10,FALSE),"")</f>
        <v>0.2797888386123617</v>
      </c>
      <c r="AA148" s="153">
        <f>IFERROR(COUNTIFS(managers,'Owner View'!T148,opponent,'Owner View'!U148,outcome,"L"),"")</f>
        <v>13</v>
      </c>
      <c r="AB148" s="166">
        <f t="shared" si="28"/>
        <v>81.3125</v>
      </c>
      <c r="AC148" s="152">
        <f>IFERROR(AB148-VLOOKUP(T148,'SFFL Main Page'!$B$4:$L$20,8,FALSE),"")</f>
        <v>-7.8484195402298838</v>
      </c>
      <c r="AD148" s="151">
        <f>IFERROR(AVERAGEIFS(points,managers,'Owner View'!U148,opponent,'Owner View'!T148,outcome,"W"),"")</f>
        <v>102.61538461538461</v>
      </c>
      <c r="AE148" s="152">
        <f>IFERROR(AD148-VLOOKUP(U148,'SFFL Main Page'!$B$4:$L$20,9,FALSE),"")</f>
        <v>0.84526967285587773</v>
      </c>
      <c r="AF148" s="153">
        <f>IFERROR(COUNTIFS(managers,'Owner View'!U148,opponent,'Owner View'!T148,outcome,"W"),"")</f>
        <v>13</v>
      </c>
      <c r="AG148" s="151">
        <f>IFERROR(AVERAGEIFS(points,managers,'Owner View'!U148,opponent,'Owner View'!T148,outcome,"L"),"")</f>
        <v>73</v>
      </c>
      <c r="AH148" s="152">
        <f>IFERROR(AG148-VLOOKUP(U148,'SFFL Main Page'!$B$4:$L$20,10,FALSE),"")</f>
        <v>-4.9404761904761898</v>
      </c>
      <c r="AI148" s="153">
        <f>IFERROR(COUNTIFS(managers,'Owner View'!U148,opponent,'Owner View'!T148,outcome,"L"),"")</f>
        <v>3</v>
      </c>
      <c r="AJ148" s="151">
        <f t="shared" si="29"/>
        <v>97.0625</v>
      </c>
      <c r="AK148" s="169">
        <f>IFERROR(AJ148-VLOOKUP(U148,'SFFL Main Page'!$B$4:$L$20,8,FALSE),"")</f>
        <v>7.0739942528735611</v>
      </c>
      <c r="AL148" s="152">
        <f t="shared" si="30"/>
        <v>-14.922413793103445</v>
      </c>
    </row>
    <row r="149" spans="19:38" x14ac:dyDescent="0.3">
      <c r="S149" s="159">
        <v>144</v>
      </c>
      <c r="T149" s="118" t="s">
        <v>22</v>
      </c>
      <c r="U149" s="172" t="s">
        <v>47</v>
      </c>
      <c r="V149" s="151">
        <f>IFERROR(AVERAGEIFS(points,managers,'Owner View'!T149,opponent,'Owner View'!U149,outcome,"W"),"")</f>
        <v>102</v>
      </c>
      <c r="W149" s="152">
        <f>IFERROR(V149-VLOOKUP(T149,'SFFL Main Page'!$B$4:$L$20,9,FALSE),"")</f>
        <v>-0.38028169014084767</v>
      </c>
      <c r="X149" s="153">
        <f>IFERROR(COUNTIFS(managers,'Owner View'!T149,opponent,'Owner View'!U149,outcome,"W"),"")</f>
        <v>2</v>
      </c>
      <c r="Y149" s="151">
        <f>IFERROR(AVERAGEIFS(points,managers,'Owner View'!T149,opponent,'Owner View'!U149,outcome,"L"),"")</f>
        <v>88.769230769230774</v>
      </c>
      <c r="Z149" s="152">
        <f>IFERROR(Y149-VLOOKUP(T149,'SFFL Main Page'!$B$4:$L$20,10,FALSE),"")</f>
        <v>8.8182503770739089</v>
      </c>
      <c r="AA149" s="153">
        <f>IFERROR(COUNTIFS(managers,'Owner View'!T149,opponent,'Owner View'!U149,outcome,"L"),"")</f>
        <v>13</v>
      </c>
      <c r="AB149" s="166">
        <f t="shared" si="28"/>
        <v>90.533333333333331</v>
      </c>
      <c r="AC149" s="152">
        <f>IFERROR(AB149-VLOOKUP(T149,'SFFL Main Page'!$B$4:$L$20,8,FALSE),"")</f>
        <v>1.3724137931034477</v>
      </c>
      <c r="AD149" s="151">
        <f>IFERROR(AVERAGEIFS(points,managers,'Owner View'!U149,opponent,'Owner View'!T149,outcome,"W"),"")</f>
        <v>109.53846153846153</v>
      </c>
      <c r="AE149" s="152">
        <f>IFERROR(AD149-VLOOKUP(U149,'SFFL Main Page'!$B$4:$L$20,9,FALSE),"")</f>
        <v>4.1805668016194346</v>
      </c>
      <c r="AF149" s="153">
        <f>IFERROR(COUNTIFS(managers,'Owner View'!U149,opponent,'Owner View'!T149,outcome,"W"),"")</f>
        <v>13</v>
      </c>
      <c r="AG149" s="151">
        <f>IFERROR(AVERAGEIFS(points,managers,'Owner View'!U149,opponent,'Owner View'!T149,outcome,"L"),"")</f>
        <v>87</v>
      </c>
      <c r="AH149" s="152">
        <f>IFERROR(AG149-VLOOKUP(U149,'SFFL Main Page'!$B$4:$L$20,10,FALSE),"")</f>
        <v>3.4230769230769198</v>
      </c>
      <c r="AI149" s="153">
        <f>IFERROR(COUNTIFS(managers,'Owner View'!U149,opponent,'Owner View'!T149,outcome,"L"),"")</f>
        <v>2</v>
      </c>
      <c r="AJ149" s="151">
        <f t="shared" si="29"/>
        <v>106.53333333333333</v>
      </c>
      <c r="AK149" s="169">
        <f>IFERROR(AJ149-VLOOKUP(U149,'SFFL Main Page'!$B$4:$L$20,8,FALSE),"")</f>
        <v>8.9725225225225245</v>
      </c>
      <c r="AL149" s="152">
        <f t="shared" si="30"/>
        <v>-7.6001087294190768</v>
      </c>
    </row>
    <row r="150" spans="19:38" x14ac:dyDescent="0.3">
      <c r="S150" s="159">
        <v>145</v>
      </c>
      <c r="T150" s="118" t="s">
        <v>22</v>
      </c>
      <c r="U150" s="172" t="s">
        <v>26</v>
      </c>
      <c r="V150" s="151">
        <f>IFERROR(AVERAGEIFS(points,managers,'Owner View'!T150,opponent,'Owner View'!U150,outcome,"W"),"")</f>
        <v>99.222222222222229</v>
      </c>
      <c r="W150" s="152">
        <f>IFERROR(V150-VLOOKUP(T150,'SFFL Main Page'!$B$4:$L$20,9,FALSE),"")</f>
        <v>-3.1580594679186191</v>
      </c>
      <c r="X150" s="153">
        <f>IFERROR(COUNTIFS(managers,'Owner View'!T150,opponent,'Owner View'!U150,outcome,"W"),"")</f>
        <v>9</v>
      </c>
      <c r="Y150" s="151">
        <f>IFERROR(AVERAGEIFS(points,managers,'Owner View'!T150,opponent,'Owner View'!U150,outcome,"L"),"")</f>
        <v>77</v>
      </c>
      <c r="Z150" s="152">
        <f>IFERROR(Y150-VLOOKUP(T150,'SFFL Main Page'!$B$4:$L$20,10,FALSE),"")</f>
        <v>-2.9509803921568647</v>
      </c>
      <c r="AA150" s="153">
        <f>IFERROR(COUNTIFS(managers,'Owner View'!T150,opponent,'Owner View'!U150,outcome,"L"),"")</f>
        <v>8</v>
      </c>
      <c r="AB150" s="166">
        <f t="shared" si="28"/>
        <v>88.764705882352942</v>
      </c>
      <c r="AC150" s="152">
        <f>IFERROR(AB150-VLOOKUP(T150,'SFFL Main Page'!$B$4:$L$20,8,FALSE),"")</f>
        <v>-0.39621365787694174</v>
      </c>
      <c r="AD150" s="151">
        <f>IFERROR(AVERAGEIFS(points,managers,'Owner View'!U150,opponent,'Owner View'!T150,outcome,"W"),"")</f>
        <v>108.625</v>
      </c>
      <c r="AE150" s="152">
        <f>IFERROR(AD150-VLOOKUP(U150,'SFFL Main Page'!$B$4:$L$20,9,FALSE),"")</f>
        <v>5.0729166666666714</v>
      </c>
      <c r="AF150" s="153">
        <f>IFERROR(COUNTIFS(managers,'Owner View'!U150,opponent,'Owner View'!T150,outcome,"W"),"")</f>
        <v>8</v>
      </c>
      <c r="AG150" s="151">
        <f>IFERROR(AVERAGEIFS(points,managers,'Owner View'!U150,opponent,'Owner View'!T150,outcome,"L"),"")</f>
        <v>77</v>
      </c>
      <c r="AH150" s="152">
        <f>IFERROR(AG150-VLOOKUP(U150,'SFFL Main Page'!$B$4:$L$20,10,FALSE),"")</f>
        <v>-0.53246753246753542</v>
      </c>
      <c r="AI150" s="153">
        <f>IFERROR(COUNTIFS(managers,'Owner View'!U150,opponent,'Owner View'!T150,outcome,"L"),"")</f>
        <v>9</v>
      </c>
      <c r="AJ150" s="151">
        <f t="shared" si="29"/>
        <v>91.882352941176464</v>
      </c>
      <c r="AK150" s="169">
        <f>IFERROR(AJ150-VLOOKUP(U150,'SFFL Main Page'!$B$4:$L$20,8,FALSE),"")</f>
        <v>-0.10040567951318735</v>
      </c>
      <c r="AL150" s="152">
        <f t="shared" si="30"/>
        <v>-0.29580797836375439</v>
      </c>
    </row>
    <row r="151" spans="19:38" x14ac:dyDescent="0.3">
      <c r="S151" s="159">
        <v>146</v>
      </c>
      <c r="T151" s="118" t="s">
        <v>22</v>
      </c>
      <c r="U151" s="172" t="s">
        <v>48</v>
      </c>
      <c r="V151" s="151">
        <f>IFERROR(AVERAGEIFS(points,managers,'Owner View'!T151,opponent,'Owner View'!U151,outcome,"W"),"")</f>
        <v>92</v>
      </c>
      <c r="W151" s="152">
        <f>IFERROR(V151-VLOOKUP(T151,'SFFL Main Page'!$B$4:$L$20,9,FALSE),"")</f>
        <v>-10.380281690140848</v>
      </c>
      <c r="X151" s="153">
        <f>IFERROR(COUNTIFS(managers,'Owner View'!T151,opponent,'Owner View'!U151,outcome,"W"),"")</f>
        <v>2</v>
      </c>
      <c r="Y151" s="151">
        <f>IFERROR(AVERAGEIFS(points,managers,'Owner View'!T151,opponent,'Owner View'!U151,outcome,"L"),"")</f>
        <v>85.5</v>
      </c>
      <c r="Z151" s="152">
        <f>IFERROR(Y151-VLOOKUP(T151,'SFFL Main Page'!$B$4:$L$20,10,FALSE),"")</f>
        <v>5.5490196078431353</v>
      </c>
      <c r="AA151" s="153">
        <f>IFERROR(COUNTIFS(managers,'Owner View'!T151,opponent,'Owner View'!U151,outcome,"L"),"")</f>
        <v>10</v>
      </c>
      <c r="AB151" s="166">
        <f t="shared" si="28"/>
        <v>86.583333333333329</v>
      </c>
      <c r="AC151" s="152">
        <f>IFERROR(AB151-VLOOKUP(T151,'SFFL Main Page'!$B$4:$L$20,8,FALSE),"")</f>
        <v>-2.5775862068965552</v>
      </c>
      <c r="AD151" s="151">
        <f>IFERROR(AVERAGEIFS(points,managers,'Owner View'!U151,opponent,'Owner View'!T151,outcome,"W"),"")</f>
        <v>122.3</v>
      </c>
      <c r="AE151" s="152">
        <f>IFERROR(AD151-VLOOKUP(U151,'SFFL Main Page'!$B$4:$L$20,9,FALSE),"")</f>
        <v>13.554878048780481</v>
      </c>
      <c r="AF151" s="153">
        <f>IFERROR(COUNTIFS(managers,'Owner View'!U151,opponent,'Owner View'!T151,outcome,"W"),"")</f>
        <v>10</v>
      </c>
      <c r="AG151" s="151">
        <f>IFERROR(AVERAGEIFS(points,managers,'Owner View'!U151,opponent,'Owner View'!T151,outcome,"L"),"")</f>
        <v>63</v>
      </c>
      <c r="AH151" s="152">
        <f>IFERROR(AG151-VLOOKUP(U151,'SFFL Main Page'!$B$4:$L$20,10,FALSE),"")</f>
        <v>-21.757575757575751</v>
      </c>
      <c r="AI151" s="153">
        <f>IFERROR(COUNTIFS(managers,'Owner View'!U151,opponent,'Owner View'!T151,outcome,"L"),"")</f>
        <v>2</v>
      </c>
      <c r="AJ151" s="151">
        <f t="shared" si="29"/>
        <v>112.41666666666667</v>
      </c>
      <c r="AK151" s="169">
        <f>IFERROR(AJ151-VLOOKUP(U151,'SFFL Main Page'!$B$4:$L$20,8,FALSE),"")</f>
        <v>14.3686936936937</v>
      </c>
      <c r="AL151" s="152">
        <f t="shared" si="30"/>
        <v>-16.946279900590255</v>
      </c>
    </row>
    <row r="152" spans="19:38" x14ac:dyDescent="0.3">
      <c r="S152" s="159">
        <v>147</v>
      </c>
      <c r="T152" s="118" t="s">
        <v>22</v>
      </c>
      <c r="U152" s="172" t="s">
        <v>29</v>
      </c>
      <c r="V152" s="151">
        <f>IFERROR(AVERAGEIFS(points,managers,'Owner View'!T152,opponent,'Owner View'!U152,outcome,"W"),"")</f>
        <v>109</v>
      </c>
      <c r="W152" s="152">
        <f>IFERROR(V152-VLOOKUP(T152,'SFFL Main Page'!$B$4:$L$20,9,FALSE),"")</f>
        <v>6.6197183098591523</v>
      </c>
      <c r="X152" s="153">
        <f>IFERROR(COUNTIFS(managers,'Owner View'!T152,opponent,'Owner View'!U152,outcome,"W"),"")</f>
        <v>8</v>
      </c>
      <c r="Y152" s="151">
        <f>IFERROR(AVERAGEIFS(points,managers,'Owner View'!T152,opponent,'Owner View'!U152,outcome,"L"),"")</f>
        <v>83.5</v>
      </c>
      <c r="Z152" s="152">
        <f>IFERROR(Y152-VLOOKUP(T152,'SFFL Main Page'!$B$4:$L$20,10,FALSE),"")</f>
        <v>3.5490196078431353</v>
      </c>
      <c r="AA152" s="153">
        <f>IFERROR(COUNTIFS(managers,'Owner View'!T152,opponent,'Owner View'!U152,outcome,"L"),"")</f>
        <v>4</v>
      </c>
      <c r="AB152" s="166">
        <f t="shared" si="28"/>
        <v>100.5</v>
      </c>
      <c r="AC152" s="152">
        <f>IFERROR(AB152-VLOOKUP(T152,'SFFL Main Page'!$B$4:$L$20,8,FALSE),"")</f>
        <v>11.339080459770116</v>
      </c>
      <c r="AD152" s="151">
        <f>IFERROR(AVERAGEIFS(points,managers,'Owner View'!U152,opponent,'Owner View'!T152,outcome,"W"),"")</f>
        <v>104.5</v>
      </c>
      <c r="AE152" s="152">
        <f>IFERROR(AD152-VLOOKUP(U152,'SFFL Main Page'!$B$4:$L$20,9,FALSE),"")</f>
        <v>3.4294117647058755</v>
      </c>
      <c r="AF152" s="153">
        <f>IFERROR(COUNTIFS(managers,'Owner View'!U152,opponent,'Owner View'!T152,outcome,"W"),"")</f>
        <v>4</v>
      </c>
      <c r="AG152" s="151">
        <f>IFERROR(AVERAGEIFS(points,managers,'Owner View'!U152,opponent,'Owner View'!T152,outcome,"L"),"")</f>
        <v>81.25</v>
      </c>
      <c r="AH152" s="152">
        <f>IFERROR(AG152-VLOOKUP(U152,'SFFL Main Page'!$B$4:$L$20,10,FALSE),"")</f>
        <v>3.125</v>
      </c>
      <c r="AI152" s="153">
        <f>IFERROR(COUNTIFS(managers,'Owner View'!U152,opponent,'Owner View'!T152,outcome,"L"),"")</f>
        <v>8</v>
      </c>
      <c r="AJ152" s="151">
        <f t="shared" si="29"/>
        <v>89</v>
      </c>
      <c r="AK152" s="169">
        <f>IFERROR(AJ152-VLOOKUP(U152,'SFFL Main Page'!$B$4:$L$20,8,FALSE),"")</f>
        <v>-0.40229885057470938</v>
      </c>
      <c r="AL152" s="152">
        <f t="shared" si="30"/>
        <v>11.741379310344826</v>
      </c>
    </row>
    <row r="153" spans="19:38" x14ac:dyDescent="0.3">
      <c r="S153" s="159">
        <v>148</v>
      </c>
      <c r="T153" s="118" t="s">
        <v>22</v>
      </c>
      <c r="U153" s="172" t="s">
        <v>43</v>
      </c>
      <c r="V153" s="151">
        <f>IFERROR(AVERAGEIFS(points,managers,'Owner View'!T153,opponent,'Owner View'!U153,outcome,"W"),"")</f>
        <v>99.125</v>
      </c>
      <c r="W153" s="152">
        <f>IFERROR(V153-VLOOKUP(T153,'SFFL Main Page'!$B$4:$L$20,9,FALSE),"")</f>
        <v>-3.2552816901408477</v>
      </c>
      <c r="X153" s="153">
        <f>IFERROR(COUNTIFS(managers,'Owner View'!T153,opponent,'Owner View'!U153,outcome,"W"),"")</f>
        <v>8</v>
      </c>
      <c r="Y153" s="151">
        <f>IFERROR(AVERAGEIFS(points,managers,'Owner View'!T153,opponent,'Owner View'!U153,outcome,"L"),"")</f>
        <v>70.2</v>
      </c>
      <c r="Z153" s="152">
        <f>IFERROR(Y153-VLOOKUP(T153,'SFFL Main Page'!$B$4:$L$20,10,FALSE),"")</f>
        <v>-9.7509803921568619</v>
      </c>
      <c r="AA153" s="153">
        <f>IFERROR(COUNTIFS(managers,'Owner View'!T153,opponent,'Owner View'!U153,outcome,"L"),"")</f>
        <v>10</v>
      </c>
      <c r="AB153" s="166">
        <f t="shared" si="28"/>
        <v>83.055555555555557</v>
      </c>
      <c r="AC153" s="152">
        <f>IFERROR(AB153-VLOOKUP(T153,'SFFL Main Page'!$B$4:$L$20,8,FALSE),"")</f>
        <v>-6.1053639846743266</v>
      </c>
      <c r="AD153" s="151">
        <f>IFERROR(AVERAGEIFS(points,managers,'Owner View'!U153,opponent,'Owner View'!T153,outcome,"W"),"")</f>
        <v>97.4</v>
      </c>
      <c r="AE153" s="152">
        <f>IFERROR(AD153-VLOOKUP(U153,'SFFL Main Page'!$B$4:$L$20,9,FALSE),"")</f>
        <v>-3.4271604938271594</v>
      </c>
      <c r="AF153" s="153">
        <f>IFERROR(COUNTIFS(managers,'Owner View'!U153,opponent,'Owner View'!T153,outcome,"W"),"")</f>
        <v>10</v>
      </c>
      <c r="AG153" s="151">
        <f>IFERROR(AVERAGEIFS(points,managers,'Owner View'!U153,opponent,'Owner View'!T153,outcome,"L"),"")</f>
        <v>66.75</v>
      </c>
      <c r="AH153" s="152">
        <f>IFERROR(AG153-VLOOKUP(U153,'SFFL Main Page'!$B$4:$L$20,10,FALSE),"")</f>
        <v>-8.6195652173912976</v>
      </c>
      <c r="AI153" s="153">
        <f>IFERROR(COUNTIFS(managers,'Owner View'!U153,opponent,'Owner View'!T153,outcome,"L"),"")</f>
        <v>8</v>
      </c>
      <c r="AJ153" s="151">
        <f t="shared" si="29"/>
        <v>83.777777777777771</v>
      </c>
      <c r="AK153" s="169">
        <f>IFERROR(AJ153-VLOOKUP(U153,'SFFL Main Page'!$B$4:$L$20,8,FALSE),"")</f>
        <v>-3.4636015325670542</v>
      </c>
      <c r="AL153" s="152">
        <f t="shared" si="30"/>
        <v>-2.6417624521072725</v>
      </c>
    </row>
    <row r="154" spans="19:38" x14ac:dyDescent="0.3">
      <c r="S154" s="159">
        <v>149</v>
      </c>
      <c r="T154" s="118" t="s">
        <v>22</v>
      </c>
      <c r="U154" s="172" t="s">
        <v>473</v>
      </c>
      <c r="V154" s="151">
        <f>IFERROR(AVERAGEIFS(points,managers,'Owner View'!T154,opponent,'Owner View'!U154,outcome,"W"),"")</f>
        <v>126</v>
      </c>
      <c r="W154" s="152">
        <f>IFERROR(V154-VLOOKUP(T154,'SFFL Main Page'!$B$4:$L$20,9,FALSE),"")</f>
        <v>23.619718309859152</v>
      </c>
      <c r="X154" s="153">
        <f>IFERROR(COUNTIFS(managers,'Owner View'!T154,opponent,'Owner View'!U154,outcome,"W"),"")</f>
        <v>1</v>
      </c>
      <c r="Y154" s="151">
        <f>IFERROR(AVERAGEIFS(points,managers,'Owner View'!T154,opponent,'Owner View'!U154,outcome,"L"),"")</f>
        <v>102</v>
      </c>
      <c r="Z154" s="152">
        <f>IFERROR(Y154-VLOOKUP(T154,'SFFL Main Page'!$B$4:$L$20,10,FALSE),"")</f>
        <v>22.049019607843135</v>
      </c>
      <c r="AA154" s="153">
        <f>IFERROR(COUNTIFS(managers,'Owner View'!T154,opponent,'Owner View'!U154,outcome,"L"),"")</f>
        <v>1</v>
      </c>
      <c r="AB154" s="166">
        <f t="shared" si="28"/>
        <v>114</v>
      </c>
      <c r="AC154" s="152">
        <f>IFERROR(AB154-VLOOKUP(T154,'SFFL Main Page'!$B$4:$L$20,8,FALSE),"")</f>
        <v>24.839080459770116</v>
      </c>
      <c r="AD154" s="151">
        <f>IFERROR(AVERAGEIFS(points,managers,'Owner View'!U154,opponent,'Owner View'!T154,outcome,"W"),"")</f>
        <v>131</v>
      </c>
      <c r="AE154" s="152">
        <f>IFERROR(AD154-VLOOKUP(U154,'SFFL Main Page'!$B$4:$L$20,9,FALSE),"")</f>
        <v>8.4444444444444429</v>
      </c>
      <c r="AF154" s="153">
        <f>IFERROR(COUNTIFS(managers,'Owner View'!U154,opponent,'Owner View'!T154,outcome,"W"),"")</f>
        <v>1</v>
      </c>
      <c r="AG154" s="151">
        <f>IFERROR(AVERAGEIFS(points,managers,'Owner View'!U154,opponent,'Owner View'!T154,outcome,"L"),"")</f>
        <v>119</v>
      </c>
      <c r="AH154" s="152">
        <f>IFERROR(AG154-VLOOKUP(U154,'SFFL Main Page'!$B$4:$L$20,10,FALSE),"")</f>
        <v>25.84210526315789</v>
      </c>
      <c r="AI154" s="153">
        <f>IFERROR(COUNTIFS(managers,'Owner View'!U154,opponent,'Owner View'!T154,outcome,"L"),"")</f>
        <v>1</v>
      </c>
      <c r="AJ154" s="151">
        <f t="shared" si="29"/>
        <v>125</v>
      </c>
      <c r="AK154" s="169">
        <f>IFERROR(AJ154-VLOOKUP(U154,'SFFL Main Page'!$B$4:$L$20,8,FALSE),"")</f>
        <v>22.392857142857139</v>
      </c>
      <c r="AL154" s="152">
        <f t="shared" si="30"/>
        <v>2.4462233169129775</v>
      </c>
    </row>
    <row r="155" spans="19:38" x14ac:dyDescent="0.3">
      <c r="S155" s="159">
        <v>150</v>
      </c>
      <c r="T155" s="118" t="s">
        <v>22</v>
      </c>
      <c r="U155" s="172" t="s">
        <v>472</v>
      </c>
      <c r="V155" s="151">
        <f>IFERROR(AVERAGEIFS(points,managers,'Owner View'!T155,opponent,'Owner View'!U155,outcome,"W"),"")</f>
        <v>125</v>
      </c>
      <c r="W155" s="152">
        <f>IFERROR(V155-VLOOKUP(T155,'SFFL Main Page'!$B$4:$L$20,9,FALSE),"")</f>
        <v>22.619718309859152</v>
      </c>
      <c r="X155" s="153">
        <f>IFERROR(COUNTIFS(managers,'Owner View'!T155,opponent,'Owner View'!U155,outcome,"W"),"")</f>
        <v>1</v>
      </c>
      <c r="Y155" s="151">
        <f>IFERROR(AVERAGEIFS(points,managers,'Owner View'!T155,opponent,'Owner View'!U155,outcome,"L"),"")</f>
        <v>119</v>
      </c>
      <c r="Z155" s="152">
        <f>IFERROR(Y155-VLOOKUP(T155,'SFFL Main Page'!$B$4:$L$20,10,FALSE),"")</f>
        <v>39.049019607843135</v>
      </c>
      <c r="AA155" s="153">
        <f>IFERROR(COUNTIFS(managers,'Owner View'!T155,opponent,'Owner View'!U155,outcome,"L"),"")</f>
        <v>1</v>
      </c>
      <c r="AB155" s="166">
        <f t="shared" si="28"/>
        <v>122</v>
      </c>
      <c r="AC155" s="152">
        <f>IFERROR(AB155-VLOOKUP(T155,'SFFL Main Page'!$B$4:$L$20,8,FALSE),"")</f>
        <v>32.839080459770116</v>
      </c>
      <c r="AD155" s="151">
        <f>IFERROR(AVERAGEIFS(points,managers,'Owner View'!U155,opponent,'Owner View'!T155,outcome,"W"),"")</f>
        <v>120</v>
      </c>
      <c r="AE155" s="152">
        <f>IFERROR(AD155-VLOOKUP(U155,'SFFL Main Page'!$B$4:$L$20,9,FALSE),"")</f>
        <v>0.27272727272726627</v>
      </c>
      <c r="AF155" s="153">
        <f>IFERROR(COUNTIFS(managers,'Owner View'!U155,opponent,'Owner View'!T155,outcome,"W"),"")</f>
        <v>1</v>
      </c>
      <c r="AG155" s="151">
        <f>IFERROR(AVERAGEIFS(points,managers,'Owner View'!U155,opponent,'Owner View'!T155,outcome,"L"),"")</f>
        <v>112</v>
      </c>
      <c r="AH155" s="152">
        <f>IFERROR(AG155-VLOOKUP(U155,'SFFL Main Page'!$B$4:$L$20,10,FALSE),"")</f>
        <v>14.470588235294116</v>
      </c>
      <c r="AI155" s="153">
        <f>IFERROR(COUNTIFS(managers,'Owner View'!U155,opponent,'Owner View'!T155,outcome,"L"),"")</f>
        <v>1</v>
      </c>
      <c r="AJ155" s="151">
        <f t="shared" si="29"/>
        <v>116</v>
      </c>
      <c r="AK155" s="169">
        <f>IFERROR(AJ155-VLOOKUP(U155,'SFFL Main Page'!$B$4:$L$20,8,FALSE),"")</f>
        <v>9.75</v>
      </c>
      <c r="AL155" s="152">
        <f t="shared" si="30"/>
        <v>23.089080459770116</v>
      </c>
    </row>
    <row r="156" spans="19:38" x14ac:dyDescent="0.3">
      <c r="S156" s="159">
        <v>151</v>
      </c>
      <c r="T156" s="118" t="s">
        <v>22</v>
      </c>
      <c r="U156" s="172" t="s">
        <v>30</v>
      </c>
      <c r="V156" s="151">
        <f>IFERROR(AVERAGEIFS(points,managers,'Owner View'!T156,opponent,'Owner View'!U156,outcome,"W"),"")</f>
        <v>95.5</v>
      </c>
      <c r="W156" s="152">
        <f>IFERROR(V156-VLOOKUP(T156,'SFFL Main Page'!$B$4:$L$20,9,FALSE),"")</f>
        <v>-6.8802816901408477</v>
      </c>
      <c r="X156" s="153">
        <f>IFERROR(COUNTIFS(managers,'Owner View'!T156,opponent,'Owner View'!U156,outcome,"W"),"")</f>
        <v>8</v>
      </c>
      <c r="Y156" s="151">
        <f>IFERROR(AVERAGEIFS(points,managers,'Owner View'!T156,opponent,'Owner View'!U156,outcome,"L"),"")</f>
        <v>78.25</v>
      </c>
      <c r="Z156" s="152">
        <f>IFERROR(Y156-VLOOKUP(T156,'SFFL Main Page'!$B$4:$L$20,10,FALSE),"")</f>
        <v>-1.7009803921568647</v>
      </c>
      <c r="AA156" s="153">
        <f>IFERROR(COUNTIFS(managers,'Owner View'!T156,opponent,'Owner View'!U156,outcome,"L"),"")</f>
        <v>8</v>
      </c>
      <c r="AB156" s="166">
        <f t="shared" si="28"/>
        <v>86.875</v>
      </c>
      <c r="AC156" s="152">
        <f>IFERROR(AB156-VLOOKUP(T156,'SFFL Main Page'!$B$4:$L$20,8,FALSE),"")</f>
        <v>-2.2859195402298838</v>
      </c>
      <c r="AD156" s="151">
        <f>IFERROR(AVERAGEIFS(points,managers,'Owner View'!U156,opponent,'Owner View'!T156,outcome,"W"),"")</f>
        <v>107.875</v>
      </c>
      <c r="AE156" s="152">
        <f>IFERROR(AD156-VLOOKUP(U156,'SFFL Main Page'!$B$4:$L$20,9,FALSE),"")</f>
        <v>4.9749999999999943</v>
      </c>
      <c r="AF156" s="153">
        <f>IFERROR(COUNTIFS(managers,'Owner View'!U156,opponent,'Owner View'!T156,outcome,"W"),"")</f>
        <v>8</v>
      </c>
      <c r="AG156" s="151">
        <f>IFERROR(AVERAGEIFS(points,managers,'Owner View'!U156,opponent,'Owner View'!T156,outcome,"L"),"")</f>
        <v>85.875</v>
      </c>
      <c r="AH156" s="152">
        <f>IFERROR(AG156-VLOOKUP(U156,'SFFL Main Page'!$B$4:$L$20,10,FALSE),"")</f>
        <v>3.9395161290322562</v>
      </c>
      <c r="AI156" s="153">
        <f>IFERROR(COUNTIFS(managers,'Owner View'!U156,opponent,'Owner View'!T156,outcome,"L"),"")</f>
        <v>8</v>
      </c>
      <c r="AJ156" s="151">
        <f t="shared" si="29"/>
        <v>96.875</v>
      </c>
      <c r="AK156" s="169">
        <f>IFERROR(AJ156-VLOOKUP(U156,'SFFL Main Page'!$B$4:$L$20,8,FALSE),"")</f>
        <v>5.3060344827586192</v>
      </c>
      <c r="AL156" s="152">
        <f t="shared" si="30"/>
        <v>-7.591954022988503</v>
      </c>
    </row>
    <row r="157" spans="19:38" x14ac:dyDescent="0.3">
      <c r="S157" s="159">
        <v>152</v>
      </c>
      <c r="T157" s="118" t="s">
        <v>22</v>
      </c>
      <c r="U157" s="172" t="s">
        <v>23</v>
      </c>
      <c r="V157" s="151">
        <f>IFERROR(AVERAGEIFS(points,managers,'Owner View'!T157,opponent,'Owner View'!U157,outcome,"W"),"")</f>
        <v>108.6</v>
      </c>
      <c r="W157" s="152">
        <f>IFERROR(V157-VLOOKUP(T157,'SFFL Main Page'!$B$4:$L$20,9,FALSE),"")</f>
        <v>6.2197183098591466</v>
      </c>
      <c r="X157" s="153">
        <f>IFERROR(COUNTIFS(managers,'Owner View'!T157,opponent,'Owner View'!U157,outcome,"W"),"")</f>
        <v>5</v>
      </c>
      <c r="Y157" s="151">
        <f>IFERROR(AVERAGEIFS(points,managers,'Owner View'!T157,opponent,'Owner View'!U157,outcome,"L"),"")</f>
        <v>78.599999999999994</v>
      </c>
      <c r="Z157" s="152">
        <f>IFERROR(Y157-VLOOKUP(T157,'SFFL Main Page'!$B$4:$L$20,10,FALSE),"")</f>
        <v>-1.3509803921568704</v>
      </c>
      <c r="AA157" s="153">
        <f>IFERROR(COUNTIFS(managers,'Owner View'!T157,opponent,'Owner View'!U157,outcome,"L"),"")</f>
        <v>10</v>
      </c>
      <c r="AB157" s="166">
        <f t="shared" si="28"/>
        <v>88.6</v>
      </c>
      <c r="AC157" s="152">
        <f>IFERROR(AB157-VLOOKUP(T157,'SFFL Main Page'!$B$4:$L$20,8,FALSE),"")</f>
        <v>-0.56091954022988944</v>
      </c>
      <c r="AD157" s="151">
        <f>IFERROR(AVERAGEIFS(points,managers,'Owner View'!U157,opponent,'Owner View'!T157,outcome,"W"),"")</f>
        <v>110.3</v>
      </c>
      <c r="AE157" s="152">
        <f>IFERROR(AD157-VLOOKUP(U157,'SFFL Main Page'!$B$4:$L$20,9,FALSE),"")</f>
        <v>7.3744680851063862</v>
      </c>
      <c r="AF157" s="153">
        <f>IFERROR(COUNTIFS(managers,'Owner View'!U157,opponent,'Owner View'!T157,outcome,"W"),"")</f>
        <v>10</v>
      </c>
      <c r="AG157" s="151">
        <f>IFERROR(AVERAGEIFS(points,managers,'Owner View'!U157,opponent,'Owner View'!T157,outcome,"L"),"")</f>
        <v>80</v>
      </c>
      <c r="AH157" s="152">
        <f>IFERROR(AG157-VLOOKUP(U157,'SFFL Main Page'!$B$4:$L$20,10,FALSE),"")</f>
        <v>-0.63291139240506311</v>
      </c>
      <c r="AI157" s="153">
        <f>IFERROR(COUNTIFS(managers,'Owner View'!U157,opponent,'Owner View'!T157,outcome,"L"),"")</f>
        <v>5</v>
      </c>
      <c r="AJ157" s="151">
        <f t="shared" si="29"/>
        <v>100.2</v>
      </c>
      <c r="AK157" s="169">
        <f>IFERROR(AJ157-VLOOKUP(U157,'SFFL Main Page'!$B$4:$L$20,8,FALSE),"")</f>
        <v>7.3609195402298866</v>
      </c>
      <c r="AL157" s="152">
        <f t="shared" si="30"/>
        <v>-7.921839080459776</v>
      </c>
    </row>
    <row r="158" spans="19:38" x14ac:dyDescent="0.3">
      <c r="S158" s="159">
        <v>153</v>
      </c>
      <c r="T158" s="118" t="s">
        <v>22</v>
      </c>
      <c r="U158" s="172" t="s">
        <v>28</v>
      </c>
      <c r="V158" s="151">
        <f>IFERROR(AVERAGEIFS(points,managers,'Owner View'!T158,opponent,'Owner View'!U158,outcome,"W"),"")</f>
        <v>95.8</v>
      </c>
      <c r="W158" s="152">
        <f>IFERROR(V158-VLOOKUP(T158,'SFFL Main Page'!$B$4:$L$20,9,FALSE),"")</f>
        <v>-6.5802816901408505</v>
      </c>
      <c r="X158" s="153">
        <f>IFERROR(COUNTIFS(managers,'Owner View'!T158,opponent,'Owner View'!U158,outcome,"W"),"")</f>
        <v>5</v>
      </c>
      <c r="Y158" s="151">
        <f>IFERROR(AVERAGEIFS(points,managers,'Owner View'!T158,opponent,'Owner View'!U158,outcome,"L"),"")</f>
        <v>81.666666666666671</v>
      </c>
      <c r="Z158" s="152">
        <f>IFERROR(Y158-VLOOKUP(T158,'SFFL Main Page'!$B$4:$L$20,10,FALSE),"")</f>
        <v>1.7156862745098067</v>
      </c>
      <c r="AA158" s="153">
        <f>IFERROR(COUNTIFS(managers,'Owner View'!T158,opponent,'Owner View'!U158,outcome,"L"),"")</f>
        <v>9</v>
      </c>
      <c r="AB158" s="166">
        <f t="shared" si="28"/>
        <v>86.714285714285708</v>
      </c>
      <c r="AC158" s="152">
        <f>IFERROR(AB158-VLOOKUP(T158,'SFFL Main Page'!$B$4:$L$20,8,FALSE),"")</f>
        <v>-2.4466338259441756</v>
      </c>
      <c r="AD158" s="151">
        <f>IFERROR(AVERAGEIFS(points,managers,'Owner View'!U158,opponent,'Owner View'!T158,outcome,"W"),"")</f>
        <v>104</v>
      </c>
      <c r="AE158" s="152">
        <f>IFERROR(AD158-VLOOKUP(U158,'SFFL Main Page'!$B$4:$L$20,9,FALSE),"")</f>
        <v>-2.3333333333333286</v>
      </c>
      <c r="AF158" s="153">
        <f>IFERROR(COUNTIFS(managers,'Owner View'!U158,opponent,'Owner View'!T158,outcome,"W"),"")</f>
        <v>9</v>
      </c>
      <c r="AG158" s="151">
        <f>IFERROR(AVERAGEIFS(points,managers,'Owner View'!U158,opponent,'Owner View'!T158,outcome,"L"),"")</f>
        <v>77.599999999999994</v>
      </c>
      <c r="AH158" s="152">
        <f>IFERROR(AG158-VLOOKUP(U158,'SFFL Main Page'!$B$4:$L$20,10,FALSE),"")</f>
        <v>-3.3146341463414757</v>
      </c>
      <c r="AI158" s="153">
        <f>IFERROR(COUNTIFS(managers,'Owner View'!U158,opponent,'Owner View'!T158,outcome,"L"),"")</f>
        <v>5</v>
      </c>
      <c r="AJ158" s="151">
        <f t="shared" si="29"/>
        <v>94.571428571428569</v>
      </c>
      <c r="AK158" s="169">
        <f>IFERROR(AJ158-VLOOKUP(U158,'SFFL Main Page'!$B$4:$L$20,8,FALSE),"")</f>
        <v>0.34729064039409252</v>
      </c>
      <c r="AL158" s="152">
        <f t="shared" si="30"/>
        <v>-2.7939244663382681</v>
      </c>
    </row>
    <row r="159" spans="19:38" x14ac:dyDescent="0.3">
      <c r="S159" s="159">
        <v>154</v>
      </c>
      <c r="T159" s="118" t="s">
        <v>22</v>
      </c>
      <c r="U159" s="172" t="s">
        <v>24</v>
      </c>
      <c r="V159" s="151">
        <f>IFERROR(AVERAGEIFS(points,managers,'Owner View'!T159,opponent,'Owner View'!U159,outcome,"W"),"")</f>
        <v>107.1</v>
      </c>
      <c r="W159" s="152">
        <f>IFERROR(V159-VLOOKUP(T159,'SFFL Main Page'!$B$4:$L$20,9,FALSE),"")</f>
        <v>4.7197183098591466</v>
      </c>
      <c r="X159" s="153">
        <f>IFERROR(COUNTIFS(managers,'Owner View'!T159,opponent,'Owner View'!U159,outcome,"W"),"")</f>
        <v>10</v>
      </c>
      <c r="Y159" s="151">
        <f>IFERROR(AVERAGEIFS(points,managers,'Owner View'!T159,opponent,'Owner View'!U159,outcome,"L"),"")</f>
        <v>74.666666666666671</v>
      </c>
      <c r="Z159" s="152">
        <f>IFERROR(Y159-VLOOKUP(T159,'SFFL Main Page'!$B$4:$L$20,10,FALSE),"")</f>
        <v>-5.2843137254901933</v>
      </c>
      <c r="AA159" s="153">
        <f>IFERROR(COUNTIFS(managers,'Owner View'!T159,opponent,'Owner View'!U159,outcome,"L"),"")</f>
        <v>6</v>
      </c>
      <c r="AB159" s="166">
        <f t="shared" si="28"/>
        <v>94.9375</v>
      </c>
      <c r="AC159" s="152">
        <f>IFERROR(AB159-VLOOKUP(T159,'SFFL Main Page'!$B$4:$L$20,8,FALSE),"")</f>
        <v>5.7765804597701162</v>
      </c>
      <c r="AD159" s="151">
        <f>IFERROR(AVERAGEIFS(points,managers,'Owner View'!U159,opponent,'Owner View'!T159,outcome,"W"),"")</f>
        <v>114.16666666666667</v>
      </c>
      <c r="AE159" s="152">
        <f>IFERROR(AD159-VLOOKUP(U159,'SFFL Main Page'!$B$4:$L$20,9,FALSE),"")</f>
        <v>9.407630522088354</v>
      </c>
      <c r="AF159" s="153">
        <f>IFERROR(COUNTIFS(managers,'Owner View'!U159,opponent,'Owner View'!T159,outcome,"W"),"")</f>
        <v>6</v>
      </c>
      <c r="AG159" s="151">
        <f>IFERROR(AVERAGEIFS(points,managers,'Owner View'!U159,opponent,'Owner View'!T159,outcome,"L"),"")</f>
        <v>75.8</v>
      </c>
      <c r="AH159" s="152">
        <f>IFERROR(AG159-VLOOKUP(U159,'SFFL Main Page'!$B$4:$L$20,10,FALSE),"")</f>
        <v>-0.76043956043956484</v>
      </c>
      <c r="AI159" s="153">
        <f>IFERROR(COUNTIFS(managers,'Owner View'!U159,opponent,'Owner View'!T159,outcome,"L"),"")</f>
        <v>10</v>
      </c>
      <c r="AJ159" s="151">
        <f t="shared" si="29"/>
        <v>90.1875</v>
      </c>
      <c r="AK159" s="169">
        <f>IFERROR(AJ159-VLOOKUP(U159,'SFFL Main Page'!$B$4:$L$20,8,FALSE),"")</f>
        <v>0.17600574712643891</v>
      </c>
      <c r="AL159" s="152">
        <f t="shared" si="30"/>
        <v>5.6005747126436773</v>
      </c>
    </row>
    <row r="160" spans="19:38" x14ac:dyDescent="0.3">
      <c r="S160" s="159">
        <v>155</v>
      </c>
      <c r="T160" s="118" t="s">
        <v>30</v>
      </c>
      <c r="U160" s="172" t="s">
        <v>27</v>
      </c>
      <c r="V160" s="151">
        <f>IFERROR(AVERAGEIFS(points,managers,'Owner View'!T160,opponent,'Owner View'!U160,outcome,"W"),"")</f>
        <v>91.333333333333329</v>
      </c>
      <c r="W160" s="152">
        <f>IFERROR(V160-VLOOKUP(T160,'SFFL Main Page'!$B$4:$L$20,9,FALSE),"")</f>
        <v>-11.566666666666677</v>
      </c>
      <c r="X160" s="153">
        <f>IFERROR(COUNTIFS(managers,'Owner View'!T160,opponent,'Owner View'!U160,outcome,"W"),"")</f>
        <v>9</v>
      </c>
      <c r="Y160" s="151">
        <f>IFERROR(AVERAGEIFS(points,managers,'Owner View'!T160,opponent,'Owner View'!U160,outcome,"L"),"")</f>
        <v>82.4</v>
      </c>
      <c r="Z160" s="152">
        <f>IFERROR(Y160-VLOOKUP(T160,'SFFL Main Page'!$B$4:$L$20,10,FALSE),"")</f>
        <v>0.46451612903226192</v>
      </c>
      <c r="AA160" s="153">
        <f>IFERROR(COUNTIFS(managers,'Owner View'!T160,opponent,'Owner View'!U160,outcome,"L"),"")</f>
        <v>5</v>
      </c>
      <c r="AB160" s="166">
        <f t="shared" si="28"/>
        <v>88.142857142857139</v>
      </c>
      <c r="AC160" s="152">
        <f>IFERROR(AB160-VLOOKUP(T160,'SFFL Main Page'!$B$4:$L$20,8,FALSE),"")</f>
        <v>-3.426108374384242</v>
      </c>
      <c r="AD160" s="151">
        <f>IFERROR(AVERAGEIFS(points,managers,'Owner View'!U160,opponent,'Owner View'!T160,outcome,"W"),"")</f>
        <v>98.8</v>
      </c>
      <c r="AE160" s="152">
        <f>IFERROR(AD160-VLOOKUP(U160,'SFFL Main Page'!$B$4:$L$20,9,FALSE),"")</f>
        <v>3.3106382978723445</v>
      </c>
      <c r="AF160" s="153">
        <f>IFERROR(COUNTIFS(managers,'Owner View'!U160,opponent,'Owner View'!T160,outcome,"W"),"")</f>
        <v>5</v>
      </c>
      <c r="AG160" s="151">
        <f>IFERROR(AVERAGEIFS(points,managers,'Owner View'!U160,opponent,'Owner View'!T160,outcome,"L"),"")</f>
        <v>77.333333333333329</v>
      </c>
      <c r="AH160" s="152">
        <f>IFERROR(AG160-VLOOKUP(U160,'SFFL Main Page'!$B$4:$L$20,10,FALSE),"")</f>
        <v>7.3684210526315752</v>
      </c>
      <c r="AI160" s="153">
        <f>IFERROR(COUNTIFS(managers,'Owner View'!U160,opponent,'Owner View'!T160,outcome,"L"),"")</f>
        <v>9</v>
      </c>
      <c r="AJ160" s="151">
        <f t="shared" si="29"/>
        <v>85</v>
      </c>
      <c r="AK160" s="169">
        <f>IFERROR(AJ160-VLOOKUP(U160,'SFFL Main Page'!$B$4:$L$20,8,FALSE),"")</f>
        <v>3.5</v>
      </c>
      <c r="AL160" s="152">
        <f t="shared" si="30"/>
        <v>-6.926108374384242</v>
      </c>
    </row>
    <row r="161" spans="19:38" x14ac:dyDescent="0.3">
      <c r="S161" s="159">
        <v>156</v>
      </c>
      <c r="T161" s="118" t="s">
        <v>30</v>
      </c>
      <c r="U161" s="172" t="s">
        <v>227</v>
      </c>
      <c r="V161" s="151">
        <f>IFERROR(AVERAGEIFS(points,managers,'Owner View'!T161,opponent,'Owner View'!U161,outcome,"W"),"")</f>
        <v>81</v>
      </c>
      <c r="W161" s="152">
        <f>IFERROR(V161-VLOOKUP(T161,'SFFL Main Page'!$B$4:$L$20,9,FALSE),"")</f>
        <v>-21.900000000000006</v>
      </c>
      <c r="X161" s="153">
        <f>IFERROR(COUNTIFS(managers,'Owner View'!T161,opponent,'Owner View'!U161,outcome,"W"),"")</f>
        <v>1</v>
      </c>
      <c r="Y161" s="151">
        <f>IFERROR(AVERAGEIFS(points,managers,'Owner View'!T161,opponent,'Owner View'!U161,outcome,"L"),"")</f>
        <v>88.75</v>
      </c>
      <c r="Z161" s="152">
        <f>IFERROR(Y161-VLOOKUP(T161,'SFFL Main Page'!$B$4:$L$20,10,FALSE),"")</f>
        <v>6.8145161290322562</v>
      </c>
      <c r="AA161" s="153">
        <f>IFERROR(COUNTIFS(managers,'Owner View'!T161,opponent,'Owner View'!U161,outcome,"L"),"")</f>
        <v>4</v>
      </c>
      <c r="AB161" s="166">
        <f t="shared" si="28"/>
        <v>87.2</v>
      </c>
      <c r="AC161" s="152">
        <f>IFERROR(AB161-VLOOKUP(T161,'SFFL Main Page'!$B$4:$L$20,8,FALSE),"")</f>
        <v>-4.3689655172413779</v>
      </c>
      <c r="AD161" s="151">
        <f>IFERROR(AVERAGEIFS(points,managers,'Owner View'!U161,opponent,'Owner View'!T161,outcome,"W"),"")</f>
        <v>116.75</v>
      </c>
      <c r="AE161" s="152">
        <f>IFERROR(AD161-VLOOKUP(U161,'SFFL Main Page'!$B$4:$L$20,9,FALSE),"")</f>
        <v>8.0603448275862064</v>
      </c>
      <c r="AF161" s="153">
        <f>IFERROR(COUNTIFS(managers,'Owner View'!U161,opponent,'Owner View'!T161,outcome,"W"),"")</f>
        <v>4</v>
      </c>
      <c r="AG161" s="151">
        <f>IFERROR(AVERAGEIFS(points,managers,'Owner View'!U161,opponent,'Owner View'!T161,outcome,"L"),"")</f>
        <v>73</v>
      </c>
      <c r="AH161" s="152">
        <f>IFERROR(AG161-VLOOKUP(U161,'SFFL Main Page'!$B$4:$L$20,10,FALSE),"")</f>
        <v>-8.58536585365853</v>
      </c>
      <c r="AI161" s="153">
        <f>IFERROR(COUNTIFS(managers,'Owner View'!U161,opponent,'Owner View'!T161,outcome,"L"),"")</f>
        <v>1</v>
      </c>
      <c r="AJ161" s="151">
        <f t="shared" si="29"/>
        <v>108</v>
      </c>
      <c r="AK161" s="169">
        <f>IFERROR(AJ161-VLOOKUP(U161,'SFFL Main Page'!$B$4:$L$20,8,FALSE),"")</f>
        <v>15.185714285714283</v>
      </c>
      <c r="AL161" s="152">
        <f t="shared" si="30"/>
        <v>-19.554679802955661</v>
      </c>
    </row>
    <row r="162" spans="19:38" x14ac:dyDescent="0.3">
      <c r="S162" s="159">
        <v>157</v>
      </c>
      <c r="T162" s="118" t="s">
        <v>30</v>
      </c>
      <c r="U162" s="172" t="s">
        <v>25</v>
      </c>
      <c r="V162" s="151">
        <f>IFERROR(AVERAGEIFS(points,managers,'Owner View'!T162,opponent,'Owner View'!U162,outcome,"W"),"")</f>
        <v>99.875</v>
      </c>
      <c r="W162" s="152">
        <f>IFERROR(V162-VLOOKUP(T162,'SFFL Main Page'!$B$4:$L$20,9,FALSE),"")</f>
        <v>-3.0250000000000057</v>
      </c>
      <c r="X162" s="153">
        <f>IFERROR(COUNTIFS(managers,'Owner View'!T162,opponent,'Owner View'!U162,outcome,"W"),"")</f>
        <v>8</v>
      </c>
      <c r="Y162" s="151">
        <f>IFERROR(AVERAGEIFS(points,managers,'Owner View'!T162,opponent,'Owner View'!U162,outcome,"L"),"")</f>
        <v>80.285714285714292</v>
      </c>
      <c r="Z162" s="152">
        <f>IFERROR(Y162-VLOOKUP(T162,'SFFL Main Page'!$B$4:$L$20,10,FALSE),"")</f>
        <v>-1.649769585253452</v>
      </c>
      <c r="AA162" s="153">
        <f>IFERROR(COUNTIFS(managers,'Owner View'!T162,opponent,'Owner View'!U162,outcome,"L"),"")</f>
        <v>7</v>
      </c>
      <c r="AB162" s="166">
        <f t="shared" si="28"/>
        <v>90.733333333333334</v>
      </c>
      <c r="AC162" s="152">
        <f>IFERROR(AB162-VLOOKUP(T162,'SFFL Main Page'!$B$4:$L$20,8,FALSE),"")</f>
        <v>-0.8356321839080465</v>
      </c>
      <c r="AD162" s="151">
        <f>IFERROR(AVERAGEIFS(points,managers,'Owner View'!U162,opponent,'Owner View'!T162,outcome,"W"),"")</f>
        <v>110.71428571428571</v>
      </c>
      <c r="AE162" s="152">
        <f>IFERROR(AD162-VLOOKUP(U162,'SFFL Main Page'!$B$4:$L$20,9,FALSE),"")</f>
        <v>8.9441707717569727</v>
      </c>
      <c r="AF162" s="153">
        <f>IFERROR(COUNTIFS(managers,'Owner View'!U162,opponent,'Owner View'!T162,outcome,"W"),"")</f>
        <v>7</v>
      </c>
      <c r="AG162" s="151">
        <f>IFERROR(AVERAGEIFS(points,managers,'Owner View'!U162,opponent,'Owner View'!T162,outcome,"L"),"")</f>
        <v>64.125</v>
      </c>
      <c r="AH162" s="152">
        <f>IFERROR(AG162-VLOOKUP(U162,'SFFL Main Page'!$B$4:$L$20,10,FALSE),"")</f>
        <v>-13.81547619047619</v>
      </c>
      <c r="AI162" s="153">
        <f>IFERROR(COUNTIFS(managers,'Owner View'!U162,opponent,'Owner View'!T162,outcome,"L"),"")</f>
        <v>8</v>
      </c>
      <c r="AJ162" s="151">
        <f t="shared" si="29"/>
        <v>85.86666666666666</v>
      </c>
      <c r="AK162" s="169">
        <f>IFERROR(AJ162-VLOOKUP(U162,'SFFL Main Page'!$B$4:$L$20,8,FALSE),"")</f>
        <v>-4.1218390804597789</v>
      </c>
      <c r="AL162" s="152">
        <f t="shared" si="30"/>
        <v>3.2862068965517324</v>
      </c>
    </row>
    <row r="163" spans="19:38" x14ac:dyDescent="0.3">
      <c r="S163" s="159">
        <v>158</v>
      </c>
      <c r="T163" s="118" t="s">
        <v>30</v>
      </c>
      <c r="U163" s="172" t="s">
        <v>47</v>
      </c>
      <c r="V163" s="151">
        <f>IFERROR(AVERAGEIFS(points,managers,'Owner View'!T163,opponent,'Owner View'!U163,outcome,"W"),"")</f>
        <v>98.833333333333329</v>
      </c>
      <c r="W163" s="152">
        <f>IFERROR(V163-VLOOKUP(T163,'SFFL Main Page'!$B$4:$L$20,9,FALSE),"")</f>
        <v>-4.0666666666666771</v>
      </c>
      <c r="X163" s="153">
        <f>IFERROR(COUNTIFS(managers,'Owner View'!T163,opponent,'Owner View'!U163,outcome,"W"),"")</f>
        <v>6</v>
      </c>
      <c r="Y163" s="151">
        <f>IFERROR(AVERAGEIFS(points,managers,'Owner View'!T163,opponent,'Owner View'!U163,outcome,"L"),"")</f>
        <v>77.909090909090907</v>
      </c>
      <c r="Z163" s="152">
        <f>IFERROR(Y163-VLOOKUP(T163,'SFFL Main Page'!$B$4:$L$20,10,FALSE),"")</f>
        <v>-4.0263929618768373</v>
      </c>
      <c r="AA163" s="153">
        <f>IFERROR(COUNTIFS(managers,'Owner View'!T163,opponent,'Owner View'!U163,outcome,"L"),"")</f>
        <v>11</v>
      </c>
      <c r="AB163" s="166">
        <f t="shared" si="28"/>
        <v>85.294117647058826</v>
      </c>
      <c r="AC163" s="152">
        <f>IFERROR(AB163-VLOOKUP(T163,'SFFL Main Page'!$B$4:$L$20,8,FALSE),"")</f>
        <v>-6.2748478701825547</v>
      </c>
      <c r="AD163" s="151">
        <f>IFERROR(AVERAGEIFS(points,managers,'Owner View'!U163,opponent,'Owner View'!T163,outcome,"W"),"")</f>
        <v>98.63636363636364</v>
      </c>
      <c r="AE163" s="152">
        <f>IFERROR(AD163-VLOOKUP(U163,'SFFL Main Page'!$B$4:$L$20,9,FALSE),"")</f>
        <v>-6.7215311004784581</v>
      </c>
      <c r="AF163" s="153">
        <f>IFERROR(COUNTIFS(managers,'Owner View'!U163,opponent,'Owner View'!T163,outcome,"W"),"")</f>
        <v>11</v>
      </c>
      <c r="AG163" s="151">
        <f>IFERROR(AVERAGEIFS(points,managers,'Owner View'!U163,opponent,'Owner View'!T163,outcome,"L"),"")</f>
        <v>84.5</v>
      </c>
      <c r="AH163" s="152">
        <f>IFERROR(AG163-VLOOKUP(U163,'SFFL Main Page'!$B$4:$L$20,10,FALSE),"")</f>
        <v>0.9230769230769198</v>
      </c>
      <c r="AI163" s="153">
        <f>IFERROR(COUNTIFS(managers,'Owner View'!U163,opponent,'Owner View'!T163,outcome,"L"),"")</f>
        <v>6</v>
      </c>
      <c r="AJ163" s="151">
        <f t="shared" si="29"/>
        <v>93.647058823529406</v>
      </c>
      <c r="AK163" s="169">
        <f>IFERROR(AJ163-VLOOKUP(U163,'SFFL Main Page'!$B$4:$L$20,8,FALSE),"")</f>
        <v>-3.9137519872814011</v>
      </c>
      <c r="AL163" s="152">
        <f t="shared" si="30"/>
        <v>-2.3610958829011537</v>
      </c>
    </row>
    <row r="164" spans="19:38" x14ac:dyDescent="0.3">
      <c r="S164" s="159">
        <v>159</v>
      </c>
      <c r="T164" s="118" t="s">
        <v>30</v>
      </c>
      <c r="U164" s="172" t="s">
        <v>26</v>
      </c>
      <c r="V164" s="151">
        <f>IFERROR(AVERAGEIFS(points,managers,'Owner View'!T164,opponent,'Owner View'!U164,outcome,"W"),"")</f>
        <v>110</v>
      </c>
      <c r="W164" s="152">
        <f>IFERROR(V164-VLOOKUP(T164,'SFFL Main Page'!$B$4:$L$20,9,FALSE),"")</f>
        <v>7.0999999999999943</v>
      </c>
      <c r="X164" s="153">
        <f>IFERROR(COUNTIFS(managers,'Owner View'!T164,opponent,'Owner View'!U164,outcome,"W"),"")</f>
        <v>6</v>
      </c>
      <c r="Y164" s="151">
        <f>IFERROR(AVERAGEIFS(points,managers,'Owner View'!T164,opponent,'Owner View'!U164,outcome,"L"),"")</f>
        <v>79.272727272727266</v>
      </c>
      <c r="Z164" s="152">
        <f>IFERROR(Y164-VLOOKUP(T164,'SFFL Main Page'!$B$4:$L$20,10,FALSE),"")</f>
        <v>-2.6627565982404775</v>
      </c>
      <c r="AA164" s="153">
        <f>IFERROR(COUNTIFS(managers,'Owner View'!T164,opponent,'Owner View'!U164,outcome,"L"),"")</f>
        <v>11</v>
      </c>
      <c r="AB164" s="166">
        <f t="shared" si="28"/>
        <v>90.117647058823536</v>
      </c>
      <c r="AC164" s="152">
        <f>IFERROR(AB164-VLOOKUP(T164,'SFFL Main Page'!$B$4:$L$20,8,FALSE),"")</f>
        <v>-1.4513184584178447</v>
      </c>
      <c r="AD164" s="151">
        <f>IFERROR(AVERAGEIFS(points,managers,'Owner View'!U164,opponent,'Owner View'!T164,outcome,"W"),"")</f>
        <v>101.72727272727273</v>
      </c>
      <c r="AE164" s="152">
        <f>IFERROR(AD164-VLOOKUP(U164,'SFFL Main Page'!$B$4:$L$20,9,FALSE),"")</f>
        <v>-1.8248106060605949</v>
      </c>
      <c r="AF164" s="153">
        <f>IFERROR(COUNTIFS(managers,'Owner View'!U164,opponent,'Owner View'!T164,outcome,"W"),"")</f>
        <v>11</v>
      </c>
      <c r="AG164" s="151">
        <f>IFERROR(AVERAGEIFS(points,managers,'Owner View'!U164,opponent,'Owner View'!T164,outcome,"L"),"")</f>
        <v>84.833333333333329</v>
      </c>
      <c r="AH164" s="152">
        <f>IFERROR(AG164-VLOOKUP(U164,'SFFL Main Page'!$B$4:$L$20,10,FALSE),"")</f>
        <v>7.3008658008657932</v>
      </c>
      <c r="AI164" s="153">
        <f>IFERROR(COUNTIFS(managers,'Owner View'!U164,opponent,'Owner View'!T164,outcome,"L"),"")</f>
        <v>6</v>
      </c>
      <c r="AJ164" s="151">
        <f t="shared" si="29"/>
        <v>95.764705882352942</v>
      </c>
      <c r="AK164" s="169">
        <f>IFERROR(AJ164-VLOOKUP(U164,'SFFL Main Page'!$B$4:$L$20,8,FALSE),"")</f>
        <v>3.7819472616632908</v>
      </c>
      <c r="AL164" s="152">
        <f t="shared" si="30"/>
        <v>-5.2332657200811354</v>
      </c>
    </row>
    <row r="165" spans="19:38" x14ac:dyDescent="0.3">
      <c r="S165" s="159">
        <v>160</v>
      </c>
      <c r="T165" s="118" t="s">
        <v>30</v>
      </c>
      <c r="U165" s="172" t="s">
        <v>48</v>
      </c>
      <c r="V165" s="151">
        <f>IFERROR(AVERAGEIFS(points,managers,'Owner View'!T165,opponent,'Owner View'!U165,outcome,"W"),"")</f>
        <v>102.71428571428571</v>
      </c>
      <c r="W165" s="152">
        <f>IFERROR(V165-VLOOKUP(T165,'SFFL Main Page'!$B$4:$L$20,9,FALSE),"")</f>
        <v>-0.18571428571429749</v>
      </c>
      <c r="X165" s="153">
        <f>IFERROR(COUNTIFS(managers,'Owner View'!T165,opponent,'Owner View'!U165,outcome,"W"),"")</f>
        <v>7</v>
      </c>
      <c r="Y165" s="151">
        <f>IFERROR(AVERAGEIFS(points,managers,'Owner View'!T165,opponent,'Owner View'!U165,outcome,"L"),"")</f>
        <v>84.75</v>
      </c>
      <c r="Z165" s="152">
        <f>IFERROR(Y165-VLOOKUP(T165,'SFFL Main Page'!$B$4:$L$20,10,FALSE),"")</f>
        <v>2.8145161290322562</v>
      </c>
      <c r="AA165" s="153">
        <f>IFERROR(COUNTIFS(managers,'Owner View'!T165,opponent,'Owner View'!U165,outcome,"L"),"")</f>
        <v>4</v>
      </c>
      <c r="AB165" s="166">
        <f t="shared" si="28"/>
        <v>96.181818181818187</v>
      </c>
      <c r="AC165" s="152">
        <f>IFERROR(AB165-VLOOKUP(T165,'SFFL Main Page'!$B$4:$L$20,8,FALSE),"")</f>
        <v>4.6128526645768062</v>
      </c>
      <c r="AD165" s="151">
        <f>IFERROR(AVERAGEIFS(points,managers,'Owner View'!U165,opponent,'Owner View'!T165,outcome,"W"),"")</f>
        <v>104.25</v>
      </c>
      <c r="AE165" s="152">
        <f>IFERROR(AD165-VLOOKUP(U165,'SFFL Main Page'!$B$4:$L$20,9,FALSE),"")</f>
        <v>-4.4951219512195166</v>
      </c>
      <c r="AF165" s="153">
        <f>IFERROR(COUNTIFS(managers,'Owner View'!U165,opponent,'Owner View'!T165,outcome,"W"),"")</f>
        <v>4</v>
      </c>
      <c r="AG165" s="151">
        <f>IFERROR(AVERAGEIFS(points,managers,'Owner View'!U165,opponent,'Owner View'!T165,outcome,"L"),"")</f>
        <v>90.285714285714292</v>
      </c>
      <c r="AH165" s="152">
        <f>IFERROR(AG165-VLOOKUP(U165,'SFFL Main Page'!$B$4:$L$20,10,FALSE),"")</f>
        <v>5.5281385281385411</v>
      </c>
      <c r="AI165" s="153">
        <f>IFERROR(COUNTIFS(managers,'Owner View'!U165,opponent,'Owner View'!T165,outcome,"L"),"")</f>
        <v>7</v>
      </c>
      <c r="AJ165" s="151">
        <f t="shared" si="29"/>
        <v>95.36363636363636</v>
      </c>
      <c r="AK165" s="169">
        <f>IFERROR(AJ165-VLOOKUP(U165,'SFFL Main Page'!$B$4:$L$20,8,FALSE),"")</f>
        <v>-2.6843366093366114</v>
      </c>
      <c r="AL165" s="152">
        <f t="shared" si="30"/>
        <v>7.2971892739134177</v>
      </c>
    </row>
    <row r="166" spans="19:38" x14ac:dyDescent="0.3">
      <c r="S166" s="159">
        <v>161</v>
      </c>
      <c r="T166" s="118" t="s">
        <v>30</v>
      </c>
      <c r="U166" s="172" t="s">
        <v>29</v>
      </c>
      <c r="V166" s="151">
        <f>IFERROR(AVERAGEIFS(points,managers,'Owner View'!T166,opponent,'Owner View'!U166,outcome,"W"),"")</f>
        <v>103.2</v>
      </c>
      <c r="W166" s="152">
        <f>IFERROR(V166-VLOOKUP(T166,'SFFL Main Page'!$B$4:$L$20,9,FALSE),"")</f>
        <v>0.29999999999999716</v>
      </c>
      <c r="X166" s="153">
        <f>IFERROR(COUNTIFS(managers,'Owner View'!T166,opponent,'Owner View'!U166,outcome,"W"),"")</f>
        <v>5</v>
      </c>
      <c r="Y166" s="151">
        <f>IFERROR(AVERAGEIFS(points,managers,'Owner View'!T166,opponent,'Owner View'!U166,outcome,"L"),"")</f>
        <v>79.916666666666671</v>
      </c>
      <c r="Z166" s="152">
        <f>IFERROR(Y166-VLOOKUP(T166,'SFFL Main Page'!$B$4:$L$20,10,FALSE),"")</f>
        <v>-2.0188172043010724</v>
      </c>
      <c r="AA166" s="153">
        <f>IFERROR(COUNTIFS(managers,'Owner View'!T166,opponent,'Owner View'!U166,outcome,"L"),"")</f>
        <v>12</v>
      </c>
      <c r="AB166" s="166">
        <f t="shared" si="28"/>
        <v>86.764705882352942</v>
      </c>
      <c r="AC166" s="152">
        <f>IFERROR(AB166-VLOOKUP(T166,'SFFL Main Page'!$B$4:$L$20,8,FALSE),"")</f>
        <v>-4.8042596348884388</v>
      </c>
      <c r="AD166" s="151">
        <f>IFERROR(AVERAGEIFS(points,managers,'Owner View'!U166,opponent,'Owner View'!T166,outcome,"W"),"")</f>
        <v>104.5</v>
      </c>
      <c r="AE166" s="152">
        <f>IFERROR(AD166-VLOOKUP(U166,'SFFL Main Page'!$B$4:$L$20,9,FALSE),"")</f>
        <v>3.4294117647058755</v>
      </c>
      <c r="AF166" s="153">
        <f>IFERROR(COUNTIFS(managers,'Owner View'!U166,opponent,'Owner View'!T166,outcome,"W"),"")</f>
        <v>12</v>
      </c>
      <c r="AG166" s="151">
        <f>IFERROR(AVERAGEIFS(points,managers,'Owner View'!U166,opponent,'Owner View'!T166,outcome,"L"),"")</f>
        <v>66</v>
      </c>
      <c r="AH166" s="152">
        <f>IFERROR(AG166-VLOOKUP(U166,'SFFL Main Page'!$B$4:$L$20,10,FALSE),"")</f>
        <v>-12.125</v>
      </c>
      <c r="AI166" s="153">
        <f>IFERROR(COUNTIFS(managers,'Owner View'!U166,opponent,'Owner View'!T166,outcome,"L"),"")</f>
        <v>5</v>
      </c>
      <c r="AJ166" s="151">
        <f t="shared" si="29"/>
        <v>93.17647058823529</v>
      </c>
      <c r="AK166" s="169">
        <f>IFERROR(AJ166-VLOOKUP(U166,'SFFL Main Page'!$B$4:$L$20,8,FALSE),"")</f>
        <v>3.7741717376605806</v>
      </c>
      <c r="AL166" s="152">
        <f t="shared" si="30"/>
        <v>-8.5784313725490193</v>
      </c>
    </row>
    <row r="167" spans="19:38" x14ac:dyDescent="0.3">
      <c r="S167" s="159">
        <v>162</v>
      </c>
      <c r="T167" s="118" t="s">
        <v>30</v>
      </c>
      <c r="U167" s="172" t="s">
        <v>43</v>
      </c>
      <c r="V167" s="151">
        <f>IFERROR(AVERAGEIFS(points,managers,'Owner View'!T167,opponent,'Owner View'!U167,outcome,"W"),"")</f>
        <v>101.66666666666667</v>
      </c>
      <c r="W167" s="152">
        <f>IFERROR(V167-VLOOKUP(T167,'SFFL Main Page'!$B$4:$L$20,9,FALSE),"")</f>
        <v>-1.2333333333333343</v>
      </c>
      <c r="X167" s="153">
        <f>IFERROR(COUNTIFS(managers,'Owner View'!T167,opponent,'Owner View'!U167,outcome,"W"),"")</f>
        <v>6</v>
      </c>
      <c r="Y167" s="151">
        <f>IFERROR(AVERAGEIFS(points,managers,'Owner View'!T167,opponent,'Owner View'!U167,outcome,"L"),"")</f>
        <v>87.7</v>
      </c>
      <c r="Z167" s="152">
        <f>IFERROR(Y167-VLOOKUP(T167,'SFFL Main Page'!$B$4:$L$20,10,FALSE),"")</f>
        <v>5.7645161290322591</v>
      </c>
      <c r="AA167" s="153">
        <f>IFERROR(COUNTIFS(managers,'Owner View'!T167,opponent,'Owner View'!U167,outcome,"L"),"")</f>
        <v>10</v>
      </c>
      <c r="AB167" s="166">
        <f t="shared" si="28"/>
        <v>92.9375</v>
      </c>
      <c r="AC167" s="152">
        <f>IFERROR(AB167-VLOOKUP(T167,'SFFL Main Page'!$B$4:$L$20,8,FALSE),"")</f>
        <v>1.3685344827586192</v>
      </c>
      <c r="AD167" s="151">
        <f>IFERROR(AVERAGEIFS(points,managers,'Owner View'!U167,opponent,'Owner View'!T167,outcome,"W"),"")</f>
        <v>108.3</v>
      </c>
      <c r="AE167" s="152">
        <f>IFERROR(AD167-VLOOKUP(U167,'SFFL Main Page'!$B$4:$L$20,9,FALSE),"")</f>
        <v>7.4728395061728321</v>
      </c>
      <c r="AF167" s="153">
        <f>IFERROR(COUNTIFS(managers,'Owner View'!U167,opponent,'Owner View'!T167,outcome,"W"),"")</f>
        <v>10</v>
      </c>
      <c r="AG167" s="151">
        <f>IFERROR(AVERAGEIFS(points,managers,'Owner View'!U167,opponent,'Owner View'!T167,outcome,"L"),"")</f>
        <v>76</v>
      </c>
      <c r="AH167" s="152">
        <f>IFERROR(AG167-VLOOKUP(U167,'SFFL Main Page'!$B$4:$L$20,10,FALSE),"")</f>
        <v>0.63043478260870245</v>
      </c>
      <c r="AI167" s="153">
        <f>IFERROR(COUNTIFS(managers,'Owner View'!U167,opponent,'Owner View'!T167,outcome,"L"),"")</f>
        <v>6</v>
      </c>
      <c r="AJ167" s="151">
        <f t="shared" si="29"/>
        <v>96.1875</v>
      </c>
      <c r="AK167" s="169">
        <f>IFERROR(AJ167-VLOOKUP(U167,'SFFL Main Page'!$B$4:$L$20,8,FALSE),"")</f>
        <v>8.9461206896551744</v>
      </c>
      <c r="AL167" s="152">
        <f t="shared" si="30"/>
        <v>-7.5775862068965552</v>
      </c>
    </row>
    <row r="168" spans="19:38" x14ac:dyDescent="0.3">
      <c r="S168" s="159">
        <v>163</v>
      </c>
      <c r="T168" s="118" t="s">
        <v>30</v>
      </c>
      <c r="U168" s="172" t="s">
        <v>473</v>
      </c>
      <c r="V168" s="151">
        <f>IFERROR(AVERAGEIFS(points,managers,'Owner View'!T168,opponent,'Owner View'!U168,outcome,"W"),"")</f>
        <v>132</v>
      </c>
      <c r="W168" s="152">
        <f>IFERROR(V168-VLOOKUP(T168,'SFFL Main Page'!$B$4:$L$20,9,FALSE),"")</f>
        <v>29.099999999999994</v>
      </c>
      <c r="X168" s="153">
        <f>IFERROR(COUNTIFS(managers,'Owner View'!T168,opponent,'Owner View'!U168,outcome,"W"),"")</f>
        <v>1</v>
      </c>
      <c r="Y168" s="151">
        <f>IFERROR(AVERAGEIFS(points,managers,'Owner View'!T168,opponent,'Owner View'!U168,outcome,"L"),"")</f>
        <v>97</v>
      </c>
      <c r="Z168" s="152">
        <f>IFERROR(Y168-VLOOKUP(T168,'SFFL Main Page'!$B$4:$L$20,10,FALSE),"")</f>
        <v>15.064516129032256</v>
      </c>
      <c r="AA168" s="153">
        <f>IFERROR(COUNTIFS(managers,'Owner View'!T168,opponent,'Owner View'!U168,outcome,"L"),"")</f>
        <v>1</v>
      </c>
      <c r="AB168" s="166">
        <f t="shared" si="28"/>
        <v>114.5</v>
      </c>
      <c r="AC168" s="152">
        <f>IFERROR(AB168-VLOOKUP(T168,'SFFL Main Page'!$B$4:$L$20,8,FALSE),"")</f>
        <v>22.931034482758619</v>
      </c>
      <c r="AD168" s="151">
        <f>IFERROR(AVERAGEIFS(points,managers,'Owner View'!U168,opponent,'Owner View'!T168,outcome,"W"),"")</f>
        <v>111</v>
      </c>
      <c r="AE168" s="152">
        <f>IFERROR(AD168-VLOOKUP(U168,'SFFL Main Page'!$B$4:$L$20,9,FALSE),"")</f>
        <v>-11.555555555555557</v>
      </c>
      <c r="AF168" s="153">
        <f>IFERROR(COUNTIFS(managers,'Owner View'!U168,opponent,'Owner View'!T168,outcome,"W"),"")</f>
        <v>1</v>
      </c>
      <c r="AG168" s="151">
        <f>IFERROR(AVERAGEIFS(points,managers,'Owner View'!U168,opponent,'Owner View'!T168,outcome,"L"),"")</f>
        <v>113</v>
      </c>
      <c r="AH168" s="152">
        <f>IFERROR(AG168-VLOOKUP(U168,'SFFL Main Page'!$B$4:$L$20,10,FALSE),"")</f>
        <v>19.84210526315789</v>
      </c>
      <c r="AI168" s="153">
        <f>IFERROR(COUNTIFS(managers,'Owner View'!U168,opponent,'Owner View'!T168,outcome,"L"),"")</f>
        <v>1</v>
      </c>
      <c r="AJ168" s="151">
        <f t="shared" si="29"/>
        <v>112</v>
      </c>
      <c r="AK168" s="169">
        <f>IFERROR(AJ168-VLOOKUP(U168,'SFFL Main Page'!$B$4:$L$20,8,FALSE),"")</f>
        <v>9.3928571428571388</v>
      </c>
      <c r="AL168" s="152">
        <f t="shared" si="30"/>
        <v>13.53817733990148</v>
      </c>
    </row>
    <row r="169" spans="19:38" x14ac:dyDescent="0.3">
      <c r="S169" s="159">
        <v>164</v>
      </c>
      <c r="T169" s="118" t="s">
        <v>30</v>
      </c>
      <c r="U169" s="172" t="s">
        <v>472</v>
      </c>
      <c r="V169" s="151">
        <f>IFERROR(AVERAGEIFS(points,managers,'Owner View'!T169,opponent,'Owner View'!U169,outcome,"W"),"")</f>
        <v>156</v>
      </c>
      <c r="W169" s="152">
        <f>IFERROR(V169-VLOOKUP(T169,'SFFL Main Page'!$B$4:$L$20,9,FALSE),"")</f>
        <v>53.099999999999994</v>
      </c>
      <c r="X169" s="153">
        <f>IFERROR(COUNTIFS(managers,'Owner View'!T169,opponent,'Owner View'!U169,outcome,"W"),"")</f>
        <v>1</v>
      </c>
      <c r="Y169" s="151">
        <f>IFERROR(AVERAGEIFS(points,managers,'Owner View'!T169,opponent,'Owner View'!U169,outcome,"L"),"")</f>
        <v>119</v>
      </c>
      <c r="Z169" s="152">
        <f>IFERROR(Y169-VLOOKUP(T169,'SFFL Main Page'!$B$4:$L$20,10,FALSE),"")</f>
        <v>37.064516129032256</v>
      </c>
      <c r="AA169" s="153">
        <f>IFERROR(COUNTIFS(managers,'Owner View'!T169,opponent,'Owner View'!U169,outcome,"L"),"")</f>
        <v>1</v>
      </c>
      <c r="AB169" s="166">
        <f t="shared" si="28"/>
        <v>137.5</v>
      </c>
      <c r="AC169" s="152">
        <f>IFERROR(AB169-VLOOKUP(T169,'SFFL Main Page'!$B$4:$L$20,8,FALSE),"")</f>
        <v>45.931034482758619</v>
      </c>
      <c r="AD169" s="151">
        <f>IFERROR(AVERAGEIFS(points,managers,'Owner View'!U169,opponent,'Owner View'!T169,outcome,"W"),"")</f>
        <v>126</v>
      </c>
      <c r="AE169" s="152">
        <f>IFERROR(AD169-VLOOKUP(U169,'SFFL Main Page'!$B$4:$L$20,9,FALSE),"")</f>
        <v>6.2727272727272663</v>
      </c>
      <c r="AF169" s="153">
        <f>IFERROR(COUNTIFS(managers,'Owner View'!U169,opponent,'Owner View'!T169,outcome,"W"),"")</f>
        <v>1</v>
      </c>
      <c r="AG169" s="151">
        <f>IFERROR(AVERAGEIFS(points,managers,'Owner View'!U169,opponent,'Owner View'!T169,outcome,"L"),"")</f>
        <v>101</v>
      </c>
      <c r="AH169" s="152">
        <f>IFERROR(AG169-VLOOKUP(U169,'SFFL Main Page'!$B$4:$L$20,10,FALSE),"")</f>
        <v>3.470588235294116</v>
      </c>
      <c r="AI169" s="153">
        <f>IFERROR(COUNTIFS(managers,'Owner View'!U169,opponent,'Owner View'!T169,outcome,"L"),"")</f>
        <v>1</v>
      </c>
      <c r="AJ169" s="151">
        <f t="shared" si="29"/>
        <v>113.5</v>
      </c>
      <c r="AK169" s="169">
        <f>IFERROR(AJ169-VLOOKUP(U169,'SFFL Main Page'!$B$4:$L$20,8,FALSE),"")</f>
        <v>7.25</v>
      </c>
      <c r="AL169" s="152">
        <f t="shared" si="30"/>
        <v>38.681034482758619</v>
      </c>
    </row>
    <row r="170" spans="19:38" x14ac:dyDescent="0.3">
      <c r="S170" s="159">
        <v>165</v>
      </c>
      <c r="T170" s="118" t="s">
        <v>30</v>
      </c>
      <c r="U170" s="172" t="s">
        <v>22</v>
      </c>
      <c r="V170" s="151">
        <f>IFERROR(AVERAGEIFS(points,managers,'Owner View'!T170,opponent,'Owner View'!U170,outcome,"W"),"")</f>
        <v>107.875</v>
      </c>
      <c r="W170" s="152">
        <f>IFERROR(V170-VLOOKUP(T170,'SFFL Main Page'!$B$4:$L$20,9,FALSE),"")</f>
        <v>4.9749999999999943</v>
      </c>
      <c r="X170" s="153">
        <f>IFERROR(COUNTIFS(managers,'Owner View'!T170,opponent,'Owner View'!U170,outcome,"W"),"")</f>
        <v>8</v>
      </c>
      <c r="Y170" s="151">
        <f>IFERROR(AVERAGEIFS(points,managers,'Owner View'!T170,opponent,'Owner View'!U170,outcome,"L"),"")</f>
        <v>85.875</v>
      </c>
      <c r="Z170" s="152">
        <f>IFERROR(Y170-VLOOKUP(T170,'SFFL Main Page'!$B$4:$L$20,10,FALSE),"")</f>
        <v>3.9395161290322562</v>
      </c>
      <c r="AA170" s="153">
        <f>IFERROR(COUNTIFS(managers,'Owner View'!T170,opponent,'Owner View'!U170,outcome,"L"),"")</f>
        <v>8</v>
      </c>
      <c r="AB170" s="166">
        <f t="shared" si="28"/>
        <v>96.875</v>
      </c>
      <c r="AC170" s="152">
        <f>IFERROR(AB170-VLOOKUP(T170,'SFFL Main Page'!$B$4:$L$20,8,FALSE),"")</f>
        <v>5.3060344827586192</v>
      </c>
      <c r="AD170" s="151">
        <f>IFERROR(AVERAGEIFS(points,managers,'Owner View'!U170,opponent,'Owner View'!T170,outcome,"W"),"")</f>
        <v>95.5</v>
      </c>
      <c r="AE170" s="152">
        <f>IFERROR(AD170-VLOOKUP(U170,'SFFL Main Page'!$B$4:$L$20,9,FALSE),"")</f>
        <v>-6.8802816901408477</v>
      </c>
      <c r="AF170" s="153">
        <f>IFERROR(COUNTIFS(managers,'Owner View'!U170,opponent,'Owner View'!T170,outcome,"W"),"")</f>
        <v>8</v>
      </c>
      <c r="AG170" s="151">
        <f>IFERROR(AVERAGEIFS(points,managers,'Owner View'!U170,opponent,'Owner View'!T170,outcome,"L"),"")</f>
        <v>78.25</v>
      </c>
      <c r="AH170" s="152">
        <f>IFERROR(AG170-VLOOKUP(U170,'SFFL Main Page'!$B$4:$L$20,10,FALSE),"")</f>
        <v>-1.7009803921568647</v>
      </c>
      <c r="AI170" s="153">
        <f>IFERROR(COUNTIFS(managers,'Owner View'!U170,opponent,'Owner View'!T170,outcome,"L"),"")</f>
        <v>8</v>
      </c>
      <c r="AJ170" s="151">
        <f t="shared" si="29"/>
        <v>86.875</v>
      </c>
      <c r="AK170" s="169">
        <f>IFERROR(AJ170-VLOOKUP(U170,'SFFL Main Page'!$B$4:$L$20,8,FALSE),"")</f>
        <v>-2.2859195402298838</v>
      </c>
      <c r="AL170" s="152">
        <f t="shared" si="30"/>
        <v>7.591954022988503</v>
      </c>
    </row>
    <row r="171" spans="19:38" x14ac:dyDescent="0.3">
      <c r="S171" s="159">
        <v>166</v>
      </c>
      <c r="T171" s="118" t="s">
        <v>30</v>
      </c>
      <c r="U171" s="172" t="s">
        <v>23</v>
      </c>
      <c r="V171" s="151">
        <f>IFERROR(AVERAGEIFS(points,managers,'Owner View'!T171,opponent,'Owner View'!U171,outcome,"W"),"")</f>
        <v>99.5</v>
      </c>
      <c r="W171" s="152">
        <f>IFERROR(V171-VLOOKUP(T171,'SFFL Main Page'!$B$4:$L$20,9,FALSE),"")</f>
        <v>-3.4000000000000057</v>
      </c>
      <c r="X171" s="153">
        <f>IFERROR(COUNTIFS(managers,'Owner View'!T171,opponent,'Owner View'!U171,outcome,"W"),"")</f>
        <v>6</v>
      </c>
      <c r="Y171" s="151">
        <f>IFERROR(AVERAGEIFS(points,managers,'Owner View'!T171,opponent,'Owner View'!U171,outcome,"L"),"")</f>
        <v>85.333333333333329</v>
      </c>
      <c r="Z171" s="152">
        <f>IFERROR(Y171-VLOOKUP(T171,'SFFL Main Page'!$B$4:$L$20,10,FALSE),"")</f>
        <v>3.3978494623655848</v>
      </c>
      <c r="AA171" s="153">
        <f>IFERROR(COUNTIFS(managers,'Owner View'!T171,opponent,'Owner View'!U171,outcome,"L"),"")</f>
        <v>9</v>
      </c>
      <c r="AB171" s="166">
        <f t="shared" si="28"/>
        <v>91</v>
      </c>
      <c r="AC171" s="152">
        <f>IFERROR(AB171-VLOOKUP(T171,'SFFL Main Page'!$B$4:$L$20,8,FALSE),"")</f>
        <v>-0.56896551724138078</v>
      </c>
      <c r="AD171" s="151">
        <f>IFERROR(AVERAGEIFS(points,managers,'Owner View'!U171,opponent,'Owner View'!T171,outcome,"W"),"")</f>
        <v>99.888888888888886</v>
      </c>
      <c r="AE171" s="152">
        <f>IFERROR(AD171-VLOOKUP(U171,'SFFL Main Page'!$B$4:$L$20,9,FALSE),"")</f>
        <v>-3.0366430260047252</v>
      </c>
      <c r="AF171" s="153">
        <f>IFERROR(COUNTIFS(managers,'Owner View'!U171,opponent,'Owner View'!T171,outcome,"W"),"")</f>
        <v>9</v>
      </c>
      <c r="AG171" s="151">
        <f>IFERROR(AVERAGEIFS(points,managers,'Owner View'!U171,opponent,'Owner View'!T171,outcome,"L"),"")</f>
        <v>83.5</v>
      </c>
      <c r="AH171" s="152">
        <f>IFERROR(AG171-VLOOKUP(U171,'SFFL Main Page'!$B$4:$L$20,10,FALSE),"")</f>
        <v>2.8670886075949369</v>
      </c>
      <c r="AI171" s="153">
        <f>IFERROR(COUNTIFS(managers,'Owner View'!U171,opponent,'Owner View'!T171,outcome,"L"),"")</f>
        <v>6</v>
      </c>
      <c r="AJ171" s="151">
        <f t="shared" si="29"/>
        <v>93.333333333333329</v>
      </c>
      <c r="AK171" s="169">
        <f>IFERROR(AJ171-VLOOKUP(U171,'SFFL Main Page'!$B$4:$L$20,8,FALSE),"")</f>
        <v>0.49425287356321235</v>
      </c>
      <c r="AL171" s="152">
        <f t="shared" si="30"/>
        <v>-1.0632183908045931</v>
      </c>
    </row>
    <row r="172" spans="19:38" x14ac:dyDescent="0.3">
      <c r="S172" s="159">
        <v>167</v>
      </c>
      <c r="T172" s="118" t="s">
        <v>30</v>
      </c>
      <c r="U172" s="172" t="s">
        <v>28</v>
      </c>
      <c r="V172" s="151">
        <f>IFERROR(AVERAGEIFS(points,managers,'Owner View'!T172,opponent,'Owner View'!U172,outcome,"W"),"")</f>
        <v>108.2</v>
      </c>
      <c r="W172" s="152">
        <f>IFERROR(V172-VLOOKUP(T172,'SFFL Main Page'!$B$4:$L$20,9,FALSE),"")</f>
        <v>5.2999999999999972</v>
      </c>
      <c r="X172" s="153">
        <f>IFERROR(COUNTIFS(managers,'Owner View'!T172,opponent,'Owner View'!U172,outcome,"W"),"")</f>
        <v>10</v>
      </c>
      <c r="Y172" s="151">
        <f>IFERROR(AVERAGEIFS(points,managers,'Owner View'!T172,opponent,'Owner View'!U172,outcome,"L"),"")</f>
        <v>55.333333333333336</v>
      </c>
      <c r="Z172" s="152">
        <f>IFERROR(Y172-VLOOKUP(T172,'SFFL Main Page'!$B$4:$L$20,10,FALSE),"")</f>
        <v>-26.602150537634408</v>
      </c>
      <c r="AA172" s="153">
        <f>IFERROR(COUNTIFS(managers,'Owner View'!T172,opponent,'Owner View'!U172,outcome,"L"),"")</f>
        <v>3</v>
      </c>
      <c r="AB172" s="166">
        <f t="shared" si="28"/>
        <v>96</v>
      </c>
      <c r="AC172" s="152">
        <f>IFERROR(AB172-VLOOKUP(T172,'SFFL Main Page'!$B$4:$L$20,8,FALSE),"")</f>
        <v>4.4310344827586192</v>
      </c>
      <c r="AD172" s="151">
        <f>IFERROR(AVERAGEIFS(points,managers,'Owner View'!U172,opponent,'Owner View'!T172,outcome,"W"),"")</f>
        <v>98.333333333333329</v>
      </c>
      <c r="AE172" s="152">
        <f>IFERROR(AD172-VLOOKUP(U172,'SFFL Main Page'!$B$4:$L$20,9,FALSE),"")</f>
        <v>-8</v>
      </c>
      <c r="AF172" s="153">
        <f>IFERROR(COUNTIFS(managers,'Owner View'!U172,opponent,'Owner View'!T172,outcome,"W"),"")</f>
        <v>3</v>
      </c>
      <c r="AG172" s="151">
        <f>IFERROR(AVERAGEIFS(points,managers,'Owner View'!U172,opponent,'Owner View'!T172,outcome,"L"),"")</f>
        <v>82.7</v>
      </c>
      <c r="AH172" s="152">
        <f>IFERROR(AG172-VLOOKUP(U172,'SFFL Main Page'!$B$4:$L$20,10,FALSE),"")</f>
        <v>1.7853658536585328</v>
      </c>
      <c r="AI172" s="153">
        <f>IFERROR(COUNTIFS(managers,'Owner View'!U172,opponent,'Owner View'!T172,outcome,"L"),"")</f>
        <v>10</v>
      </c>
      <c r="AJ172" s="151">
        <f t="shared" si="29"/>
        <v>86.307692307692307</v>
      </c>
      <c r="AK172" s="169">
        <f>IFERROR(AJ172-VLOOKUP(U172,'SFFL Main Page'!$B$4:$L$20,8,FALSE),"")</f>
        <v>-7.9164456233421703</v>
      </c>
      <c r="AL172" s="152">
        <f t="shared" si="30"/>
        <v>12.347480106100789</v>
      </c>
    </row>
    <row r="173" spans="19:38" x14ac:dyDescent="0.3">
      <c r="S173" s="159">
        <v>168</v>
      </c>
      <c r="T173" s="118" t="s">
        <v>30</v>
      </c>
      <c r="U173" s="172" t="s">
        <v>24</v>
      </c>
      <c r="V173" s="151">
        <f>IFERROR(AVERAGEIFS(points,managers,'Owner View'!T173,opponent,'Owner View'!U173,outcome,"W"),"")</f>
        <v>100.33333333333333</v>
      </c>
      <c r="W173" s="152">
        <f>IFERROR(V173-VLOOKUP(T173,'SFFL Main Page'!$B$4:$L$20,9,FALSE),"")</f>
        <v>-2.5666666666666771</v>
      </c>
      <c r="X173" s="153">
        <f>IFERROR(COUNTIFS(managers,'Owner View'!T173,opponent,'Owner View'!U173,outcome,"W"),"")</f>
        <v>6</v>
      </c>
      <c r="Y173" s="151">
        <f>IFERROR(AVERAGEIFS(points,managers,'Owner View'!T173,opponent,'Owner View'!U173,outcome,"L"),"")</f>
        <v>78.571428571428569</v>
      </c>
      <c r="Z173" s="152">
        <f>IFERROR(Y173-VLOOKUP(T173,'SFFL Main Page'!$B$4:$L$20,10,FALSE),"")</f>
        <v>-3.3640552995391744</v>
      </c>
      <c r="AA173" s="153">
        <f>IFERROR(COUNTIFS(managers,'Owner View'!T173,opponent,'Owner View'!U173,outcome,"L"),"")</f>
        <v>7</v>
      </c>
      <c r="AB173" s="166">
        <f t="shared" si="28"/>
        <v>88.615384615384613</v>
      </c>
      <c r="AC173" s="152">
        <f>IFERROR(AB173-VLOOKUP(T173,'SFFL Main Page'!$B$4:$L$20,8,FALSE),"")</f>
        <v>-2.9535809018567676</v>
      </c>
      <c r="AD173" s="151">
        <f>IFERROR(AVERAGEIFS(points,managers,'Owner View'!U173,opponent,'Owner View'!T173,outcome,"W"),"")</f>
        <v>101.85714285714286</v>
      </c>
      <c r="AE173" s="152">
        <f>IFERROR(AD173-VLOOKUP(U173,'SFFL Main Page'!$B$4:$L$20,9,FALSE),"")</f>
        <v>-2.9018932874354562</v>
      </c>
      <c r="AF173" s="153">
        <f>IFERROR(COUNTIFS(managers,'Owner View'!U173,opponent,'Owner View'!T173,outcome,"W"),"")</f>
        <v>7</v>
      </c>
      <c r="AG173" s="151">
        <f>IFERROR(AVERAGEIFS(points,managers,'Owner View'!U173,opponent,'Owner View'!T173,outcome,"L"),"")</f>
        <v>72.666666666666671</v>
      </c>
      <c r="AH173" s="152">
        <f>IFERROR(AG173-VLOOKUP(U173,'SFFL Main Page'!$B$4:$L$20,10,FALSE),"")</f>
        <v>-3.8937728937728906</v>
      </c>
      <c r="AI173" s="153">
        <f>IFERROR(COUNTIFS(managers,'Owner View'!U173,opponent,'Owner View'!T173,outcome,"L"),"")</f>
        <v>6</v>
      </c>
      <c r="AJ173" s="151">
        <f t="shared" si="29"/>
        <v>88.384615384615387</v>
      </c>
      <c r="AK173" s="169">
        <f>IFERROR(AJ173-VLOOKUP(U173,'SFFL Main Page'!$B$4:$L$20,8,FALSE),"")</f>
        <v>-1.6268788682581743</v>
      </c>
      <c r="AL173" s="152">
        <f t="shared" si="30"/>
        <v>-1.3267020335985933</v>
      </c>
    </row>
    <row r="174" spans="19:38" x14ac:dyDescent="0.3">
      <c r="S174" s="159">
        <v>169</v>
      </c>
      <c r="T174" s="118" t="s">
        <v>23</v>
      </c>
      <c r="U174" s="172" t="s">
        <v>27</v>
      </c>
      <c r="V174" s="151">
        <f>IFERROR(AVERAGEIFS(points,managers,'Owner View'!T174,opponent,'Owner View'!U174,outcome,"W"),"")</f>
        <v>101.85714285714286</v>
      </c>
      <c r="W174" s="152">
        <f>IFERROR(V174-VLOOKUP(T174,'SFFL Main Page'!$B$4:$L$20,9,FALSE),"")</f>
        <v>-1.0683890577507498</v>
      </c>
      <c r="X174" s="153">
        <f>IFERROR(COUNTIFS(managers,'Owner View'!T174,opponent,'Owner View'!U174,outcome,"W"),"")</f>
        <v>7</v>
      </c>
      <c r="Y174" s="151">
        <f>IFERROR(AVERAGEIFS(points,managers,'Owner View'!T174,opponent,'Owner View'!U174,outcome,"L"),"")</f>
        <v>68.75</v>
      </c>
      <c r="Z174" s="152">
        <f>IFERROR(Y174-VLOOKUP(T174,'SFFL Main Page'!$B$4:$L$20,10,FALSE),"")</f>
        <v>-11.882911392405063</v>
      </c>
      <c r="AA174" s="153">
        <f>IFERROR(COUNTIFS(managers,'Owner View'!T174,opponent,'Owner View'!U174,outcome,"L"),"")</f>
        <v>4</v>
      </c>
      <c r="AB174" s="166">
        <f t="shared" si="28"/>
        <v>89.818181818181813</v>
      </c>
      <c r="AC174" s="152">
        <f>IFERROR(AB174-VLOOKUP(T174,'SFFL Main Page'!$B$4:$L$20,8,FALSE),"")</f>
        <v>-3.0208986415883032</v>
      </c>
      <c r="AD174" s="151">
        <f>IFERROR(AVERAGEIFS(points,managers,'Owner View'!U174,opponent,'Owner View'!T174,outcome,"W"),"")</f>
        <v>107.75</v>
      </c>
      <c r="AE174" s="152">
        <f>IFERROR(AD174-VLOOKUP(U174,'SFFL Main Page'!$B$4:$L$20,9,FALSE),"")</f>
        <v>12.260638297872347</v>
      </c>
      <c r="AF174" s="153">
        <f>IFERROR(COUNTIFS(managers,'Owner View'!U174,opponent,'Owner View'!T174,outcome,"W"),"")</f>
        <v>4</v>
      </c>
      <c r="AG174" s="151">
        <f>IFERROR(AVERAGEIFS(points,managers,'Owner View'!U174,opponent,'Owner View'!T174,outcome,"L"),"")</f>
        <v>72.714285714285708</v>
      </c>
      <c r="AH174" s="152">
        <f>IFERROR(AG174-VLOOKUP(U174,'SFFL Main Page'!$B$4:$L$20,10,FALSE),"")</f>
        <v>2.7493734335839548</v>
      </c>
      <c r="AI174" s="153">
        <f>IFERROR(COUNTIFS(managers,'Owner View'!U174,opponent,'Owner View'!T174,outcome,"L"),"")</f>
        <v>7</v>
      </c>
      <c r="AJ174" s="151">
        <f t="shared" si="29"/>
        <v>85.454545454545453</v>
      </c>
      <c r="AK174" s="169">
        <f>IFERROR(AJ174-VLOOKUP(U174,'SFFL Main Page'!$B$4:$L$20,8,FALSE),"")</f>
        <v>3.9545454545454533</v>
      </c>
      <c r="AL174" s="152">
        <f t="shared" si="30"/>
        <v>-6.9754440961337565</v>
      </c>
    </row>
    <row r="175" spans="19:38" x14ac:dyDescent="0.3">
      <c r="S175" s="159">
        <v>170</v>
      </c>
      <c r="T175" s="118" t="s">
        <v>23</v>
      </c>
      <c r="U175" s="172" t="s">
        <v>227</v>
      </c>
      <c r="V175" s="151">
        <f>IFERROR(AVERAGEIFS(points,managers,'Owner View'!T175,opponent,'Owner View'!U175,outcome,"W"),"")</f>
        <v>119</v>
      </c>
      <c r="W175" s="152">
        <f>IFERROR(V175-VLOOKUP(T175,'SFFL Main Page'!$B$4:$L$20,9,FALSE),"")</f>
        <v>16.074468085106389</v>
      </c>
      <c r="X175" s="153">
        <f>IFERROR(COUNTIFS(managers,'Owner View'!T175,opponent,'Owner View'!U175,outcome,"W"),"")</f>
        <v>6</v>
      </c>
      <c r="Y175" s="151">
        <f>IFERROR(AVERAGEIFS(points,managers,'Owner View'!T175,opponent,'Owner View'!U175,outcome,"L"),"")</f>
        <v>110</v>
      </c>
      <c r="Z175" s="152">
        <f>IFERROR(Y175-VLOOKUP(T175,'SFFL Main Page'!$B$4:$L$20,10,FALSE),"")</f>
        <v>29.367088607594937</v>
      </c>
      <c r="AA175" s="153">
        <f>IFERROR(COUNTIFS(managers,'Owner View'!T175,opponent,'Owner View'!U175,outcome,"L"),"")</f>
        <v>1</v>
      </c>
      <c r="AB175" s="166">
        <f t="shared" si="28"/>
        <v>117.71428571428571</v>
      </c>
      <c r="AC175" s="152">
        <f>IFERROR(AB175-VLOOKUP(T175,'SFFL Main Page'!$B$4:$L$20,8,FALSE),"")</f>
        <v>24.875205254515592</v>
      </c>
      <c r="AD175" s="151">
        <f>IFERROR(AVERAGEIFS(points,managers,'Owner View'!U175,opponent,'Owner View'!T175,outcome,"W"),"")</f>
        <v>126</v>
      </c>
      <c r="AE175" s="152">
        <f>IFERROR(AD175-VLOOKUP(U175,'SFFL Main Page'!$B$4:$L$20,9,FALSE),"")</f>
        <v>17.310344827586206</v>
      </c>
      <c r="AF175" s="153">
        <f>IFERROR(COUNTIFS(managers,'Owner View'!U175,opponent,'Owner View'!T175,outcome,"W"),"")</f>
        <v>1</v>
      </c>
      <c r="AG175" s="151">
        <f>IFERROR(AVERAGEIFS(points,managers,'Owner View'!U175,opponent,'Owner View'!T175,outcome,"L"),"")</f>
        <v>91.5</v>
      </c>
      <c r="AH175" s="152">
        <f>IFERROR(AG175-VLOOKUP(U175,'SFFL Main Page'!$B$4:$L$20,10,FALSE),"")</f>
        <v>9.91463414634147</v>
      </c>
      <c r="AI175" s="153">
        <f>IFERROR(COUNTIFS(managers,'Owner View'!U175,opponent,'Owner View'!T175,outcome,"L"),"")</f>
        <v>6</v>
      </c>
      <c r="AJ175" s="151">
        <f t="shared" si="29"/>
        <v>96.428571428571431</v>
      </c>
      <c r="AK175" s="169">
        <f>IFERROR(AJ175-VLOOKUP(U175,'SFFL Main Page'!$B$4:$L$20,8,FALSE),"")</f>
        <v>3.6142857142857139</v>
      </c>
      <c r="AL175" s="152">
        <f t="shared" si="30"/>
        <v>21.260919540229878</v>
      </c>
    </row>
    <row r="176" spans="19:38" x14ac:dyDescent="0.3">
      <c r="S176" s="159">
        <v>171</v>
      </c>
      <c r="T176" s="118" t="s">
        <v>23</v>
      </c>
      <c r="U176" s="172" t="s">
        <v>25</v>
      </c>
      <c r="V176" s="151">
        <f>IFERROR(AVERAGEIFS(points,managers,'Owner View'!T176,opponent,'Owner View'!U176,outcome,"W"),"")</f>
        <v>98.142857142857139</v>
      </c>
      <c r="W176" s="152">
        <f>IFERROR(V176-VLOOKUP(T176,'SFFL Main Page'!$B$4:$L$20,9,FALSE),"")</f>
        <v>-4.7826747720364722</v>
      </c>
      <c r="X176" s="153">
        <f>IFERROR(COUNTIFS(managers,'Owner View'!T176,opponent,'Owner View'!U176,outcome,"W"),"")</f>
        <v>7</v>
      </c>
      <c r="Y176" s="151">
        <f>IFERROR(AVERAGEIFS(points,managers,'Owner View'!T176,opponent,'Owner View'!U176,outcome,"L"),"")</f>
        <v>86</v>
      </c>
      <c r="Z176" s="152">
        <f>IFERROR(Y176-VLOOKUP(T176,'SFFL Main Page'!$B$4:$L$20,10,FALSE),"")</f>
        <v>5.3670886075949369</v>
      </c>
      <c r="AA176" s="153">
        <f>IFERROR(COUNTIFS(managers,'Owner View'!T176,opponent,'Owner View'!U176,outcome,"L"),"")</f>
        <v>9</v>
      </c>
      <c r="AB176" s="166">
        <f t="shared" si="28"/>
        <v>91.3125</v>
      </c>
      <c r="AC176" s="152">
        <f>IFERROR(AB176-VLOOKUP(T176,'SFFL Main Page'!$B$4:$L$20,8,FALSE),"")</f>
        <v>-1.5265804597701162</v>
      </c>
      <c r="AD176" s="151">
        <f>IFERROR(AVERAGEIFS(points,managers,'Owner View'!U176,opponent,'Owner View'!T176,outcome,"W"),"")</f>
        <v>111.11111111111111</v>
      </c>
      <c r="AE176" s="152">
        <f>IFERROR(AD176-VLOOKUP(U176,'SFFL Main Page'!$B$4:$L$20,9,FALSE),"")</f>
        <v>9.3409961685823788</v>
      </c>
      <c r="AF176" s="153">
        <f>IFERROR(COUNTIFS(managers,'Owner View'!U176,opponent,'Owner View'!T176,outcome,"W"),"")</f>
        <v>9</v>
      </c>
      <c r="AG176" s="151">
        <f>IFERROR(AVERAGEIFS(points,managers,'Owner View'!U176,opponent,'Owner View'!T176,outcome,"L"),"")</f>
        <v>80</v>
      </c>
      <c r="AH176" s="152">
        <f>IFERROR(AG176-VLOOKUP(U176,'SFFL Main Page'!$B$4:$L$20,10,FALSE),"")</f>
        <v>2.0595238095238102</v>
      </c>
      <c r="AI176" s="153">
        <f>IFERROR(COUNTIFS(managers,'Owner View'!U176,opponent,'Owner View'!T176,outcome,"L"),"")</f>
        <v>7</v>
      </c>
      <c r="AJ176" s="151">
        <f t="shared" si="29"/>
        <v>97.5</v>
      </c>
      <c r="AK176" s="169">
        <f>IFERROR(AJ176-VLOOKUP(U176,'SFFL Main Page'!$B$4:$L$20,8,FALSE),"")</f>
        <v>7.5114942528735611</v>
      </c>
      <c r="AL176" s="152">
        <f t="shared" si="30"/>
        <v>-9.0380747126436773</v>
      </c>
    </row>
    <row r="177" spans="19:38" x14ac:dyDescent="0.3">
      <c r="S177" s="159">
        <v>172</v>
      </c>
      <c r="T177" s="118" t="s">
        <v>23</v>
      </c>
      <c r="U177" s="172" t="s">
        <v>47</v>
      </c>
      <c r="V177" s="151">
        <f>IFERROR(AVERAGEIFS(points,managers,'Owner View'!T177,opponent,'Owner View'!U177,outcome,"W"),"")</f>
        <v>109.5</v>
      </c>
      <c r="W177" s="152">
        <f>IFERROR(V177-VLOOKUP(T177,'SFFL Main Page'!$B$4:$L$20,9,FALSE),"")</f>
        <v>6.574468085106389</v>
      </c>
      <c r="X177" s="153">
        <f>IFERROR(COUNTIFS(managers,'Owner View'!T177,opponent,'Owner View'!U177,outcome,"W"),"")</f>
        <v>4</v>
      </c>
      <c r="Y177" s="151">
        <f>IFERROR(AVERAGEIFS(points,managers,'Owner View'!T177,opponent,'Owner View'!U177,outcome,"L"),"")</f>
        <v>80.857142857142861</v>
      </c>
      <c r="Z177" s="152">
        <f>IFERROR(Y177-VLOOKUP(T177,'SFFL Main Page'!$B$4:$L$20,10,FALSE),"")</f>
        <v>0.22423146473779809</v>
      </c>
      <c r="AA177" s="153">
        <f>IFERROR(COUNTIFS(managers,'Owner View'!T177,opponent,'Owner View'!U177,outcome,"L"),"")</f>
        <v>7</v>
      </c>
      <c r="AB177" s="166">
        <f t="shared" si="28"/>
        <v>91.272727272727266</v>
      </c>
      <c r="AC177" s="152">
        <f>IFERROR(AB177-VLOOKUP(T177,'SFFL Main Page'!$B$4:$L$20,8,FALSE),"")</f>
        <v>-1.56635318704285</v>
      </c>
      <c r="AD177" s="151">
        <f>IFERROR(AVERAGEIFS(points,managers,'Owner View'!U177,opponent,'Owner View'!T177,outcome,"W"),"")</f>
        <v>111.71428571428571</v>
      </c>
      <c r="AE177" s="152">
        <f>IFERROR(AD177-VLOOKUP(U177,'SFFL Main Page'!$B$4:$L$20,9,FALSE),"")</f>
        <v>6.3563909774436098</v>
      </c>
      <c r="AF177" s="153">
        <f>IFERROR(COUNTIFS(managers,'Owner View'!U177,opponent,'Owner View'!T177,outcome,"W"),"")</f>
        <v>7</v>
      </c>
      <c r="AG177" s="151">
        <f>IFERROR(AVERAGEIFS(points,managers,'Owner View'!U177,opponent,'Owner View'!T177,outcome,"L"),"")</f>
        <v>79.5</v>
      </c>
      <c r="AH177" s="152">
        <f>IFERROR(AG177-VLOOKUP(U177,'SFFL Main Page'!$B$4:$L$20,10,FALSE),"")</f>
        <v>-4.0769230769230802</v>
      </c>
      <c r="AI177" s="153">
        <f>IFERROR(COUNTIFS(managers,'Owner View'!U177,opponent,'Owner View'!T177,outcome,"L"),"")</f>
        <v>4</v>
      </c>
      <c r="AJ177" s="151">
        <f t="shared" si="29"/>
        <v>100</v>
      </c>
      <c r="AK177" s="169">
        <f>IFERROR(AJ177-VLOOKUP(U177,'SFFL Main Page'!$B$4:$L$20,8,FALSE),"")</f>
        <v>2.439189189189193</v>
      </c>
      <c r="AL177" s="152">
        <f t="shared" si="30"/>
        <v>-4.005542376232043</v>
      </c>
    </row>
    <row r="178" spans="19:38" x14ac:dyDescent="0.3">
      <c r="S178" s="159">
        <v>173</v>
      </c>
      <c r="T178" s="118" t="s">
        <v>23</v>
      </c>
      <c r="U178" s="172" t="s">
        <v>26</v>
      </c>
      <c r="V178" s="151">
        <f>IFERROR(AVERAGEIFS(points,managers,'Owner View'!T178,opponent,'Owner View'!U178,outcome,"W"),"")</f>
        <v>109.83333333333333</v>
      </c>
      <c r="W178" s="152">
        <f>IFERROR(V178-VLOOKUP(T178,'SFFL Main Page'!$B$4:$L$20,9,FALSE),"")</f>
        <v>6.9078014184397176</v>
      </c>
      <c r="X178" s="153">
        <f>IFERROR(COUNTIFS(managers,'Owner View'!T178,opponent,'Owner View'!U178,outcome,"W"),"")</f>
        <v>6</v>
      </c>
      <c r="Y178" s="151">
        <f>IFERROR(AVERAGEIFS(points,managers,'Owner View'!T178,opponent,'Owner View'!U178,outcome,"L"),"")</f>
        <v>81.777777777777771</v>
      </c>
      <c r="Z178" s="152">
        <f>IFERROR(Y178-VLOOKUP(T178,'SFFL Main Page'!$B$4:$L$20,10,FALSE),"")</f>
        <v>1.1448663853727084</v>
      </c>
      <c r="AA178" s="153">
        <f>IFERROR(COUNTIFS(managers,'Owner View'!T178,opponent,'Owner View'!U178,outcome,"L"),"")</f>
        <v>9</v>
      </c>
      <c r="AB178" s="166">
        <f t="shared" si="28"/>
        <v>93</v>
      </c>
      <c r="AC178" s="152">
        <f>IFERROR(AB178-VLOOKUP(T178,'SFFL Main Page'!$B$4:$L$20,8,FALSE),"")</f>
        <v>0.16091954022988375</v>
      </c>
      <c r="AD178" s="151">
        <f>IFERROR(AVERAGEIFS(points,managers,'Owner View'!U178,opponent,'Owner View'!T178,outcome,"W"),"")</f>
        <v>92.333333333333329</v>
      </c>
      <c r="AE178" s="152">
        <f>IFERROR(AD178-VLOOKUP(U178,'SFFL Main Page'!$B$4:$L$20,9,FALSE),"")</f>
        <v>-11.21875</v>
      </c>
      <c r="AF178" s="153">
        <f>IFERROR(COUNTIFS(managers,'Owner View'!U178,opponent,'Owner View'!T178,outcome,"W"),"")</f>
        <v>9</v>
      </c>
      <c r="AG178" s="151">
        <f>IFERROR(AVERAGEIFS(points,managers,'Owner View'!U178,opponent,'Owner View'!T178,outcome,"L"),"")</f>
        <v>76.166666666666671</v>
      </c>
      <c r="AH178" s="152">
        <f>IFERROR(AG178-VLOOKUP(U178,'SFFL Main Page'!$B$4:$L$20,10,FALSE),"")</f>
        <v>-1.365800865800864</v>
      </c>
      <c r="AI178" s="153">
        <f>IFERROR(COUNTIFS(managers,'Owner View'!U178,opponent,'Owner View'!T178,outcome,"L"),"")</f>
        <v>6</v>
      </c>
      <c r="AJ178" s="151">
        <f t="shared" si="29"/>
        <v>85.86666666666666</v>
      </c>
      <c r="AK178" s="169">
        <f>IFERROR(AJ178-VLOOKUP(U178,'SFFL Main Page'!$B$4:$L$20,8,FALSE),"")</f>
        <v>-6.1160919540229912</v>
      </c>
      <c r="AL178" s="152">
        <f t="shared" si="30"/>
        <v>6.277011494252875</v>
      </c>
    </row>
    <row r="179" spans="19:38" x14ac:dyDescent="0.3">
      <c r="S179" s="159">
        <v>174</v>
      </c>
      <c r="T179" s="118" t="s">
        <v>23</v>
      </c>
      <c r="U179" s="172" t="s">
        <v>48</v>
      </c>
      <c r="V179" s="151">
        <f>IFERROR(AVERAGEIFS(points,managers,'Owner View'!T179,opponent,'Owner View'!U179,outcome,"W"),"")</f>
        <v>112.5</v>
      </c>
      <c r="W179" s="152">
        <f>IFERROR(V179-VLOOKUP(T179,'SFFL Main Page'!$B$4:$L$20,9,FALSE),"")</f>
        <v>9.574468085106389</v>
      </c>
      <c r="X179" s="153">
        <f>IFERROR(COUNTIFS(managers,'Owner View'!T179,opponent,'Owner View'!U179,outcome,"W"),"")</f>
        <v>6</v>
      </c>
      <c r="Y179" s="151">
        <f>IFERROR(AVERAGEIFS(points,managers,'Owner View'!T179,opponent,'Owner View'!U179,outcome,"L"),"")</f>
        <v>70.125</v>
      </c>
      <c r="Z179" s="152">
        <f>IFERROR(Y179-VLOOKUP(T179,'SFFL Main Page'!$B$4:$L$20,10,FALSE),"")</f>
        <v>-10.507911392405063</v>
      </c>
      <c r="AA179" s="153">
        <f>IFERROR(COUNTIFS(managers,'Owner View'!T179,opponent,'Owner View'!U179,outcome,"L"),"")</f>
        <v>8</v>
      </c>
      <c r="AB179" s="166">
        <f t="shared" si="28"/>
        <v>88.285714285714292</v>
      </c>
      <c r="AC179" s="152">
        <f>IFERROR(AB179-VLOOKUP(T179,'SFFL Main Page'!$B$4:$L$20,8,FALSE),"")</f>
        <v>-4.5533661740558244</v>
      </c>
      <c r="AD179" s="151">
        <f>IFERROR(AVERAGEIFS(points,managers,'Owner View'!U179,opponent,'Owner View'!T179,outcome,"W"),"")</f>
        <v>100.875</v>
      </c>
      <c r="AE179" s="152">
        <f>IFERROR(AD179-VLOOKUP(U179,'SFFL Main Page'!$B$4:$L$20,9,FALSE),"")</f>
        <v>-7.8701219512195166</v>
      </c>
      <c r="AF179" s="153">
        <f>IFERROR(COUNTIFS(managers,'Owner View'!U179,opponent,'Owner View'!T179,outcome,"W"),"")</f>
        <v>8</v>
      </c>
      <c r="AG179" s="151">
        <f>IFERROR(AVERAGEIFS(points,managers,'Owner View'!U179,opponent,'Owner View'!T179,outcome,"L"),"")</f>
        <v>90</v>
      </c>
      <c r="AH179" s="152">
        <f>IFERROR(AG179-VLOOKUP(U179,'SFFL Main Page'!$B$4:$L$20,10,FALSE),"")</f>
        <v>5.2424242424242493</v>
      </c>
      <c r="AI179" s="153">
        <f>IFERROR(COUNTIFS(managers,'Owner View'!U179,opponent,'Owner View'!T179,outcome,"L"),"")</f>
        <v>6</v>
      </c>
      <c r="AJ179" s="151">
        <f t="shared" si="29"/>
        <v>96.214285714285708</v>
      </c>
      <c r="AK179" s="169">
        <f>IFERROR(AJ179-VLOOKUP(U179,'SFFL Main Page'!$B$4:$L$20,8,FALSE),"")</f>
        <v>-1.833687258687263</v>
      </c>
      <c r="AL179" s="152">
        <f t="shared" si="30"/>
        <v>-2.7196789153685614</v>
      </c>
    </row>
    <row r="180" spans="19:38" x14ac:dyDescent="0.3">
      <c r="S180" s="159">
        <v>175</v>
      </c>
      <c r="T180" s="118" t="s">
        <v>23</v>
      </c>
      <c r="U180" s="172" t="s">
        <v>29</v>
      </c>
      <c r="V180" s="151">
        <f>IFERROR(AVERAGEIFS(points,managers,'Owner View'!T180,opponent,'Owner View'!U180,outcome,"W"),"")</f>
        <v>92.166666666666671</v>
      </c>
      <c r="W180" s="152">
        <f>IFERROR(V180-VLOOKUP(T180,'SFFL Main Page'!$B$4:$L$20,9,FALSE),"")</f>
        <v>-10.75886524822694</v>
      </c>
      <c r="X180" s="153">
        <f>IFERROR(COUNTIFS(managers,'Owner View'!T180,opponent,'Owner View'!U180,outcome,"W"),"")</f>
        <v>6</v>
      </c>
      <c r="Y180" s="151">
        <f>IFERROR(AVERAGEIFS(points,managers,'Owner View'!T180,opponent,'Owner View'!U180,outcome,"L"),"")</f>
        <v>75.25</v>
      </c>
      <c r="Z180" s="152">
        <f>IFERROR(Y180-VLOOKUP(T180,'SFFL Main Page'!$B$4:$L$20,10,FALSE),"")</f>
        <v>-5.3829113924050631</v>
      </c>
      <c r="AA180" s="153">
        <f>IFERROR(COUNTIFS(managers,'Owner View'!T180,opponent,'Owner View'!U180,outcome,"L"),"")</f>
        <v>8</v>
      </c>
      <c r="AB180" s="166">
        <f t="shared" si="28"/>
        <v>82.5</v>
      </c>
      <c r="AC180" s="152">
        <f>IFERROR(AB180-VLOOKUP(T180,'SFFL Main Page'!$B$4:$L$20,8,FALSE),"")</f>
        <v>-10.339080459770116</v>
      </c>
      <c r="AD180" s="151">
        <f>IFERROR(AVERAGEIFS(points,managers,'Owner View'!U180,opponent,'Owner View'!T180,outcome,"W"),"")</f>
        <v>112.875</v>
      </c>
      <c r="AE180" s="152">
        <f>IFERROR(AD180-VLOOKUP(U180,'SFFL Main Page'!$B$4:$L$20,9,FALSE),"")</f>
        <v>11.804411764705875</v>
      </c>
      <c r="AF180" s="153">
        <f>IFERROR(COUNTIFS(managers,'Owner View'!U180,opponent,'Owner View'!T180,outcome,"W"),"")</f>
        <v>8</v>
      </c>
      <c r="AG180" s="151">
        <f>IFERROR(AVERAGEIFS(points,managers,'Owner View'!U180,opponent,'Owner View'!T180,outcome,"L"),"")</f>
        <v>73.666666666666671</v>
      </c>
      <c r="AH180" s="152">
        <f>IFERROR(AG180-VLOOKUP(U180,'SFFL Main Page'!$B$4:$L$20,10,FALSE),"")</f>
        <v>-4.4583333333333286</v>
      </c>
      <c r="AI180" s="153">
        <f>IFERROR(COUNTIFS(managers,'Owner View'!U180,opponent,'Owner View'!T180,outcome,"L"),"")</f>
        <v>6</v>
      </c>
      <c r="AJ180" s="151">
        <f t="shared" si="29"/>
        <v>96.071428571428569</v>
      </c>
      <c r="AK180" s="169">
        <f>IFERROR(AJ180-VLOOKUP(U180,'SFFL Main Page'!$B$4:$L$20,8,FALSE),"")</f>
        <v>6.66912972085386</v>
      </c>
      <c r="AL180" s="152">
        <f t="shared" si="30"/>
        <v>-17.008210180623976</v>
      </c>
    </row>
    <row r="181" spans="19:38" x14ac:dyDescent="0.3">
      <c r="S181" s="159">
        <v>176</v>
      </c>
      <c r="T181" s="118" t="s">
        <v>23</v>
      </c>
      <c r="U181" s="172" t="s">
        <v>43</v>
      </c>
      <c r="V181" s="151">
        <f>IFERROR(AVERAGEIFS(points,managers,'Owner View'!T181,opponent,'Owner View'!U181,outcome,"W"),"")</f>
        <v>90.2</v>
      </c>
      <c r="W181" s="152">
        <f>IFERROR(V181-VLOOKUP(T181,'SFFL Main Page'!$B$4:$L$20,9,FALSE),"")</f>
        <v>-12.725531914893608</v>
      </c>
      <c r="X181" s="153">
        <f>IFERROR(COUNTIFS(managers,'Owner View'!T181,opponent,'Owner View'!U181,outcome,"W"),"")</f>
        <v>10</v>
      </c>
      <c r="Y181" s="151">
        <f>IFERROR(AVERAGEIFS(points,managers,'Owner View'!T181,opponent,'Owner View'!U181,outcome,"L"),"")</f>
        <v>81.75</v>
      </c>
      <c r="Z181" s="152">
        <f>IFERROR(Y181-VLOOKUP(T181,'SFFL Main Page'!$B$4:$L$20,10,FALSE),"")</f>
        <v>1.1170886075949369</v>
      </c>
      <c r="AA181" s="153">
        <f>IFERROR(COUNTIFS(managers,'Owner View'!T181,opponent,'Owner View'!U181,outcome,"L"),"")</f>
        <v>4</v>
      </c>
      <c r="AB181" s="166">
        <f t="shared" si="28"/>
        <v>87.785714285714292</v>
      </c>
      <c r="AC181" s="152">
        <f>IFERROR(AB181-VLOOKUP(T181,'SFFL Main Page'!$B$4:$L$20,8,FALSE),"")</f>
        <v>-5.0533661740558244</v>
      </c>
      <c r="AD181" s="151">
        <f>IFERROR(AVERAGEIFS(points,managers,'Owner View'!U181,opponent,'Owner View'!T181,outcome,"W"),"")</f>
        <v>106.75</v>
      </c>
      <c r="AE181" s="152">
        <f>IFERROR(AD181-VLOOKUP(U181,'SFFL Main Page'!$B$4:$L$20,9,FALSE),"")</f>
        <v>5.9228395061728349</v>
      </c>
      <c r="AF181" s="153">
        <f>IFERROR(COUNTIFS(managers,'Owner View'!U181,opponent,'Owner View'!T181,outcome,"W"),"")</f>
        <v>4</v>
      </c>
      <c r="AG181" s="151">
        <f>IFERROR(AVERAGEIFS(points,managers,'Owner View'!U181,opponent,'Owner View'!T181,outcome,"L"),"")</f>
        <v>72.2</v>
      </c>
      <c r="AH181" s="152">
        <f>IFERROR(AG181-VLOOKUP(U181,'SFFL Main Page'!$B$4:$L$20,10,FALSE),"")</f>
        <v>-3.1695652173912947</v>
      </c>
      <c r="AI181" s="153">
        <f>IFERROR(COUNTIFS(managers,'Owner View'!U181,opponent,'Owner View'!T181,outcome,"L"),"")</f>
        <v>10</v>
      </c>
      <c r="AJ181" s="151">
        <f t="shared" si="29"/>
        <v>82.071428571428569</v>
      </c>
      <c r="AK181" s="169">
        <f>IFERROR(AJ181-VLOOKUP(U181,'SFFL Main Page'!$B$4:$L$20,8,FALSE),"")</f>
        <v>-5.1699507389162562</v>
      </c>
      <c r="AL181" s="152">
        <f t="shared" si="30"/>
        <v>0.11658456486043178</v>
      </c>
    </row>
    <row r="182" spans="19:38" x14ac:dyDescent="0.3">
      <c r="S182" s="159">
        <v>177</v>
      </c>
      <c r="T182" s="118" t="s">
        <v>23</v>
      </c>
      <c r="U182" s="172" t="s">
        <v>473</v>
      </c>
      <c r="V182" s="151">
        <f>IFERROR(AVERAGEIFS(points,managers,'Owner View'!T182,opponent,'Owner View'!U182,outcome,"W"),"")</f>
        <v>146</v>
      </c>
      <c r="W182" s="152">
        <f>IFERROR(V182-VLOOKUP(T182,'SFFL Main Page'!$B$4:$L$20,9,FALSE),"")</f>
        <v>43.074468085106389</v>
      </c>
      <c r="X182" s="153">
        <f>IFERROR(COUNTIFS(managers,'Owner View'!T182,opponent,'Owner View'!U182,outcome,"W"),"")</f>
        <v>1</v>
      </c>
      <c r="Y182" s="151">
        <f>IFERROR(AVERAGEIFS(points,managers,'Owner View'!T182,opponent,'Owner View'!U182,outcome,"L"),"")</f>
        <v>66</v>
      </c>
      <c r="Z182" s="152">
        <f>IFERROR(Y182-VLOOKUP(T182,'SFFL Main Page'!$B$4:$L$20,10,FALSE),"")</f>
        <v>-14.632911392405063</v>
      </c>
      <c r="AA182" s="153">
        <f>IFERROR(COUNTIFS(managers,'Owner View'!T182,opponent,'Owner View'!U182,outcome,"L"),"")</f>
        <v>1</v>
      </c>
      <c r="AB182" s="166">
        <f t="shared" si="28"/>
        <v>106</v>
      </c>
      <c r="AC182" s="152">
        <f>IFERROR(AB182-VLOOKUP(T182,'SFFL Main Page'!$B$4:$L$20,8,FALSE),"")</f>
        <v>13.160919540229884</v>
      </c>
      <c r="AD182" s="151">
        <f>IFERROR(AVERAGEIFS(points,managers,'Owner View'!U182,opponent,'Owner View'!T182,outcome,"W"),"")</f>
        <v>123</v>
      </c>
      <c r="AE182" s="152">
        <f>IFERROR(AD182-VLOOKUP(U182,'SFFL Main Page'!$B$4:$L$20,9,FALSE),"")</f>
        <v>0.44444444444444287</v>
      </c>
      <c r="AF182" s="153">
        <f>IFERROR(COUNTIFS(managers,'Owner View'!U182,opponent,'Owner View'!T182,outcome,"W"),"")</f>
        <v>1</v>
      </c>
      <c r="AG182" s="151">
        <f>IFERROR(AVERAGEIFS(points,managers,'Owner View'!U182,opponent,'Owner View'!T182,outcome,"L"),"")</f>
        <v>115</v>
      </c>
      <c r="AH182" s="152">
        <f>IFERROR(AG182-VLOOKUP(U182,'SFFL Main Page'!$B$4:$L$20,10,FALSE),"")</f>
        <v>21.84210526315789</v>
      </c>
      <c r="AI182" s="153">
        <f>IFERROR(COUNTIFS(managers,'Owner View'!U182,opponent,'Owner View'!T182,outcome,"L"),"")</f>
        <v>1</v>
      </c>
      <c r="AJ182" s="151">
        <f t="shared" si="29"/>
        <v>119</v>
      </c>
      <c r="AK182" s="169">
        <f>IFERROR(AJ182-VLOOKUP(U182,'SFFL Main Page'!$B$4:$L$20,8,FALSE),"")</f>
        <v>16.392857142857139</v>
      </c>
      <c r="AL182" s="152">
        <f t="shared" si="30"/>
        <v>-3.231937602627255</v>
      </c>
    </row>
    <row r="183" spans="19:38" x14ac:dyDescent="0.3">
      <c r="S183" s="159">
        <v>178</v>
      </c>
      <c r="T183" s="118" t="s">
        <v>23</v>
      </c>
      <c r="U183" s="172" t="s">
        <v>472</v>
      </c>
      <c r="V183" s="151">
        <f>IFERROR(AVERAGEIFS(points,managers,'Owner View'!T183,opponent,'Owner View'!U183,outcome,"W"),"")</f>
        <v>111</v>
      </c>
      <c r="W183" s="152">
        <f>IFERROR(V183-VLOOKUP(T183,'SFFL Main Page'!$B$4:$L$20,9,FALSE),"")</f>
        <v>8.074468085106389</v>
      </c>
      <c r="X183" s="153">
        <f>IFERROR(COUNTIFS(managers,'Owner View'!T183,opponent,'Owner View'!U183,outcome,"W"),"")</f>
        <v>1</v>
      </c>
      <c r="Y183" s="151">
        <f>IFERROR(AVERAGEIFS(points,managers,'Owner View'!T183,opponent,'Owner View'!U183,outcome,"L"),"")</f>
        <v>97</v>
      </c>
      <c r="Z183" s="152">
        <f>IFERROR(Y183-VLOOKUP(T183,'SFFL Main Page'!$B$4:$L$20,10,FALSE),"")</f>
        <v>16.367088607594937</v>
      </c>
      <c r="AA183" s="153">
        <f>IFERROR(COUNTIFS(managers,'Owner View'!T183,opponent,'Owner View'!U183,outcome,"L"),"")</f>
        <v>1</v>
      </c>
      <c r="AB183" s="166">
        <f t="shared" si="28"/>
        <v>104</v>
      </c>
      <c r="AC183" s="152">
        <f>IFERROR(AB183-VLOOKUP(T183,'SFFL Main Page'!$B$4:$L$20,8,FALSE),"")</f>
        <v>11.160919540229884</v>
      </c>
      <c r="AD183" s="151">
        <f>IFERROR(AVERAGEIFS(points,managers,'Owner View'!U183,opponent,'Owner View'!T183,outcome,"W"),"")</f>
        <v>132</v>
      </c>
      <c r="AE183" s="152">
        <f>IFERROR(AD183-VLOOKUP(U183,'SFFL Main Page'!$B$4:$L$20,9,FALSE),"")</f>
        <v>12.272727272727266</v>
      </c>
      <c r="AF183" s="153">
        <f>IFERROR(COUNTIFS(managers,'Owner View'!U183,opponent,'Owner View'!T183,outcome,"W"),"")</f>
        <v>1</v>
      </c>
      <c r="AG183" s="151">
        <f>IFERROR(AVERAGEIFS(points,managers,'Owner View'!U183,opponent,'Owner View'!T183,outcome,"L"),"")</f>
        <v>92</v>
      </c>
      <c r="AH183" s="152">
        <f>IFERROR(AG183-VLOOKUP(U183,'SFFL Main Page'!$B$4:$L$20,10,FALSE),"")</f>
        <v>-5.529411764705884</v>
      </c>
      <c r="AI183" s="153">
        <f>IFERROR(COUNTIFS(managers,'Owner View'!U183,opponent,'Owner View'!T183,outcome,"L"),"")</f>
        <v>1</v>
      </c>
      <c r="AJ183" s="151">
        <f t="shared" si="29"/>
        <v>112</v>
      </c>
      <c r="AK183" s="169">
        <f>IFERROR(AJ183-VLOOKUP(U183,'SFFL Main Page'!$B$4:$L$20,8,FALSE),"")</f>
        <v>5.75</v>
      </c>
      <c r="AL183" s="152">
        <f t="shared" si="30"/>
        <v>5.4109195402298838</v>
      </c>
    </row>
    <row r="184" spans="19:38" x14ac:dyDescent="0.3">
      <c r="S184" s="159">
        <v>179</v>
      </c>
      <c r="T184" s="118" t="s">
        <v>23</v>
      </c>
      <c r="U184" s="172" t="s">
        <v>22</v>
      </c>
      <c r="V184" s="151">
        <f>IFERROR(AVERAGEIFS(points,managers,'Owner View'!T184,opponent,'Owner View'!U184,outcome,"W"),"")</f>
        <v>110.3</v>
      </c>
      <c r="W184" s="152">
        <f>IFERROR(V184-VLOOKUP(T184,'SFFL Main Page'!$B$4:$L$20,9,FALSE),"")</f>
        <v>7.3744680851063862</v>
      </c>
      <c r="X184" s="153">
        <f>IFERROR(COUNTIFS(managers,'Owner View'!T184,opponent,'Owner View'!U184,outcome,"W"),"")</f>
        <v>10</v>
      </c>
      <c r="Y184" s="151">
        <f>IFERROR(AVERAGEIFS(points,managers,'Owner View'!T184,opponent,'Owner View'!U184,outcome,"L"),"")</f>
        <v>80</v>
      </c>
      <c r="Z184" s="152">
        <f>IFERROR(Y184-VLOOKUP(T184,'SFFL Main Page'!$B$4:$L$20,10,FALSE),"")</f>
        <v>-0.63291139240506311</v>
      </c>
      <c r="AA184" s="153">
        <f>IFERROR(COUNTIFS(managers,'Owner View'!T184,opponent,'Owner View'!U184,outcome,"L"),"")</f>
        <v>5</v>
      </c>
      <c r="AB184" s="166">
        <f t="shared" si="28"/>
        <v>100.2</v>
      </c>
      <c r="AC184" s="152">
        <f>IFERROR(AB184-VLOOKUP(T184,'SFFL Main Page'!$B$4:$L$20,8,FALSE),"")</f>
        <v>7.3609195402298866</v>
      </c>
      <c r="AD184" s="151">
        <f>IFERROR(AVERAGEIFS(points,managers,'Owner View'!U184,opponent,'Owner View'!T184,outcome,"W"),"")</f>
        <v>108.6</v>
      </c>
      <c r="AE184" s="152">
        <f>IFERROR(AD184-VLOOKUP(U184,'SFFL Main Page'!$B$4:$L$20,9,FALSE),"")</f>
        <v>6.2197183098591466</v>
      </c>
      <c r="AF184" s="153">
        <f>IFERROR(COUNTIFS(managers,'Owner View'!U184,opponent,'Owner View'!T184,outcome,"W"),"")</f>
        <v>5</v>
      </c>
      <c r="AG184" s="151">
        <f>IFERROR(AVERAGEIFS(points,managers,'Owner View'!U184,opponent,'Owner View'!T184,outcome,"L"),"")</f>
        <v>78.599999999999994</v>
      </c>
      <c r="AH184" s="152">
        <f>IFERROR(AG184-VLOOKUP(U184,'SFFL Main Page'!$B$4:$L$20,10,FALSE),"")</f>
        <v>-1.3509803921568704</v>
      </c>
      <c r="AI184" s="153">
        <f>IFERROR(COUNTIFS(managers,'Owner View'!U184,opponent,'Owner View'!T184,outcome,"L"),"")</f>
        <v>10</v>
      </c>
      <c r="AJ184" s="151">
        <f t="shared" si="29"/>
        <v>88.6</v>
      </c>
      <c r="AK184" s="169">
        <f>IFERROR(AJ184-VLOOKUP(U184,'SFFL Main Page'!$B$4:$L$20,8,FALSE),"")</f>
        <v>-0.56091954022988944</v>
      </c>
      <c r="AL184" s="152">
        <f t="shared" si="30"/>
        <v>7.921839080459776</v>
      </c>
    </row>
    <row r="185" spans="19:38" x14ac:dyDescent="0.3">
      <c r="S185" s="159">
        <v>180</v>
      </c>
      <c r="T185" s="118" t="s">
        <v>23</v>
      </c>
      <c r="U185" s="172" t="s">
        <v>30</v>
      </c>
      <c r="V185" s="151">
        <f>IFERROR(AVERAGEIFS(points,managers,'Owner View'!T185,opponent,'Owner View'!U185,outcome,"W"),"")</f>
        <v>99.888888888888886</v>
      </c>
      <c r="W185" s="152">
        <f>IFERROR(V185-VLOOKUP(T185,'SFFL Main Page'!$B$4:$L$20,9,FALSE),"")</f>
        <v>-3.0366430260047252</v>
      </c>
      <c r="X185" s="153">
        <f>IFERROR(COUNTIFS(managers,'Owner View'!T185,opponent,'Owner View'!U185,outcome,"W"),"")</f>
        <v>9</v>
      </c>
      <c r="Y185" s="151">
        <f>IFERROR(AVERAGEIFS(points,managers,'Owner View'!T185,opponent,'Owner View'!U185,outcome,"L"),"")</f>
        <v>83.5</v>
      </c>
      <c r="Z185" s="152">
        <f>IFERROR(Y185-VLOOKUP(T185,'SFFL Main Page'!$B$4:$L$20,10,FALSE),"")</f>
        <v>2.8670886075949369</v>
      </c>
      <c r="AA185" s="153">
        <f>IFERROR(COUNTIFS(managers,'Owner View'!T185,opponent,'Owner View'!U185,outcome,"L"),"")</f>
        <v>6</v>
      </c>
      <c r="AB185" s="166">
        <f t="shared" si="28"/>
        <v>93.333333333333329</v>
      </c>
      <c r="AC185" s="152">
        <f>IFERROR(AB185-VLOOKUP(T185,'SFFL Main Page'!$B$4:$L$20,8,FALSE),"")</f>
        <v>0.49425287356321235</v>
      </c>
      <c r="AD185" s="151">
        <f>IFERROR(AVERAGEIFS(points,managers,'Owner View'!U185,opponent,'Owner View'!T185,outcome,"W"),"")</f>
        <v>99.5</v>
      </c>
      <c r="AE185" s="152">
        <f>IFERROR(AD185-VLOOKUP(U185,'SFFL Main Page'!$B$4:$L$20,9,FALSE),"")</f>
        <v>-3.4000000000000057</v>
      </c>
      <c r="AF185" s="153">
        <f>IFERROR(COUNTIFS(managers,'Owner View'!U185,opponent,'Owner View'!T185,outcome,"W"),"")</f>
        <v>6</v>
      </c>
      <c r="AG185" s="151">
        <f>IFERROR(AVERAGEIFS(points,managers,'Owner View'!U185,opponent,'Owner View'!T185,outcome,"L"),"")</f>
        <v>85.333333333333329</v>
      </c>
      <c r="AH185" s="152">
        <f>IFERROR(AG185-VLOOKUP(U185,'SFFL Main Page'!$B$4:$L$20,10,FALSE),"")</f>
        <v>3.3978494623655848</v>
      </c>
      <c r="AI185" s="153">
        <f>IFERROR(COUNTIFS(managers,'Owner View'!U185,opponent,'Owner View'!T185,outcome,"L"),"")</f>
        <v>9</v>
      </c>
      <c r="AJ185" s="151">
        <f t="shared" si="29"/>
        <v>91</v>
      </c>
      <c r="AK185" s="169">
        <f>IFERROR(AJ185-VLOOKUP(U185,'SFFL Main Page'!$B$4:$L$20,8,FALSE),"")</f>
        <v>-0.56896551724138078</v>
      </c>
      <c r="AL185" s="152">
        <f t="shared" si="30"/>
        <v>1.0632183908045931</v>
      </c>
    </row>
    <row r="186" spans="19:38" x14ac:dyDescent="0.3">
      <c r="S186" s="159">
        <v>181</v>
      </c>
      <c r="T186" s="118" t="s">
        <v>23</v>
      </c>
      <c r="U186" s="172" t="s">
        <v>28</v>
      </c>
      <c r="V186" s="151">
        <f>IFERROR(AVERAGEIFS(points,managers,'Owner View'!T186,opponent,'Owner View'!U186,outcome,"W"),"")</f>
        <v>100.25</v>
      </c>
      <c r="W186" s="152">
        <f>IFERROR(V186-VLOOKUP(T186,'SFFL Main Page'!$B$4:$L$20,9,FALSE),"")</f>
        <v>-2.675531914893611</v>
      </c>
      <c r="X186" s="153">
        <f>IFERROR(COUNTIFS(managers,'Owner View'!T186,opponent,'Owner View'!U186,outcome,"W"),"")</f>
        <v>8</v>
      </c>
      <c r="Y186" s="151">
        <f>IFERROR(AVERAGEIFS(points,managers,'Owner View'!T186,opponent,'Owner View'!U186,outcome,"L"),"")</f>
        <v>84.666666666666671</v>
      </c>
      <c r="Z186" s="152">
        <f>IFERROR(Y186-VLOOKUP(T186,'SFFL Main Page'!$B$4:$L$20,10,FALSE),"")</f>
        <v>4.0337552742616083</v>
      </c>
      <c r="AA186" s="153">
        <f>IFERROR(COUNTIFS(managers,'Owner View'!T186,opponent,'Owner View'!U186,outcome,"L"),"")</f>
        <v>6</v>
      </c>
      <c r="AB186" s="166">
        <f t="shared" si="28"/>
        <v>93.571428571428569</v>
      </c>
      <c r="AC186" s="152">
        <f>IFERROR(AB186-VLOOKUP(T186,'SFFL Main Page'!$B$4:$L$20,8,FALSE),"")</f>
        <v>0.73234811165845315</v>
      </c>
      <c r="AD186" s="151">
        <f>IFERROR(AVERAGEIFS(points,managers,'Owner View'!U186,opponent,'Owner View'!T186,outcome,"W"),"")</f>
        <v>108.16666666666667</v>
      </c>
      <c r="AE186" s="152">
        <f>IFERROR(AD186-VLOOKUP(U186,'SFFL Main Page'!$B$4:$L$20,9,FALSE),"")</f>
        <v>1.8333333333333428</v>
      </c>
      <c r="AF186" s="153">
        <f>IFERROR(COUNTIFS(managers,'Owner View'!U186,opponent,'Owner View'!T186,outcome,"W"),"")</f>
        <v>6</v>
      </c>
      <c r="AG186" s="151">
        <f>IFERROR(AVERAGEIFS(points,managers,'Owner View'!U186,opponent,'Owner View'!T186,outcome,"L"),"")</f>
        <v>80.25</v>
      </c>
      <c r="AH186" s="152">
        <f>IFERROR(AG186-VLOOKUP(U186,'SFFL Main Page'!$B$4:$L$20,10,FALSE),"")</f>
        <v>-0.66463414634147</v>
      </c>
      <c r="AI186" s="153">
        <f>IFERROR(COUNTIFS(managers,'Owner View'!U186,opponent,'Owner View'!T186,outcome,"L"),"")</f>
        <v>8</v>
      </c>
      <c r="AJ186" s="151">
        <f t="shared" si="29"/>
        <v>92.214285714285708</v>
      </c>
      <c r="AK186" s="169">
        <f>IFERROR(AJ186-VLOOKUP(U186,'SFFL Main Page'!$B$4:$L$20,8,FALSE),"")</f>
        <v>-2.0098522167487687</v>
      </c>
      <c r="AL186" s="152">
        <f t="shared" si="30"/>
        <v>2.7422003284072218</v>
      </c>
    </row>
    <row r="187" spans="19:38" x14ac:dyDescent="0.3">
      <c r="S187" s="159">
        <v>182</v>
      </c>
      <c r="T187" s="118" t="s">
        <v>23</v>
      </c>
      <c r="U187" s="172" t="s">
        <v>24</v>
      </c>
      <c r="V187" s="151">
        <f>IFERROR(AVERAGEIFS(points,managers,'Owner View'!T187,opponent,'Owner View'!U187,outcome,"W"),"")</f>
        <v>97.92307692307692</v>
      </c>
      <c r="W187" s="152">
        <f>IFERROR(V187-VLOOKUP(T187,'SFFL Main Page'!$B$4:$L$20,9,FALSE),"")</f>
        <v>-5.0024549918166912</v>
      </c>
      <c r="X187" s="153">
        <f>IFERROR(COUNTIFS(managers,'Owner View'!T187,opponent,'Owner View'!U187,outcome,"W"),"")</f>
        <v>13</v>
      </c>
      <c r="Y187" s="151">
        <f>IFERROR(AVERAGEIFS(points,managers,'Owner View'!T187,opponent,'Owner View'!U187,outcome,"L"),"")</f>
        <v>84.7</v>
      </c>
      <c r="Z187" s="152">
        <f>IFERROR(Y187-VLOOKUP(T187,'SFFL Main Page'!$B$4:$L$20,10,FALSE),"")</f>
        <v>4.0670886075949397</v>
      </c>
      <c r="AA187" s="153">
        <f>IFERROR(COUNTIFS(managers,'Owner View'!T187,opponent,'Owner View'!U187,outcome,"L"),"")</f>
        <v>10</v>
      </c>
      <c r="AB187" s="166">
        <f t="shared" si="28"/>
        <v>92.173913043478265</v>
      </c>
      <c r="AC187" s="152">
        <f>IFERROR(AB187-VLOOKUP(T187,'SFFL Main Page'!$B$4:$L$20,8,FALSE),"")</f>
        <v>-0.66516741629185105</v>
      </c>
      <c r="AD187" s="151">
        <f>IFERROR(AVERAGEIFS(points,managers,'Owner View'!U187,opponent,'Owner View'!T187,outcome,"W"),"")</f>
        <v>102.8</v>
      </c>
      <c r="AE187" s="152">
        <f>IFERROR(AD187-VLOOKUP(U187,'SFFL Main Page'!$B$4:$L$20,9,FALSE),"")</f>
        <v>-1.9590361445783202</v>
      </c>
      <c r="AF187" s="153">
        <f>IFERROR(COUNTIFS(managers,'Owner View'!U187,opponent,'Owner View'!T187,outcome,"W"),"")</f>
        <v>10</v>
      </c>
      <c r="AG187" s="151">
        <f>IFERROR(AVERAGEIFS(points,managers,'Owner View'!U187,opponent,'Owner View'!T187,outcome,"L"),"")</f>
        <v>68.307692307692307</v>
      </c>
      <c r="AH187" s="152">
        <f>IFERROR(AG187-VLOOKUP(U187,'SFFL Main Page'!$B$4:$L$20,10,FALSE),"")</f>
        <v>-8.2527472527472554</v>
      </c>
      <c r="AI187" s="153">
        <f>IFERROR(COUNTIFS(managers,'Owner View'!U187,opponent,'Owner View'!T187,outcome,"L"),"")</f>
        <v>13</v>
      </c>
      <c r="AJ187" s="151">
        <f t="shared" si="29"/>
        <v>83.304347826086953</v>
      </c>
      <c r="AK187" s="169">
        <f>IFERROR(AJ187-VLOOKUP(U187,'SFFL Main Page'!$B$4:$L$20,8,FALSE),"")</f>
        <v>-6.7071464267866077</v>
      </c>
      <c r="AL187" s="152">
        <f t="shared" si="30"/>
        <v>6.0419790104947566</v>
      </c>
    </row>
    <row r="188" spans="19:38" x14ac:dyDescent="0.3">
      <c r="S188" s="159">
        <v>183</v>
      </c>
      <c r="T188" s="118" t="s">
        <v>28</v>
      </c>
      <c r="U188" s="172" t="s">
        <v>27</v>
      </c>
      <c r="V188" s="151">
        <f>IFERROR(AVERAGEIFS(points,managers,'Owner View'!T188,opponent,'Owner View'!U188,outcome,"W"),"")</f>
        <v>103.66666666666667</v>
      </c>
      <c r="W188" s="152">
        <f>IFERROR(V188-VLOOKUP(T188,'SFFL Main Page'!$B$4:$L$20,9,FALSE),"")</f>
        <v>-2.6666666666666572</v>
      </c>
      <c r="X188" s="153">
        <f>IFERROR(COUNTIFS(managers,'Owner View'!T188,opponent,'Owner View'!U188,outcome,"W"),"")</f>
        <v>6</v>
      </c>
      <c r="Y188" s="151">
        <f>IFERROR(AVERAGEIFS(points,managers,'Owner View'!T188,opponent,'Owner View'!U188,outcome,"L"),"")</f>
        <v>73</v>
      </c>
      <c r="Z188" s="152">
        <f>IFERROR(Y188-VLOOKUP(T188,'SFFL Main Page'!$B$4:$L$20,10,FALSE),"")</f>
        <v>-7.91463414634147</v>
      </c>
      <c r="AA188" s="153">
        <f>IFERROR(COUNTIFS(managers,'Owner View'!T188,opponent,'Owner View'!U188,outcome,"L"),"")</f>
        <v>3</v>
      </c>
      <c r="AB188" s="166">
        <f t="shared" si="28"/>
        <v>93.444444444444443</v>
      </c>
      <c r="AC188" s="152">
        <f>IFERROR(AB188-VLOOKUP(T188,'SFFL Main Page'!$B$4:$L$20,8,FALSE),"")</f>
        <v>-0.77969348659003401</v>
      </c>
      <c r="AD188" s="151">
        <f>IFERROR(AVERAGEIFS(points,managers,'Owner View'!U188,opponent,'Owner View'!T188,outcome,"W"),"")</f>
        <v>110.33333333333333</v>
      </c>
      <c r="AE188" s="152">
        <f>IFERROR(AD188-VLOOKUP(U188,'SFFL Main Page'!$B$4:$L$20,9,FALSE),"")</f>
        <v>14.843971631205676</v>
      </c>
      <c r="AF188" s="153">
        <f>IFERROR(COUNTIFS(managers,'Owner View'!U188,opponent,'Owner View'!T188,outcome,"W"),"")</f>
        <v>3</v>
      </c>
      <c r="AG188" s="151">
        <f>IFERROR(AVERAGEIFS(points,managers,'Owner View'!U188,opponent,'Owner View'!T188,outcome,"L"),"")</f>
        <v>70.5</v>
      </c>
      <c r="AH188" s="152">
        <f>IFERROR(AG188-VLOOKUP(U188,'SFFL Main Page'!$B$4:$L$20,10,FALSE),"")</f>
        <v>0.53508771929824661</v>
      </c>
      <c r="AI188" s="153">
        <f>IFERROR(COUNTIFS(managers,'Owner View'!U188,opponent,'Owner View'!T188,outcome,"L"),"")</f>
        <v>6</v>
      </c>
      <c r="AJ188" s="151">
        <f t="shared" si="29"/>
        <v>83.777777777777771</v>
      </c>
      <c r="AK188" s="169">
        <f>IFERROR(AJ188-VLOOKUP(U188,'SFFL Main Page'!$B$4:$L$20,8,FALSE),"")</f>
        <v>2.2777777777777715</v>
      </c>
      <c r="AL188" s="152">
        <f t="shared" si="30"/>
        <v>-3.0574712643678055</v>
      </c>
    </row>
    <row r="189" spans="19:38" x14ac:dyDescent="0.3">
      <c r="S189" s="159">
        <v>184</v>
      </c>
      <c r="T189" s="118" t="s">
        <v>28</v>
      </c>
      <c r="U189" s="172" t="s">
        <v>227</v>
      </c>
      <c r="V189" s="151">
        <f>IFERROR(AVERAGEIFS(points,managers,'Owner View'!T189,opponent,'Owner View'!U189,outcome,"W"),"")</f>
        <v>116.5</v>
      </c>
      <c r="W189" s="152">
        <f>IFERROR(V189-VLOOKUP(T189,'SFFL Main Page'!$B$4:$L$20,9,FALSE),"")</f>
        <v>10.166666666666671</v>
      </c>
      <c r="X189" s="153">
        <f>IFERROR(COUNTIFS(managers,'Owner View'!T189,opponent,'Owner View'!U189,outcome,"W"),"")</f>
        <v>2</v>
      </c>
      <c r="Y189" s="151">
        <f>IFERROR(AVERAGEIFS(points,managers,'Owner View'!T189,opponent,'Owner View'!U189,outcome,"L"),"")</f>
        <v>82.666666666666671</v>
      </c>
      <c r="Z189" s="152">
        <f>IFERROR(Y189-VLOOKUP(T189,'SFFL Main Page'!$B$4:$L$20,10,FALSE),"")</f>
        <v>1.7520325203252014</v>
      </c>
      <c r="AA189" s="153">
        <f>IFERROR(COUNTIFS(managers,'Owner View'!T189,opponent,'Owner View'!U189,outcome,"L"),"")</f>
        <v>3</v>
      </c>
      <c r="AB189" s="166">
        <f t="shared" si="28"/>
        <v>96.2</v>
      </c>
      <c r="AC189" s="152">
        <f>IFERROR(AB189-VLOOKUP(T189,'SFFL Main Page'!$B$4:$L$20,8,FALSE),"")</f>
        <v>1.975862068965526</v>
      </c>
      <c r="AD189" s="151">
        <f>IFERROR(AVERAGEIFS(points,managers,'Owner View'!U189,opponent,'Owner View'!T189,outcome,"W"),"")</f>
        <v>107</v>
      </c>
      <c r="AE189" s="152">
        <f>IFERROR(AD189-VLOOKUP(U189,'SFFL Main Page'!$B$4:$L$20,9,FALSE),"")</f>
        <v>-1.6896551724137936</v>
      </c>
      <c r="AF189" s="153">
        <f>IFERROR(COUNTIFS(managers,'Owner View'!U189,opponent,'Owner View'!T189,outcome,"W"),"")</f>
        <v>3</v>
      </c>
      <c r="AG189" s="151">
        <f>IFERROR(AVERAGEIFS(points,managers,'Owner View'!U189,opponent,'Owner View'!T189,outcome,"L"),"")</f>
        <v>86.5</v>
      </c>
      <c r="AH189" s="152">
        <f>IFERROR(AG189-VLOOKUP(U189,'SFFL Main Page'!$B$4:$L$20,10,FALSE),"")</f>
        <v>4.91463414634147</v>
      </c>
      <c r="AI189" s="153">
        <f>IFERROR(COUNTIFS(managers,'Owner View'!U189,opponent,'Owner View'!T189,outcome,"L"),"")</f>
        <v>2</v>
      </c>
      <c r="AJ189" s="151">
        <f t="shared" si="29"/>
        <v>98.8</v>
      </c>
      <c r="AK189" s="169">
        <f>IFERROR(AJ189-VLOOKUP(U189,'SFFL Main Page'!$B$4:$L$20,8,FALSE),"")</f>
        <v>5.9857142857142804</v>
      </c>
      <c r="AL189" s="152">
        <f t="shared" si="30"/>
        <v>-4.0098522167487545</v>
      </c>
    </row>
    <row r="190" spans="19:38" x14ac:dyDescent="0.3">
      <c r="S190" s="159">
        <v>185</v>
      </c>
      <c r="T190" s="118" t="s">
        <v>28</v>
      </c>
      <c r="U190" s="172" t="s">
        <v>25</v>
      </c>
      <c r="V190" s="151">
        <f>IFERROR(AVERAGEIFS(points,managers,'Owner View'!T190,opponent,'Owner View'!U190,outcome,"W"),"")</f>
        <v>105.63636363636364</v>
      </c>
      <c r="W190" s="152">
        <f>IFERROR(V190-VLOOKUP(T190,'SFFL Main Page'!$B$4:$L$20,9,FALSE),"")</f>
        <v>-0.69696969696968836</v>
      </c>
      <c r="X190" s="153">
        <f>IFERROR(COUNTIFS(managers,'Owner View'!T190,opponent,'Owner View'!U190,outcome,"W"),"")</f>
        <v>11</v>
      </c>
      <c r="Y190" s="151">
        <f>IFERROR(AVERAGEIFS(points,managers,'Owner View'!T190,opponent,'Owner View'!U190,outcome,"L"),"")</f>
        <v>73.25</v>
      </c>
      <c r="Z190" s="152">
        <f>IFERROR(Y190-VLOOKUP(T190,'SFFL Main Page'!$B$4:$L$20,10,FALSE),"")</f>
        <v>-7.66463414634147</v>
      </c>
      <c r="AA190" s="153">
        <f>IFERROR(COUNTIFS(managers,'Owner View'!T190,opponent,'Owner View'!U190,outcome,"L"),"")</f>
        <v>4</v>
      </c>
      <c r="AB190" s="166">
        <f t="shared" si="28"/>
        <v>97</v>
      </c>
      <c r="AC190" s="152">
        <f>IFERROR(AB190-VLOOKUP(T190,'SFFL Main Page'!$B$4:$L$20,8,FALSE),"")</f>
        <v>2.7758620689655231</v>
      </c>
      <c r="AD190" s="151">
        <f>IFERROR(AVERAGEIFS(points,managers,'Owner View'!U190,opponent,'Owner View'!T190,outcome,"W"),"")</f>
        <v>100.25</v>
      </c>
      <c r="AE190" s="152">
        <f>IFERROR(AD190-VLOOKUP(U190,'SFFL Main Page'!$B$4:$L$20,9,FALSE),"")</f>
        <v>-1.5201149425287355</v>
      </c>
      <c r="AF190" s="153">
        <f>IFERROR(COUNTIFS(managers,'Owner View'!U190,opponent,'Owner View'!T190,outcome,"W"),"")</f>
        <v>4</v>
      </c>
      <c r="AG190" s="151">
        <f>IFERROR(AVERAGEIFS(points,managers,'Owner View'!U190,opponent,'Owner View'!T190,outcome,"L"),"")</f>
        <v>75.454545454545453</v>
      </c>
      <c r="AH190" s="152">
        <f>IFERROR(AG190-VLOOKUP(U190,'SFFL Main Page'!$B$4:$L$20,10,FALSE),"")</f>
        <v>-2.4859307359307365</v>
      </c>
      <c r="AI190" s="153">
        <f>IFERROR(COUNTIFS(managers,'Owner View'!U190,opponent,'Owner View'!T190,outcome,"L"),"")</f>
        <v>11</v>
      </c>
      <c r="AJ190" s="151">
        <f t="shared" si="29"/>
        <v>82.066666666666663</v>
      </c>
      <c r="AK190" s="169">
        <f>IFERROR(AJ190-VLOOKUP(U190,'SFFL Main Page'!$B$4:$L$20,8,FALSE),"")</f>
        <v>-7.921839080459776</v>
      </c>
      <c r="AL190" s="152">
        <f t="shared" si="30"/>
        <v>10.697701149425299</v>
      </c>
    </row>
    <row r="191" spans="19:38" x14ac:dyDescent="0.3">
      <c r="S191" s="159">
        <v>186</v>
      </c>
      <c r="T191" s="118" t="s">
        <v>28</v>
      </c>
      <c r="U191" s="172" t="s">
        <v>47</v>
      </c>
      <c r="V191" s="151">
        <f>IFERROR(AVERAGEIFS(points,managers,'Owner View'!T191,opponent,'Owner View'!U191,outcome,"W"),"")</f>
        <v>108.75</v>
      </c>
      <c r="W191" s="152">
        <f>IFERROR(V191-VLOOKUP(T191,'SFFL Main Page'!$B$4:$L$20,9,FALSE),"")</f>
        <v>2.4166666666666714</v>
      </c>
      <c r="X191" s="153">
        <f>IFERROR(COUNTIFS(managers,'Owner View'!T191,opponent,'Owner View'!U191,outcome,"W"),"")</f>
        <v>4</v>
      </c>
      <c r="Y191" s="151">
        <f>IFERROR(AVERAGEIFS(points,managers,'Owner View'!T191,opponent,'Owner View'!U191,outcome,"L"),"")</f>
        <v>81.666666666666671</v>
      </c>
      <c r="Z191" s="152">
        <f>IFERROR(Y191-VLOOKUP(T191,'SFFL Main Page'!$B$4:$L$20,10,FALSE),"")</f>
        <v>0.7520325203252014</v>
      </c>
      <c r="AA191" s="153">
        <f>IFERROR(COUNTIFS(managers,'Owner View'!T191,opponent,'Owner View'!U191,outcome,"L"),"")</f>
        <v>6</v>
      </c>
      <c r="AB191" s="166">
        <f t="shared" si="28"/>
        <v>92.5</v>
      </c>
      <c r="AC191" s="152">
        <f>IFERROR(AB191-VLOOKUP(T191,'SFFL Main Page'!$B$4:$L$20,8,FALSE),"")</f>
        <v>-1.7241379310344769</v>
      </c>
      <c r="AD191" s="151">
        <f>IFERROR(AVERAGEIFS(points,managers,'Owner View'!U191,opponent,'Owner View'!T191,outcome,"W"),"")</f>
        <v>102.5</v>
      </c>
      <c r="AE191" s="152">
        <f>IFERROR(AD191-VLOOKUP(U191,'SFFL Main Page'!$B$4:$L$20,9,FALSE),"")</f>
        <v>-2.8578947368420984</v>
      </c>
      <c r="AF191" s="153">
        <f>IFERROR(COUNTIFS(managers,'Owner View'!U191,opponent,'Owner View'!T191,outcome,"W"),"")</f>
        <v>6</v>
      </c>
      <c r="AG191" s="151">
        <f>IFERROR(AVERAGEIFS(points,managers,'Owner View'!U191,opponent,'Owner View'!T191,outcome,"L"),"")</f>
        <v>86.75</v>
      </c>
      <c r="AH191" s="152">
        <f>IFERROR(AG191-VLOOKUP(U191,'SFFL Main Page'!$B$4:$L$20,10,FALSE),"")</f>
        <v>3.1730769230769198</v>
      </c>
      <c r="AI191" s="153">
        <f>IFERROR(COUNTIFS(managers,'Owner View'!U191,opponent,'Owner View'!T191,outcome,"L"),"")</f>
        <v>4</v>
      </c>
      <c r="AJ191" s="151">
        <f t="shared" si="29"/>
        <v>96.2</v>
      </c>
      <c r="AK191" s="169">
        <f>IFERROR(AJ191-VLOOKUP(U191,'SFFL Main Page'!$B$4:$L$20,8,FALSE),"")</f>
        <v>-1.3608108108108041</v>
      </c>
      <c r="AL191" s="152">
        <f t="shared" si="30"/>
        <v>-0.36332712022367275</v>
      </c>
    </row>
    <row r="192" spans="19:38" x14ac:dyDescent="0.3">
      <c r="S192" s="159">
        <v>187</v>
      </c>
      <c r="T192" s="118" t="s">
        <v>28</v>
      </c>
      <c r="U192" s="172" t="s">
        <v>26</v>
      </c>
      <c r="V192" s="151">
        <f>IFERROR(AVERAGEIFS(points,managers,'Owner View'!T192,opponent,'Owner View'!U192,outcome,"W"),"")</f>
        <v>109.90909090909091</v>
      </c>
      <c r="W192" s="152">
        <f>IFERROR(V192-VLOOKUP(T192,'SFFL Main Page'!$B$4:$L$20,9,FALSE),"")</f>
        <v>3.5757575757575779</v>
      </c>
      <c r="X192" s="153">
        <f>IFERROR(COUNTIFS(managers,'Owner View'!T192,opponent,'Owner View'!U192,outcome,"W"),"")</f>
        <v>11</v>
      </c>
      <c r="Y192" s="151">
        <f>IFERROR(AVERAGEIFS(points,managers,'Owner View'!T192,opponent,'Owner View'!U192,outcome,"L"),"")</f>
        <v>82.6</v>
      </c>
      <c r="Z192" s="152">
        <f>IFERROR(Y192-VLOOKUP(T192,'SFFL Main Page'!$B$4:$L$20,10,FALSE),"")</f>
        <v>1.6853658536585243</v>
      </c>
      <c r="AA192" s="153">
        <f>IFERROR(COUNTIFS(managers,'Owner View'!T192,opponent,'Owner View'!U192,outcome,"L"),"")</f>
        <v>5</v>
      </c>
      <c r="AB192" s="166">
        <f t="shared" si="28"/>
        <v>101.375</v>
      </c>
      <c r="AC192" s="152">
        <f>IFERROR(AB192-VLOOKUP(T192,'SFFL Main Page'!$B$4:$L$20,8,FALSE),"")</f>
        <v>7.1508620689655231</v>
      </c>
      <c r="AD192" s="151">
        <f>IFERROR(AVERAGEIFS(points,managers,'Owner View'!U192,opponent,'Owner View'!T192,outcome,"W"),"")</f>
        <v>100.6</v>
      </c>
      <c r="AE192" s="152">
        <f>IFERROR(AD192-VLOOKUP(U192,'SFFL Main Page'!$B$4:$L$20,9,FALSE),"")</f>
        <v>-2.9520833333333343</v>
      </c>
      <c r="AF192" s="153">
        <f>IFERROR(COUNTIFS(managers,'Owner View'!U192,opponent,'Owner View'!T192,outcome,"W"),"")</f>
        <v>5</v>
      </c>
      <c r="AG192" s="151">
        <f>IFERROR(AVERAGEIFS(points,managers,'Owner View'!U192,opponent,'Owner View'!T192,outcome,"L"),"")</f>
        <v>73.272727272727266</v>
      </c>
      <c r="AH192" s="152">
        <f>IFERROR(AG192-VLOOKUP(U192,'SFFL Main Page'!$B$4:$L$20,10,FALSE),"")</f>
        <v>-4.2597402597402692</v>
      </c>
      <c r="AI192" s="153">
        <f>IFERROR(COUNTIFS(managers,'Owner View'!U192,opponent,'Owner View'!T192,outcome,"L"),"")</f>
        <v>11</v>
      </c>
      <c r="AJ192" s="151">
        <f t="shared" si="29"/>
        <v>81.8125</v>
      </c>
      <c r="AK192" s="169">
        <f>IFERROR(AJ192-VLOOKUP(U192,'SFFL Main Page'!$B$4:$L$20,8,FALSE),"")</f>
        <v>-10.170258620689651</v>
      </c>
      <c r="AL192" s="152">
        <f t="shared" si="30"/>
        <v>17.321120689655174</v>
      </c>
    </row>
    <row r="193" spans="19:38" x14ac:dyDescent="0.3">
      <c r="S193" s="159">
        <v>188</v>
      </c>
      <c r="T193" s="118" t="s">
        <v>28</v>
      </c>
      <c r="U193" s="172" t="s">
        <v>48</v>
      </c>
      <c r="V193" s="151">
        <f>IFERROR(AVERAGEIFS(points,managers,'Owner View'!T193,opponent,'Owner View'!U193,outcome,"W"),"")</f>
        <v>115.4</v>
      </c>
      <c r="W193" s="152">
        <f>IFERROR(V193-VLOOKUP(T193,'SFFL Main Page'!$B$4:$L$20,9,FALSE),"")</f>
        <v>9.0666666666666771</v>
      </c>
      <c r="X193" s="153">
        <f>IFERROR(COUNTIFS(managers,'Owner View'!T193,opponent,'Owner View'!U193,outcome,"W"),"")</f>
        <v>5</v>
      </c>
      <c r="Y193" s="151">
        <f>IFERROR(AVERAGEIFS(points,managers,'Owner View'!T193,opponent,'Owner View'!U193,outcome,"L"),"")</f>
        <v>85</v>
      </c>
      <c r="Z193" s="152">
        <f>IFERROR(Y193-VLOOKUP(T193,'SFFL Main Page'!$B$4:$L$20,10,FALSE),"")</f>
        <v>4.08536585365853</v>
      </c>
      <c r="AA193" s="153">
        <f>IFERROR(COUNTIFS(managers,'Owner View'!T193,opponent,'Owner View'!U193,outcome,"L"),"")</f>
        <v>10</v>
      </c>
      <c r="AB193" s="166">
        <f t="shared" si="28"/>
        <v>95.13333333333334</v>
      </c>
      <c r="AC193" s="152">
        <f>IFERROR(AB193-VLOOKUP(T193,'SFFL Main Page'!$B$4:$L$20,8,FALSE),"")</f>
        <v>0.90919540229886309</v>
      </c>
      <c r="AD193" s="151">
        <f>IFERROR(AVERAGEIFS(points,managers,'Owner View'!U193,opponent,'Owner View'!T193,outcome,"W"),"")</f>
        <v>105.91</v>
      </c>
      <c r="AE193" s="152">
        <f>IFERROR(AD193-VLOOKUP(U193,'SFFL Main Page'!$B$4:$L$20,9,FALSE),"")</f>
        <v>-2.83512195121952</v>
      </c>
      <c r="AF193" s="153">
        <f>IFERROR(COUNTIFS(managers,'Owner View'!U193,opponent,'Owner View'!T193,outcome,"W"),"")</f>
        <v>10</v>
      </c>
      <c r="AG193" s="151">
        <f>IFERROR(AVERAGEIFS(points,managers,'Owner View'!U193,opponent,'Owner View'!T193,outcome,"L"),"")</f>
        <v>79.8</v>
      </c>
      <c r="AH193" s="152">
        <f>IFERROR(AG193-VLOOKUP(U193,'SFFL Main Page'!$B$4:$L$20,10,FALSE),"")</f>
        <v>-4.9575757575757535</v>
      </c>
      <c r="AI193" s="153">
        <f>IFERROR(COUNTIFS(managers,'Owner View'!U193,opponent,'Owner View'!T193,outcome,"L"),"")</f>
        <v>5</v>
      </c>
      <c r="AJ193" s="151">
        <f t="shared" si="29"/>
        <v>97.206666666666663</v>
      </c>
      <c r="AK193" s="169">
        <f>IFERROR(AJ193-VLOOKUP(U193,'SFFL Main Page'!$B$4:$L$20,8,FALSE),"")</f>
        <v>-0.84130630630630776</v>
      </c>
      <c r="AL193" s="152">
        <f t="shared" si="30"/>
        <v>1.7505017086051708</v>
      </c>
    </row>
    <row r="194" spans="19:38" x14ac:dyDescent="0.3">
      <c r="S194" s="159">
        <v>189</v>
      </c>
      <c r="T194" s="118" t="s">
        <v>28</v>
      </c>
      <c r="U194" s="172" t="s">
        <v>29</v>
      </c>
      <c r="V194" s="151">
        <f>IFERROR(AVERAGEIFS(points,managers,'Owner View'!T194,opponent,'Owner View'!U194,outcome,"W"),"")</f>
        <v>101.25</v>
      </c>
      <c r="W194" s="152">
        <f>IFERROR(V194-VLOOKUP(T194,'SFFL Main Page'!$B$4:$L$20,9,FALSE),"")</f>
        <v>-5.0833333333333286</v>
      </c>
      <c r="X194" s="153">
        <f>IFERROR(COUNTIFS(managers,'Owner View'!T194,opponent,'Owner View'!U194,outcome,"W"),"")</f>
        <v>12</v>
      </c>
      <c r="Y194" s="151">
        <f>IFERROR(AVERAGEIFS(points,managers,'Owner View'!T194,opponent,'Owner View'!U194,outcome,"L"),"")</f>
        <v>79.571428571428569</v>
      </c>
      <c r="Z194" s="152">
        <f>IFERROR(Y194-VLOOKUP(T194,'SFFL Main Page'!$B$4:$L$20,10,FALSE),"")</f>
        <v>-1.3432055749129006</v>
      </c>
      <c r="AA194" s="153">
        <f>IFERROR(COUNTIFS(managers,'Owner View'!T194,opponent,'Owner View'!U194,outcome,"L"),"")</f>
        <v>7</v>
      </c>
      <c r="AB194" s="166">
        <f t="shared" si="28"/>
        <v>93.263157894736835</v>
      </c>
      <c r="AC194" s="152">
        <f>IFERROR(AB194-VLOOKUP(T194,'SFFL Main Page'!$B$4:$L$20,8,FALSE),"")</f>
        <v>-0.9609800362976415</v>
      </c>
      <c r="AD194" s="151">
        <f>IFERROR(AVERAGEIFS(points,managers,'Owner View'!U194,opponent,'Owner View'!T194,outcome,"W"),"")</f>
        <v>83.857142857142861</v>
      </c>
      <c r="AE194" s="152">
        <f>IFERROR(AD194-VLOOKUP(U194,'SFFL Main Page'!$B$4:$L$20,9,FALSE),"")</f>
        <v>-17.213445378151263</v>
      </c>
      <c r="AF194" s="153">
        <f>IFERROR(COUNTIFS(managers,'Owner View'!U194,opponent,'Owner View'!T194,outcome,"W"),"")</f>
        <v>7</v>
      </c>
      <c r="AG194" s="151">
        <f>IFERROR(AVERAGEIFS(points,managers,'Owner View'!U194,opponent,'Owner View'!T194,outcome,"L"),"")</f>
        <v>83.25</v>
      </c>
      <c r="AH194" s="152">
        <f>IFERROR(AG194-VLOOKUP(U194,'SFFL Main Page'!$B$4:$L$20,10,FALSE),"")</f>
        <v>5.125</v>
      </c>
      <c r="AI194" s="153">
        <f>IFERROR(COUNTIFS(managers,'Owner View'!U194,opponent,'Owner View'!T194,outcome,"L"),"")</f>
        <v>12</v>
      </c>
      <c r="AJ194" s="151">
        <f t="shared" si="29"/>
        <v>83.473684210526315</v>
      </c>
      <c r="AK194" s="169">
        <f>IFERROR(AJ194-VLOOKUP(U194,'SFFL Main Page'!$B$4:$L$20,8,FALSE),"")</f>
        <v>-5.9286146400483943</v>
      </c>
      <c r="AL194" s="152">
        <f t="shared" si="30"/>
        <v>4.9676346037507528</v>
      </c>
    </row>
    <row r="195" spans="19:38" x14ac:dyDescent="0.3">
      <c r="S195" s="159">
        <v>190</v>
      </c>
      <c r="T195" s="118" t="s">
        <v>28</v>
      </c>
      <c r="U195" s="172" t="s">
        <v>43</v>
      </c>
      <c r="V195" s="151">
        <f>IFERROR(AVERAGEIFS(points,managers,'Owner View'!T195,opponent,'Owner View'!U195,outcome,"W"),"")</f>
        <v>109.85714285714286</v>
      </c>
      <c r="W195" s="152">
        <f>IFERROR(V195-VLOOKUP(T195,'SFFL Main Page'!$B$4:$L$20,9,FALSE),"")</f>
        <v>3.5238095238095326</v>
      </c>
      <c r="X195" s="153">
        <f>IFERROR(COUNTIFS(managers,'Owner View'!T195,opponent,'Owner View'!U195,outcome,"W"),"")</f>
        <v>7</v>
      </c>
      <c r="Y195" s="151">
        <f>IFERROR(AVERAGEIFS(points,managers,'Owner View'!T195,opponent,'Owner View'!U195,outcome,"L"),"")</f>
        <v>83.714285714285708</v>
      </c>
      <c r="Z195" s="152">
        <f>IFERROR(Y195-VLOOKUP(T195,'SFFL Main Page'!$B$4:$L$20,10,FALSE),"")</f>
        <v>2.7996515679442382</v>
      </c>
      <c r="AA195" s="153">
        <f>IFERROR(COUNTIFS(managers,'Owner View'!T195,opponent,'Owner View'!U195,outcome,"L"),"")</f>
        <v>14</v>
      </c>
      <c r="AB195" s="166">
        <f t="shared" si="28"/>
        <v>92.428571428571431</v>
      </c>
      <c r="AC195" s="152">
        <f>IFERROR(AB195-VLOOKUP(T195,'SFFL Main Page'!$B$4:$L$20,8,FALSE),"")</f>
        <v>-1.7955665024630463</v>
      </c>
      <c r="AD195" s="151">
        <f>IFERROR(AVERAGEIFS(points,managers,'Owner View'!U195,opponent,'Owner View'!T195,outcome,"W"),"")</f>
        <v>108</v>
      </c>
      <c r="AE195" s="152">
        <f>IFERROR(AD195-VLOOKUP(U195,'SFFL Main Page'!$B$4:$L$20,9,FALSE),"")</f>
        <v>7.1728395061728349</v>
      </c>
      <c r="AF195" s="153">
        <f>IFERROR(COUNTIFS(managers,'Owner View'!U195,opponent,'Owner View'!T195,outcome,"W"),"")</f>
        <v>14</v>
      </c>
      <c r="AG195" s="151">
        <f>IFERROR(AVERAGEIFS(points,managers,'Owner View'!U195,opponent,'Owner View'!T195,outcome,"L"),"")</f>
        <v>75.285714285714292</v>
      </c>
      <c r="AH195" s="152">
        <f>IFERROR(AG195-VLOOKUP(U195,'SFFL Main Page'!$B$4:$L$20,10,FALSE),"")</f>
        <v>-8.3850931677005747E-2</v>
      </c>
      <c r="AI195" s="153">
        <f>IFERROR(COUNTIFS(managers,'Owner View'!U195,opponent,'Owner View'!T195,outcome,"L"),"")</f>
        <v>7</v>
      </c>
      <c r="AJ195" s="151">
        <f t="shared" si="29"/>
        <v>97.095238095238102</v>
      </c>
      <c r="AK195" s="169">
        <f>IFERROR(AJ195-VLOOKUP(U195,'SFFL Main Page'!$B$4:$L$20,8,FALSE),"")</f>
        <v>9.8538587848932764</v>
      </c>
      <c r="AL195" s="152">
        <f t="shared" si="30"/>
        <v>-11.649425287356323</v>
      </c>
    </row>
    <row r="196" spans="19:38" x14ac:dyDescent="0.3">
      <c r="S196" s="159">
        <v>191</v>
      </c>
      <c r="T196" s="118" t="s">
        <v>28</v>
      </c>
      <c r="U196" s="172" t="s">
        <v>473</v>
      </c>
      <c r="V196" s="151">
        <f>IFERROR(AVERAGEIFS(points,managers,'Owner View'!T196,opponent,'Owner View'!U196,outcome,"W"),"")</f>
        <v>128</v>
      </c>
      <c r="W196" s="152">
        <f>IFERROR(V196-VLOOKUP(T196,'SFFL Main Page'!$B$4:$L$20,9,FALSE),"")</f>
        <v>21.666666666666671</v>
      </c>
      <c r="X196" s="153">
        <f>IFERROR(COUNTIFS(managers,'Owner View'!T196,opponent,'Owner View'!U196,outcome,"W"),"")</f>
        <v>1</v>
      </c>
      <c r="Y196" s="151">
        <f>IFERROR(AVERAGEIFS(points,managers,'Owner View'!T196,opponent,'Owner View'!U196,outcome,"L"),"")</f>
        <v>102</v>
      </c>
      <c r="Z196" s="152">
        <f>IFERROR(Y196-VLOOKUP(T196,'SFFL Main Page'!$B$4:$L$20,10,FALSE),"")</f>
        <v>21.08536585365853</v>
      </c>
      <c r="AA196" s="153">
        <f>IFERROR(COUNTIFS(managers,'Owner View'!T196,opponent,'Owner View'!U196,outcome,"L"),"")</f>
        <v>1</v>
      </c>
      <c r="AB196" s="166">
        <f t="shared" si="28"/>
        <v>115</v>
      </c>
      <c r="AC196" s="152">
        <f>IFERROR(AB196-VLOOKUP(T196,'SFFL Main Page'!$B$4:$L$20,8,FALSE),"")</f>
        <v>20.775862068965523</v>
      </c>
      <c r="AD196" s="151">
        <f>IFERROR(AVERAGEIFS(points,managers,'Owner View'!U196,opponent,'Owner View'!T196,outcome,"W"),"")</f>
        <v>118</v>
      </c>
      <c r="AE196" s="152">
        <f>IFERROR(AD196-VLOOKUP(U196,'SFFL Main Page'!$B$4:$L$20,9,FALSE),"")</f>
        <v>-4.5555555555555571</v>
      </c>
      <c r="AF196" s="153">
        <f>IFERROR(COUNTIFS(managers,'Owner View'!U196,opponent,'Owner View'!T196,outcome,"W"),"")</f>
        <v>1</v>
      </c>
      <c r="AG196" s="151">
        <f>IFERROR(AVERAGEIFS(points,managers,'Owner View'!U196,opponent,'Owner View'!T196,outcome,"L"),"")</f>
        <v>82</v>
      </c>
      <c r="AH196" s="152">
        <f>IFERROR(AG196-VLOOKUP(U196,'SFFL Main Page'!$B$4:$L$20,10,FALSE),"")</f>
        <v>-11.15789473684211</v>
      </c>
      <c r="AI196" s="153">
        <f>IFERROR(COUNTIFS(managers,'Owner View'!U196,opponent,'Owner View'!T196,outcome,"L"),"")</f>
        <v>1</v>
      </c>
      <c r="AJ196" s="151">
        <f t="shared" si="29"/>
        <v>100</v>
      </c>
      <c r="AK196" s="169">
        <f>IFERROR(AJ196-VLOOKUP(U196,'SFFL Main Page'!$B$4:$L$20,8,FALSE),"")</f>
        <v>-2.6071428571428612</v>
      </c>
      <c r="AL196" s="152">
        <f t="shared" si="30"/>
        <v>23.383004926108384</v>
      </c>
    </row>
    <row r="197" spans="19:38" x14ac:dyDescent="0.3">
      <c r="S197" s="159">
        <v>192</v>
      </c>
      <c r="T197" s="118" t="s">
        <v>28</v>
      </c>
      <c r="U197" s="172" t="s">
        <v>472</v>
      </c>
      <c r="V197" s="151">
        <f>IFERROR(AVERAGEIFS(points,managers,'Owner View'!T197,opponent,'Owner View'!U197,outcome,"W"),"")</f>
        <v>117.5</v>
      </c>
      <c r="W197" s="152">
        <f>IFERROR(V197-VLOOKUP(T197,'SFFL Main Page'!$B$4:$L$20,9,FALSE),"")</f>
        <v>11.166666666666671</v>
      </c>
      <c r="X197" s="153">
        <f>IFERROR(COUNTIFS(managers,'Owner View'!T197,opponent,'Owner View'!U197,outcome,"W"),"")</f>
        <v>2</v>
      </c>
      <c r="Y197" s="151" t="str">
        <f>IFERROR(AVERAGEIFS(points,managers,'Owner View'!T197,opponent,'Owner View'!U197,outcome,"L"),"")</f>
        <v/>
      </c>
      <c r="Z197" s="152" t="str">
        <f>IFERROR(Y197-VLOOKUP(T197,'SFFL Main Page'!$B$4:$L$20,10,FALSE),"")</f>
        <v/>
      </c>
      <c r="AA197" s="153">
        <f>IFERROR(COUNTIFS(managers,'Owner View'!T197,opponent,'Owner View'!U197,outcome,"L"),"")</f>
        <v>0</v>
      </c>
      <c r="AB197" s="166" t="str">
        <f t="shared" si="28"/>
        <v/>
      </c>
      <c r="AC197" s="152" t="str">
        <f>IFERROR(AB197-VLOOKUP(T197,'SFFL Main Page'!$B$4:$L$20,8,FALSE),"")</f>
        <v/>
      </c>
      <c r="AD197" s="151" t="str">
        <f>IFERROR(AVERAGEIFS(points,managers,'Owner View'!U197,opponent,'Owner View'!T197,outcome,"W"),"")</f>
        <v/>
      </c>
      <c r="AE197" s="152" t="str">
        <f>IFERROR(AD197-VLOOKUP(U197,'SFFL Main Page'!$B$4:$L$20,9,FALSE),"")</f>
        <v/>
      </c>
      <c r="AF197" s="153">
        <f>IFERROR(COUNTIFS(managers,'Owner View'!U197,opponent,'Owner View'!T197,outcome,"W"),"")</f>
        <v>0</v>
      </c>
      <c r="AG197" s="151">
        <f>IFERROR(AVERAGEIFS(points,managers,'Owner View'!U197,opponent,'Owner View'!T197,outcome,"L"),"")</f>
        <v>95</v>
      </c>
      <c r="AH197" s="152">
        <f>IFERROR(AG197-VLOOKUP(U197,'SFFL Main Page'!$B$4:$L$20,10,FALSE),"")</f>
        <v>-2.529411764705884</v>
      </c>
      <c r="AI197" s="153">
        <f>IFERROR(COUNTIFS(managers,'Owner View'!U197,opponent,'Owner View'!T197,outcome,"L"),"")</f>
        <v>2</v>
      </c>
      <c r="AJ197" s="151" t="str">
        <f t="shared" si="29"/>
        <v/>
      </c>
      <c r="AK197" s="169" t="str">
        <f>IFERROR(AJ197-VLOOKUP(U197,'SFFL Main Page'!$B$4:$L$20,8,FALSE),"")</f>
        <v/>
      </c>
      <c r="AL197" s="152" t="str">
        <f t="shared" si="30"/>
        <v/>
      </c>
    </row>
    <row r="198" spans="19:38" x14ac:dyDescent="0.3">
      <c r="S198" s="159">
        <v>193</v>
      </c>
      <c r="T198" s="118" t="s">
        <v>28</v>
      </c>
      <c r="U198" s="172" t="s">
        <v>22</v>
      </c>
      <c r="V198" s="151">
        <f>IFERROR(AVERAGEIFS(points,managers,'Owner View'!T198,opponent,'Owner View'!U198,outcome,"W"),"")</f>
        <v>104</v>
      </c>
      <c r="W198" s="152">
        <f>IFERROR(V198-VLOOKUP(T198,'SFFL Main Page'!$B$4:$L$20,9,FALSE),"")</f>
        <v>-2.3333333333333286</v>
      </c>
      <c r="X198" s="153">
        <f>IFERROR(COUNTIFS(managers,'Owner View'!T198,opponent,'Owner View'!U198,outcome,"W"),"")</f>
        <v>9</v>
      </c>
      <c r="Y198" s="151">
        <f>IFERROR(AVERAGEIFS(points,managers,'Owner View'!T198,opponent,'Owner View'!U198,outcome,"L"),"")</f>
        <v>77.599999999999994</v>
      </c>
      <c r="Z198" s="152">
        <f>IFERROR(Y198-VLOOKUP(T198,'SFFL Main Page'!$B$4:$L$20,10,FALSE),"")</f>
        <v>-3.3146341463414757</v>
      </c>
      <c r="AA198" s="153">
        <f>IFERROR(COUNTIFS(managers,'Owner View'!T198,opponent,'Owner View'!U198,outcome,"L"),"")</f>
        <v>5</v>
      </c>
      <c r="AB198" s="166">
        <f t="shared" si="28"/>
        <v>94.571428571428569</v>
      </c>
      <c r="AC198" s="152">
        <f>IFERROR(AB198-VLOOKUP(T198,'SFFL Main Page'!$B$4:$L$20,8,FALSE),"")</f>
        <v>0.34729064039409252</v>
      </c>
      <c r="AD198" s="151">
        <f>IFERROR(AVERAGEIFS(points,managers,'Owner View'!U198,opponent,'Owner View'!T198,outcome,"W"),"")</f>
        <v>95.8</v>
      </c>
      <c r="AE198" s="152">
        <f>IFERROR(AD198-VLOOKUP(U198,'SFFL Main Page'!$B$4:$L$20,9,FALSE),"")</f>
        <v>-6.5802816901408505</v>
      </c>
      <c r="AF198" s="153">
        <f>IFERROR(COUNTIFS(managers,'Owner View'!U198,opponent,'Owner View'!T198,outcome,"W"),"")</f>
        <v>5</v>
      </c>
      <c r="AG198" s="151">
        <f>IFERROR(AVERAGEIFS(points,managers,'Owner View'!U198,opponent,'Owner View'!T198,outcome,"L"),"")</f>
        <v>81.666666666666671</v>
      </c>
      <c r="AH198" s="152">
        <f>IFERROR(AG198-VLOOKUP(U198,'SFFL Main Page'!$B$4:$L$20,10,FALSE),"")</f>
        <v>1.7156862745098067</v>
      </c>
      <c r="AI198" s="153">
        <f>IFERROR(COUNTIFS(managers,'Owner View'!U198,opponent,'Owner View'!T198,outcome,"L"),"")</f>
        <v>9</v>
      </c>
      <c r="AJ198" s="151">
        <f t="shared" si="29"/>
        <v>86.714285714285708</v>
      </c>
      <c r="AK198" s="169">
        <f>IFERROR(AJ198-VLOOKUP(U198,'SFFL Main Page'!$B$4:$L$20,8,FALSE),"")</f>
        <v>-2.4466338259441756</v>
      </c>
      <c r="AL198" s="152">
        <f t="shared" si="30"/>
        <v>2.7939244663382681</v>
      </c>
    </row>
    <row r="199" spans="19:38" x14ac:dyDescent="0.3">
      <c r="S199" s="159">
        <v>194</v>
      </c>
      <c r="T199" s="118" t="s">
        <v>28</v>
      </c>
      <c r="U199" s="172" t="s">
        <v>30</v>
      </c>
      <c r="V199" s="151">
        <f>IFERROR(AVERAGEIFS(points,managers,'Owner View'!T199,opponent,'Owner View'!U199,outcome,"W"),"")</f>
        <v>98.333333333333329</v>
      </c>
      <c r="W199" s="152">
        <f>IFERROR(V199-VLOOKUP(T199,'SFFL Main Page'!$B$4:$L$20,9,FALSE),"")</f>
        <v>-8</v>
      </c>
      <c r="X199" s="153">
        <f>IFERROR(COUNTIFS(managers,'Owner View'!T199,opponent,'Owner View'!U199,outcome,"W"),"")</f>
        <v>3</v>
      </c>
      <c r="Y199" s="151">
        <f>IFERROR(AVERAGEIFS(points,managers,'Owner View'!T199,opponent,'Owner View'!U199,outcome,"L"),"")</f>
        <v>82.7</v>
      </c>
      <c r="Z199" s="152">
        <f>IFERROR(Y199-VLOOKUP(T199,'SFFL Main Page'!$B$4:$L$20,10,FALSE),"")</f>
        <v>1.7853658536585328</v>
      </c>
      <c r="AA199" s="153">
        <f>IFERROR(COUNTIFS(managers,'Owner View'!T199,opponent,'Owner View'!U199,outcome,"L"),"")</f>
        <v>10</v>
      </c>
      <c r="AB199" s="166">
        <f t="shared" si="28"/>
        <v>86.307692307692307</v>
      </c>
      <c r="AC199" s="152">
        <f>IFERROR(AB199-VLOOKUP(T199,'SFFL Main Page'!$B$4:$L$20,8,FALSE),"")</f>
        <v>-7.9164456233421703</v>
      </c>
      <c r="AD199" s="151">
        <f>IFERROR(AVERAGEIFS(points,managers,'Owner View'!U199,opponent,'Owner View'!T199,outcome,"W"),"")</f>
        <v>108.2</v>
      </c>
      <c r="AE199" s="152">
        <f>IFERROR(AD199-VLOOKUP(U199,'SFFL Main Page'!$B$4:$L$20,9,FALSE),"")</f>
        <v>5.2999999999999972</v>
      </c>
      <c r="AF199" s="153">
        <f>IFERROR(COUNTIFS(managers,'Owner View'!U199,opponent,'Owner View'!T199,outcome,"W"),"")</f>
        <v>10</v>
      </c>
      <c r="AG199" s="151">
        <f>IFERROR(AVERAGEIFS(points,managers,'Owner View'!U199,opponent,'Owner View'!T199,outcome,"L"),"")</f>
        <v>55.333333333333336</v>
      </c>
      <c r="AH199" s="152">
        <f>IFERROR(AG199-VLOOKUP(U199,'SFFL Main Page'!$B$4:$L$20,10,FALSE),"")</f>
        <v>-26.602150537634408</v>
      </c>
      <c r="AI199" s="153">
        <f>IFERROR(COUNTIFS(managers,'Owner View'!U199,opponent,'Owner View'!T199,outcome,"L"),"")</f>
        <v>3</v>
      </c>
      <c r="AJ199" s="151">
        <f t="shared" si="29"/>
        <v>96</v>
      </c>
      <c r="AK199" s="169">
        <f>IFERROR(AJ199-VLOOKUP(U199,'SFFL Main Page'!$B$4:$L$20,8,FALSE),"")</f>
        <v>4.4310344827586192</v>
      </c>
      <c r="AL199" s="152">
        <f t="shared" si="30"/>
        <v>-12.347480106100789</v>
      </c>
    </row>
    <row r="200" spans="19:38" x14ac:dyDescent="0.3">
      <c r="S200" s="159">
        <v>195</v>
      </c>
      <c r="T200" s="118" t="s">
        <v>28</v>
      </c>
      <c r="U200" s="172" t="s">
        <v>23</v>
      </c>
      <c r="V200" s="151">
        <f>IFERROR(AVERAGEIFS(points,managers,'Owner View'!T200,opponent,'Owner View'!U200,outcome,"W"),"")</f>
        <v>108.16666666666667</v>
      </c>
      <c r="W200" s="152">
        <f>IFERROR(V200-VLOOKUP(T200,'SFFL Main Page'!$B$4:$L$20,9,FALSE),"")</f>
        <v>1.8333333333333428</v>
      </c>
      <c r="X200" s="153">
        <f>IFERROR(COUNTIFS(managers,'Owner View'!T200,opponent,'Owner View'!U200,outcome,"W"),"")</f>
        <v>6</v>
      </c>
      <c r="Y200" s="151">
        <f>IFERROR(AVERAGEIFS(points,managers,'Owner View'!T200,opponent,'Owner View'!U200,outcome,"L"),"")</f>
        <v>80.25</v>
      </c>
      <c r="Z200" s="152">
        <f>IFERROR(Y200-VLOOKUP(T200,'SFFL Main Page'!$B$4:$L$20,10,FALSE),"")</f>
        <v>-0.66463414634147</v>
      </c>
      <c r="AA200" s="153">
        <f>IFERROR(COUNTIFS(managers,'Owner View'!T200,opponent,'Owner View'!U200,outcome,"L"),"")</f>
        <v>8</v>
      </c>
      <c r="AB200" s="166">
        <f t="shared" ref="AB200:AB215" si="31">IFERROR(((V200*X200)+(Y200*AA200))/SUM(X200,AA200),"")</f>
        <v>92.214285714285708</v>
      </c>
      <c r="AC200" s="152">
        <f>IFERROR(AB200-VLOOKUP(T200,'SFFL Main Page'!$B$4:$L$20,8,FALSE),"")</f>
        <v>-2.0098522167487687</v>
      </c>
      <c r="AD200" s="151">
        <f>IFERROR(AVERAGEIFS(points,managers,'Owner View'!U200,opponent,'Owner View'!T200,outcome,"W"),"")</f>
        <v>100.25</v>
      </c>
      <c r="AE200" s="152">
        <f>IFERROR(AD200-VLOOKUP(U200,'SFFL Main Page'!$B$4:$L$20,9,FALSE),"")</f>
        <v>-2.675531914893611</v>
      </c>
      <c r="AF200" s="153">
        <f>IFERROR(COUNTIFS(managers,'Owner View'!U200,opponent,'Owner View'!T200,outcome,"W"),"")</f>
        <v>8</v>
      </c>
      <c r="AG200" s="151">
        <f>IFERROR(AVERAGEIFS(points,managers,'Owner View'!U200,opponent,'Owner View'!T200,outcome,"L"),"")</f>
        <v>84.666666666666671</v>
      </c>
      <c r="AH200" s="152">
        <f>IFERROR(AG200-VLOOKUP(U200,'SFFL Main Page'!$B$4:$L$20,10,FALSE),"")</f>
        <v>4.0337552742616083</v>
      </c>
      <c r="AI200" s="153">
        <f>IFERROR(COUNTIFS(managers,'Owner View'!U200,opponent,'Owner View'!T200,outcome,"L"),"")</f>
        <v>6</v>
      </c>
      <c r="AJ200" s="151">
        <f t="shared" si="29"/>
        <v>93.571428571428569</v>
      </c>
      <c r="AK200" s="169">
        <f>IFERROR(AJ200-VLOOKUP(U200,'SFFL Main Page'!$B$4:$L$20,8,FALSE),"")</f>
        <v>0.73234811165845315</v>
      </c>
      <c r="AL200" s="152">
        <f t="shared" si="30"/>
        <v>-2.7422003284072218</v>
      </c>
    </row>
    <row r="201" spans="19:38" x14ac:dyDescent="0.3">
      <c r="S201" s="159">
        <v>196</v>
      </c>
      <c r="T201" s="118" t="s">
        <v>28</v>
      </c>
      <c r="U201" s="172" t="s">
        <v>24</v>
      </c>
      <c r="V201" s="151">
        <f>IFERROR(AVERAGEIFS(points,managers,'Owner View'!T201,opponent,'Owner View'!U201,outcome,"W"),"")</f>
        <v>100.45454545454545</v>
      </c>
      <c r="W201" s="152">
        <f>IFERROR(V201-VLOOKUP(T201,'SFFL Main Page'!$B$4:$L$20,9,FALSE),"")</f>
        <v>-5.8787878787878753</v>
      </c>
      <c r="X201" s="153">
        <f>IFERROR(COUNTIFS(managers,'Owner View'!T201,opponent,'Owner View'!U201,outcome,"W"),"")</f>
        <v>11</v>
      </c>
      <c r="Y201" s="151">
        <f>IFERROR(AVERAGEIFS(points,managers,'Owner View'!T201,opponent,'Owner View'!U201,outcome,"L"),"")</f>
        <v>72.333333333333329</v>
      </c>
      <c r="Z201" s="152">
        <f>IFERROR(Y201-VLOOKUP(T201,'SFFL Main Page'!$B$4:$L$20,10,FALSE),"")</f>
        <v>-8.5813008130081414</v>
      </c>
      <c r="AA201" s="153">
        <f>IFERROR(COUNTIFS(managers,'Owner View'!T201,opponent,'Owner View'!U201,outcome,"L"),"")</f>
        <v>6</v>
      </c>
      <c r="AB201" s="166">
        <f t="shared" si="31"/>
        <v>90.529411764705884</v>
      </c>
      <c r="AC201" s="152">
        <f>IFERROR(AB201-VLOOKUP(T201,'SFFL Main Page'!$B$4:$L$20,8,FALSE),"")</f>
        <v>-3.6947261663285929</v>
      </c>
      <c r="AD201" s="151">
        <f>IFERROR(AVERAGEIFS(points,managers,'Owner View'!U201,opponent,'Owner View'!T201,outcome,"W"),"")</f>
        <v>91.166666666666671</v>
      </c>
      <c r="AE201" s="152">
        <f>IFERROR(AD201-VLOOKUP(U201,'SFFL Main Page'!$B$4:$L$20,9,FALSE),"")</f>
        <v>-13.592369477911646</v>
      </c>
      <c r="AF201" s="153">
        <f>IFERROR(COUNTIFS(managers,'Owner View'!U201,opponent,'Owner View'!T201,outcome,"W"),"")</f>
        <v>6</v>
      </c>
      <c r="AG201" s="151">
        <f>IFERROR(AVERAGEIFS(points,managers,'Owner View'!U201,opponent,'Owner View'!T201,outcome,"L"),"")</f>
        <v>80.272727272727266</v>
      </c>
      <c r="AH201" s="152">
        <f>IFERROR(AG201-VLOOKUP(U201,'SFFL Main Page'!$B$4:$L$20,10,FALSE),"")</f>
        <v>3.7122877122877043</v>
      </c>
      <c r="AI201" s="153">
        <f>IFERROR(COUNTIFS(managers,'Owner View'!U201,opponent,'Owner View'!T201,outcome,"L"),"")</f>
        <v>11</v>
      </c>
      <c r="AJ201" s="151">
        <f t="shared" si="29"/>
        <v>84.117647058823536</v>
      </c>
      <c r="AK201" s="169">
        <f>IFERROR(AJ201-VLOOKUP(U201,'SFFL Main Page'!$B$4:$L$20,8,FALSE),"")</f>
        <v>-5.893847194050025</v>
      </c>
      <c r="AL201" s="152">
        <f t="shared" si="30"/>
        <v>2.1991210277214321</v>
      </c>
    </row>
    <row r="202" spans="19:38" x14ac:dyDescent="0.3">
      <c r="S202" s="159">
        <v>197</v>
      </c>
      <c r="T202" s="118" t="s">
        <v>24</v>
      </c>
      <c r="U202" s="172" t="s">
        <v>27</v>
      </c>
      <c r="V202" s="151">
        <f>IFERROR(AVERAGEIFS(points,managers,'Owner View'!T202,opponent,'Owner View'!U202,outcome,"W"),"")</f>
        <v>101.71428571428571</v>
      </c>
      <c r="W202" s="152">
        <f>IFERROR(V202-VLOOKUP(T202,'SFFL Main Page'!$B$4:$L$20,9,FALSE),"")</f>
        <v>-3.0447504302926092</v>
      </c>
      <c r="X202" s="153">
        <f>IFERROR(COUNTIFS(managers,'Owner View'!T202,opponent,'Owner View'!U202,outcome,"W"),"")</f>
        <v>7</v>
      </c>
      <c r="Y202" s="151">
        <f>IFERROR(AVERAGEIFS(points,managers,'Owner View'!T202,opponent,'Owner View'!U202,outcome,"L"),"")</f>
        <v>77.25</v>
      </c>
      <c r="Z202" s="152">
        <f>IFERROR(Y202-VLOOKUP(T202,'SFFL Main Page'!$B$4:$L$20,10,FALSE),"")</f>
        <v>0.689560439560438</v>
      </c>
      <c r="AA202" s="153">
        <f>IFERROR(COUNTIFS(managers,'Owner View'!T202,opponent,'Owner View'!U202,outcome,"L"),"")</f>
        <v>4</v>
      </c>
      <c r="AB202" s="166">
        <f t="shared" si="31"/>
        <v>92.818181818181813</v>
      </c>
      <c r="AC202" s="152">
        <f>IFERROR(AB202-VLOOKUP(T202,'SFFL Main Page'!$B$4:$L$20,8,FALSE),"")</f>
        <v>2.8066875653082519</v>
      </c>
      <c r="AD202" s="151">
        <f>IFERROR(AVERAGEIFS(points,managers,'Owner View'!U202,opponent,'Owner View'!T202,outcome,"W"),"")</f>
        <v>95</v>
      </c>
      <c r="AE202" s="152">
        <f>IFERROR(AD202-VLOOKUP(U202,'SFFL Main Page'!$B$4:$L$20,9,FALSE),"")</f>
        <v>-0.48936170212765262</v>
      </c>
      <c r="AF202" s="153">
        <f>IFERROR(COUNTIFS(managers,'Owner View'!U202,opponent,'Owner View'!T202,outcome,"W"),"")</f>
        <v>4</v>
      </c>
      <c r="AG202" s="151">
        <f>IFERROR(AVERAGEIFS(points,managers,'Owner View'!U202,opponent,'Owner View'!T202,outcome,"L"),"")</f>
        <v>66.285714285714292</v>
      </c>
      <c r="AH202" s="152">
        <f>IFERROR(AG202-VLOOKUP(U202,'SFFL Main Page'!$B$4:$L$20,10,FALSE),"")</f>
        <v>-3.6791979949874616</v>
      </c>
      <c r="AI202" s="153">
        <f>IFERROR(COUNTIFS(managers,'Owner View'!U202,opponent,'Owner View'!T202,outcome,"L"),"")</f>
        <v>7</v>
      </c>
      <c r="AJ202" s="151">
        <f t="shared" si="29"/>
        <v>76.727272727272734</v>
      </c>
      <c r="AK202" s="169">
        <f>IFERROR(AJ202-VLOOKUP(U202,'SFFL Main Page'!$B$4:$L$20,8,FALSE),"")</f>
        <v>-4.7727272727272663</v>
      </c>
      <c r="AL202" s="152">
        <f t="shared" si="30"/>
        <v>7.5794148380355182</v>
      </c>
    </row>
    <row r="203" spans="19:38" x14ac:dyDescent="0.3">
      <c r="S203" s="159">
        <v>198</v>
      </c>
      <c r="T203" s="118" t="s">
        <v>24</v>
      </c>
      <c r="U203" s="172" t="s">
        <v>227</v>
      </c>
      <c r="V203" s="151">
        <f>IFERROR(AVERAGEIFS(points,managers,'Owner View'!T203,opponent,'Owner View'!U203,outcome,"W"),"")</f>
        <v>101.33333333333333</v>
      </c>
      <c r="W203" s="152">
        <f>IFERROR(V203-VLOOKUP(T203,'SFFL Main Page'!$B$4:$L$20,9,FALSE),"")</f>
        <v>-3.4257028112449888</v>
      </c>
      <c r="X203" s="153">
        <f>IFERROR(COUNTIFS(managers,'Owner View'!T203,opponent,'Owner View'!U203,outcome,"W"),"")</f>
        <v>3</v>
      </c>
      <c r="Y203" s="151">
        <f>IFERROR(AVERAGEIFS(points,managers,'Owner View'!T203,opponent,'Owner View'!U203,outcome,"L"),"")</f>
        <v>92.666666666666671</v>
      </c>
      <c r="Z203" s="152">
        <f>IFERROR(Y203-VLOOKUP(T203,'SFFL Main Page'!$B$4:$L$20,10,FALSE),"")</f>
        <v>16.106227106227109</v>
      </c>
      <c r="AA203" s="153">
        <f>IFERROR(COUNTIFS(managers,'Owner View'!T203,opponent,'Owner View'!U203,outcome,"L"),"")</f>
        <v>3</v>
      </c>
      <c r="AB203" s="166">
        <f t="shared" si="31"/>
        <v>97</v>
      </c>
      <c r="AC203" s="152">
        <f>IFERROR(AB203-VLOOKUP(T203,'SFFL Main Page'!$B$4:$L$20,8,FALSE),"")</f>
        <v>6.9885057471264389</v>
      </c>
      <c r="AD203" s="151">
        <f>IFERROR(AVERAGEIFS(points,managers,'Owner View'!U203,opponent,'Owner View'!T203,outcome,"W"),"")</f>
        <v>101</v>
      </c>
      <c r="AE203" s="152">
        <f>IFERROR(AD203-VLOOKUP(U203,'SFFL Main Page'!$B$4:$L$20,9,FALSE),"")</f>
        <v>-7.6896551724137936</v>
      </c>
      <c r="AF203" s="153">
        <f>IFERROR(COUNTIFS(managers,'Owner View'!U203,opponent,'Owner View'!T203,outcome,"W"),"")</f>
        <v>3</v>
      </c>
      <c r="AG203" s="151">
        <f>IFERROR(AVERAGEIFS(points,managers,'Owner View'!U203,opponent,'Owner View'!T203,outcome,"L"),"")</f>
        <v>64.666666666666671</v>
      </c>
      <c r="AH203" s="152">
        <f>IFERROR(AG203-VLOOKUP(U203,'SFFL Main Page'!$B$4:$L$20,10,FALSE),"")</f>
        <v>-16.918699186991859</v>
      </c>
      <c r="AI203" s="153">
        <f>IFERROR(COUNTIFS(managers,'Owner View'!U203,opponent,'Owner View'!T203,outcome,"L"),"")</f>
        <v>3</v>
      </c>
      <c r="AJ203" s="151">
        <f t="shared" si="29"/>
        <v>82.833333333333329</v>
      </c>
      <c r="AK203" s="169">
        <f>IFERROR(AJ203-VLOOKUP(U203,'SFFL Main Page'!$B$4:$L$20,8,FALSE),"")</f>
        <v>-9.9809523809523881</v>
      </c>
      <c r="AL203" s="152">
        <f t="shared" si="30"/>
        <v>16.969458128078827</v>
      </c>
    </row>
    <row r="204" spans="19:38" x14ac:dyDescent="0.3">
      <c r="S204" s="159">
        <v>199</v>
      </c>
      <c r="T204" s="118" t="s">
        <v>24</v>
      </c>
      <c r="U204" s="172" t="s">
        <v>25</v>
      </c>
      <c r="V204" s="151">
        <f>IFERROR(AVERAGEIFS(points,managers,'Owner View'!T204,opponent,'Owner View'!U204,outcome,"W"),"")</f>
        <v>109</v>
      </c>
      <c r="W204" s="152">
        <f>IFERROR(V204-VLOOKUP(T204,'SFFL Main Page'!$B$4:$L$20,9,FALSE),"")</f>
        <v>4.2409638554216826</v>
      </c>
      <c r="X204" s="153">
        <f>IFERROR(COUNTIFS(managers,'Owner View'!T204,opponent,'Owner View'!U204,outcome,"W"),"")</f>
        <v>9</v>
      </c>
      <c r="Y204" s="151">
        <f>IFERROR(AVERAGEIFS(points,managers,'Owner View'!T204,opponent,'Owner View'!U204,outcome,"L"),"")</f>
        <v>76.444444444444443</v>
      </c>
      <c r="Z204" s="152">
        <f>IFERROR(Y204-VLOOKUP(T204,'SFFL Main Page'!$B$4:$L$20,10,FALSE),"")</f>
        <v>-0.11599511599511914</v>
      </c>
      <c r="AA204" s="153">
        <f>IFERROR(COUNTIFS(managers,'Owner View'!T204,opponent,'Owner View'!U204,outcome,"L"),"")</f>
        <v>9</v>
      </c>
      <c r="AB204" s="166">
        <f t="shared" si="31"/>
        <v>92.722222222222229</v>
      </c>
      <c r="AC204" s="152">
        <f>IFERROR(AB204-VLOOKUP(T204,'SFFL Main Page'!$B$4:$L$20,8,FALSE),"")</f>
        <v>2.7107279693486674</v>
      </c>
      <c r="AD204" s="151">
        <f>IFERROR(AVERAGEIFS(points,managers,'Owner View'!U204,opponent,'Owner View'!T204,outcome,"W"),"")</f>
        <v>97.888888888888886</v>
      </c>
      <c r="AE204" s="152">
        <f>IFERROR(AD204-VLOOKUP(U204,'SFFL Main Page'!$B$4:$L$20,9,FALSE),"")</f>
        <v>-3.8812260536398497</v>
      </c>
      <c r="AF204" s="153">
        <f>IFERROR(COUNTIFS(managers,'Owner View'!U204,opponent,'Owner View'!T204,outcome,"W"),"")</f>
        <v>9</v>
      </c>
      <c r="AG204" s="151">
        <f>IFERROR(AVERAGEIFS(points,managers,'Owner View'!U204,opponent,'Owner View'!T204,outcome,"L"),"")</f>
        <v>79.111111111111114</v>
      </c>
      <c r="AH204" s="152">
        <f>IFERROR(AG204-VLOOKUP(U204,'SFFL Main Page'!$B$4:$L$20,10,FALSE),"")</f>
        <v>1.1706349206349245</v>
      </c>
      <c r="AI204" s="153">
        <f>IFERROR(COUNTIFS(managers,'Owner View'!U204,opponent,'Owner View'!T204,outcome,"L"),"")</f>
        <v>9</v>
      </c>
      <c r="AJ204" s="151">
        <f t="shared" si="29"/>
        <v>88.5</v>
      </c>
      <c r="AK204" s="169">
        <f>IFERROR(AJ204-VLOOKUP(U204,'SFFL Main Page'!$B$4:$L$20,8,FALSE),"")</f>
        <v>-1.4885057471264389</v>
      </c>
      <c r="AL204" s="152">
        <f t="shared" si="30"/>
        <v>4.1992337164751063</v>
      </c>
    </row>
    <row r="205" spans="19:38" x14ac:dyDescent="0.3">
      <c r="S205" s="159">
        <v>200</v>
      </c>
      <c r="T205" s="118" t="s">
        <v>24</v>
      </c>
      <c r="U205" s="172" t="s">
        <v>47</v>
      </c>
      <c r="V205" s="151">
        <f>IFERROR(AVERAGEIFS(points,managers,'Owner View'!T205,opponent,'Owner View'!U205,outcome,"W"),"")</f>
        <v>99.2</v>
      </c>
      <c r="W205" s="152">
        <f>IFERROR(V205-VLOOKUP(T205,'SFFL Main Page'!$B$4:$L$20,9,FALSE),"")</f>
        <v>-5.5590361445783145</v>
      </c>
      <c r="X205" s="153">
        <f>IFERROR(COUNTIFS(managers,'Owner View'!T205,opponent,'Owner View'!U205,outcome,"W"),"")</f>
        <v>5</v>
      </c>
      <c r="Y205" s="151">
        <f>IFERROR(AVERAGEIFS(points,managers,'Owner View'!T205,opponent,'Owner View'!U205,outcome,"L"),"")</f>
        <v>72.5</v>
      </c>
      <c r="Z205" s="152">
        <f>IFERROR(Y205-VLOOKUP(T205,'SFFL Main Page'!$B$4:$L$20,10,FALSE),"")</f>
        <v>-4.060439560439562</v>
      </c>
      <c r="AA205" s="153">
        <f>IFERROR(COUNTIFS(managers,'Owner View'!T205,opponent,'Owner View'!U205,outcome,"L"),"")</f>
        <v>6</v>
      </c>
      <c r="AB205" s="166">
        <f t="shared" si="31"/>
        <v>84.63636363636364</v>
      </c>
      <c r="AC205" s="152">
        <f>IFERROR(AB205-VLOOKUP(T205,'SFFL Main Page'!$B$4:$L$20,8,FALSE),"")</f>
        <v>-5.3751306165099209</v>
      </c>
      <c r="AD205" s="151">
        <f>IFERROR(AVERAGEIFS(points,managers,'Owner View'!U205,opponent,'Owner View'!T205,outcome,"W"),"")</f>
        <v>90</v>
      </c>
      <c r="AE205" s="152">
        <f>IFERROR(AD205-VLOOKUP(U205,'SFFL Main Page'!$B$4:$L$20,9,FALSE),"")</f>
        <v>-15.357894736842098</v>
      </c>
      <c r="AF205" s="153">
        <f>IFERROR(COUNTIFS(managers,'Owner View'!U205,opponent,'Owner View'!T205,outcome,"W"),"")</f>
        <v>6</v>
      </c>
      <c r="AG205" s="151">
        <f>IFERROR(AVERAGEIFS(points,managers,'Owner View'!U205,opponent,'Owner View'!T205,outcome,"L"),"")</f>
        <v>85.6</v>
      </c>
      <c r="AH205" s="152">
        <f>IFERROR(AG205-VLOOKUP(U205,'SFFL Main Page'!$B$4:$L$20,10,FALSE),"")</f>
        <v>2.0230769230769141</v>
      </c>
      <c r="AI205" s="153">
        <f>IFERROR(COUNTIFS(managers,'Owner View'!U205,opponent,'Owner View'!T205,outcome,"L"),"")</f>
        <v>5</v>
      </c>
      <c r="AJ205" s="151">
        <f t="shared" ref="AJ205:AJ215" si="32">IFERROR(((AD205*AF205)+(AG205*AI205))/SUM(AF205,AI205),"")</f>
        <v>88</v>
      </c>
      <c r="AK205" s="169">
        <f>IFERROR(AJ205-VLOOKUP(U205,'SFFL Main Page'!$B$4:$L$20,8,FALSE),"")</f>
        <v>-9.560810810810807</v>
      </c>
      <c r="AL205" s="152">
        <f t="shared" ref="AL205:AL215" si="33">IFERROR(AC205-AK205,"")</f>
        <v>4.1856801943008861</v>
      </c>
    </row>
    <row r="206" spans="19:38" x14ac:dyDescent="0.3">
      <c r="S206" s="159">
        <v>201</v>
      </c>
      <c r="T206" s="118" t="s">
        <v>24</v>
      </c>
      <c r="U206" s="172" t="s">
        <v>26</v>
      </c>
      <c r="V206" s="151">
        <f>IFERROR(AVERAGEIFS(points,managers,'Owner View'!T206,opponent,'Owner View'!U206,outcome,"W"),"")</f>
        <v>108.14285714285714</v>
      </c>
      <c r="W206" s="152">
        <f>IFERROR(V206-VLOOKUP(T206,'SFFL Main Page'!$B$4:$L$20,9,FALSE),"")</f>
        <v>3.3838209982788214</v>
      </c>
      <c r="X206" s="153">
        <f>IFERROR(COUNTIFS(managers,'Owner View'!T206,opponent,'Owner View'!U206,outcome,"W"),"")</f>
        <v>7</v>
      </c>
      <c r="Y206" s="151">
        <f>IFERROR(AVERAGEIFS(points,managers,'Owner View'!T206,opponent,'Owner View'!U206,outcome,"L"),"")</f>
        <v>69</v>
      </c>
      <c r="Z206" s="152">
        <f>IFERROR(Y206-VLOOKUP(T206,'SFFL Main Page'!$B$4:$L$20,10,FALSE),"")</f>
        <v>-7.560439560439562</v>
      </c>
      <c r="AA206" s="153">
        <f>IFERROR(COUNTIFS(managers,'Owner View'!T206,opponent,'Owner View'!U206,outcome,"L"),"")</f>
        <v>7</v>
      </c>
      <c r="AB206" s="166">
        <f t="shared" si="31"/>
        <v>88.571428571428569</v>
      </c>
      <c r="AC206" s="152">
        <f>IFERROR(AB206-VLOOKUP(T206,'SFFL Main Page'!$B$4:$L$20,8,FALSE),"")</f>
        <v>-1.4400656814449917</v>
      </c>
      <c r="AD206" s="151">
        <f>IFERROR(AVERAGEIFS(points,managers,'Owner View'!U206,opponent,'Owner View'!T206,outcome,"W"),"")</f>
        <v>97.428571428571431</v>
      </c>
      <c r="AE206" s="152">
        <f>IFERROR(AD206-VLOOKUP(U206,'SFFL Main Page'!$B$4:$L$20,9,FALSE),"")</f>
        <v>-6.123511904761898</v>
      </c>
      <c r="AF206" s="153">
        <f>IFERROR(COUNTIFS(managers,'Owner View'!U206,opponent,'Owner View'!T206,outcome,"W"),"")</f>
        <v>7</v>
      </c>
      <c r="AG206" s="151">
        <f>IFERROR(AVERAGEIFS(points,managers,'Owner View'!U206,opponent,'Owner View'!T206,outcome,"L"),"")</f>
        <v>89.285714285714292</v>
      </c>
      <c r="AH206" s="152">
        <f>IFERROR(AG206-VLOOKUP(U206,'SFFL Main Page'!$B$4:$L$20,10,FALSE),"")</f>
        <v>11.753246753246756</v>
      </c>
      <c r="AI206" s="153">
        <f>IFERROR(COUNTIFS(managers,'Owner View'!U206,opponent,'Owner View'!T206,outcome,"L"),"")</f>
        <v>7</v>
      </c>
      <c r="AJ206" s="151">
        <f t="shared" si="32"/>
        <v>93.357142857142861</v>
      </c>
      <c r="AK206" s="169">
        <f>IFERROR(AJ206-VLOOKUP(U206,'SFFL Main Page'!$B$4:$L$20,8,FALSE),"")</f>
        <v>1.37438423645321</v>
      </c>
      <c r="AL206" s="152">
        <f t="shared" si="33"/>
        <v>-2.8144499178982016</v>
      </c>
    </row>
    <row r="207" spans="19:38" x14ac:dyDescent="0.3">
      <c r="S207" s="159">
        <v>202</v>
      </c>
      <c r="T207" s="118" t="s">
        <v>24</v>
      </c>
      <c r="U207" s="172" t="s">
        <v>48</v>
      </c>
      <c r="V207" s="151">
        <f>IFERROR(AVERAGEIFS(points,managers,'Owner View'!T207,opponent,'Owner View'!U207,outcome,"W"),"")</f>
        <v>97.428571428571431</v>
      </c>
      <c r="W207" s="152">
        <f>IFERROR(V207-VLOOKUP(T207,'SFFL Main Page'!$B$4:$L$20,9,FALSE),"")</f>
        <v>-7.3304647160068868</v>
      </c>
      <c r="X207" s="153">
        <f>IFERROR(COUNTIFS(managers,'Owner View'!T207,opponent,'Owner View'!U207,outcome,"W"),"")</f>
        <v>7</v>
      </c>
      <c r="Y207" s="151">
        <f>IFERROR(AVERAGEIFS(points,managers,'Owner View'!T207,opponent,'Owner View'!U207,outcome,"L"),"")</f>
        <v>74.8</v>
      </c>
      <c r="Z207" s="152">
        <f>IFERROR(Y207-VLOOKUP(T207,'SFFL Main Page'!$B$4:$L$20,10,FALSE),"")</f>
        <v>-1.7604395604395648</v>
      </c>
      <c r="AA207" s="153">
        <f>IFERROR(COUNTIFS(managers,'Owner View'!T207,opponent,'Owner View'!U207,outcome,"L"),"")</f>
        <v>5</v>
      </c>
      <c r="AB207" s="166">
        <f t="shared" si="31"/>
        <v>88</v>
      </c>
      <c r="AC207" s="152">
        <f>IFERROR(AB207-VLOOKUP(T207,'SFFL Main Page'!$B$4:$L$20,8,FALSE),"")</f>
        <v>-2.0114942528735611</v>
      </c>
      <c r="AD207" s="151">
        <f>IFERROR(AVERAGEIFS(points,managers,'Owner View'!U207,opponent,'Owner View'!T207,outcome,"W"),"")</f>
        <v>110.6</v>
      </c>
      <c r="AE207" s="152">
        <f>IFERROR(AD207-VLOOKUP(U207,'SFFL Main Page'!$B$4:$L$20,9,FALSE),"")</f>
        <v>1.8548780487804777</v>
      </c>
      <c r="AF207" s="153">
        <f>IFERROR(COUNTIFS(managers,'Owner View'!U207,opponent,'Owner View'!T207,outcome,"W"),"")</f>
        <v>5</v>
      </c>
      <c r="AG207" s="151">
        <f>IFERROR(AVERAGEIFS(points,managers,'Owner View'!U207,opponent,'Owner View'!T207,outcome,"L"),"")</f>
        <v>79.857142857142861</v>
      </c>
      <c r="AH207" s="152">
        <f>IFERROR(AG207-VLOOKUP(U207,'SFFL Main Page'!$B$4:$L$20,10,FALSE),"")</f>
        <v>-4.9004329004328895</v>
      </c>
      <c r="AI207" s="153">
        <f>IFERROR(COUNTIFS(managers,'Owner View'!U207,opponent,'Owner View'!T207,outcome,"L"),"")</f>
        <v>7</v>
      </c>
      <c r="AJ207" s="151">
        <f t="shared" si="32"/>
        <v>92.666666666666671</v>
      </c>
      <c r="AK207" s="169">
        <f>IFERROR(AJ207-VLOOKUP(U207,'SFFL Main Page'!$B$4:$L$20,8,FALSE),"")</f>
        <v>-5.3813063063062998</v>
      </c>
      <c r="AL207" s="152">
        <f t="shared" si="33"/>
        <v>3.3698120534327387</v>
      </c>
    </row>
    <row r="208" spans="19:38" x14ac:dyDescent="0.3">
      <c r="S208" s="159">
        <v>203</v>
      </c>
      <c r="T208" s="118" t="s">
        <v>24</v>
      </c>
      <c r="U208" s="172" t="s">
        <v>29</v>
      </c>
      <c r="V208" s="151">
        <f>IFERROR(AVERAGEIFS(points,managers,'Owner View'!T208,opponent,'Owner View'!U208,outcome,"W"),"")</f>
        <v>104.2</v>
      </c>
      <c r="W208" s="152">
        <f>IFERROR(V208-VLOOKUP(T208,'SFFL Main Page'!$B$4:$L$20,9,FALSE),"")</f>
        <v>-0.55903614457831452</v>
      </c>
      <c r="X208" s="153">
        <f>IFERROR(COUNTIFS(managers,'Owner View'!T208,opponent,'Owner View'!U208,outcome,"W"),"")</f>
        <v>5</v>
      </c>
      <c r="Y208" s="151">
        <f>IFERROR(AVERAGEIFS(points,managers,'Owner View'!T208,opponent,'Owner View'!U208,outcome,"L"),"")</f>
        <v>80.727272727272734</v>
      </c>
      <c r="Z208" s="152">
        <f>IFERROR(Y208-VLOOKUP(T208,'SFFL Main Page'!$B$4:$L$20,10,FALSE),"")</f>
        <v>4.1668331668331717</v>
      </c>
      <c r="AA208" s="153">
        <f>IFERROR(COUNTIFS(managers,'Owner View'!T208,opponent,'Owner View'!U208,outcome,"L"),"")</f>
        <v>11</v>
      </c>
      <c r="AB208" s="166">
        <f t="shared" si="31"/>
        <v>88.0625</v>
      </c>
      <c r="AC208" s="152">
        <f>IFERROR(AB208-VLOOKUP(T208,'SFFL Main Page'!$B$4:$L$20,8,FALSE),"")</f>
        <v>-1.9489942528735611</v>
      </c>
      <c r="AD208" s="151">
        <f>IFERROR(AVERAGEIFS(points,managers,'Owner View'!U208,opponent,'Owner View'!T208,outcome,"W"),"")</f>
        <v>93.545454545454547</v>
      </c>
      <c r="AE208" s="152">
        <f>IFERROR(AD208-VLOOKUP(U208,'SFFL Main Page'!$B$4:$L$20,9,FALSE),"")</f>
        <v>-7.5251336898395778</v>
      </c>
      <c r="AF208" s="153">
        <f>IFERROR(COUNTIFS(managers,'Owner View'!U208,opponent,'Owner View'!T208,outcome,"W"),"")</f>
        <v>11</v>
      </c>
      <c r="AG208" s="151">
        <f>IFERROR(AVERAGEIFS(points,managers,'Owner View'!U208,opponent,'Owner View'!T208,outcome,"L"),"")</f>
        <v>65.400000000000006</v>
      </c>
      <c r="AH208" s="152">
        <f>IFERROR(AG208-VLOOKUP(U208,'SFFL Main Page'!$B$4:$L$20,10,FALSE),"")</f>
        <v>-12.724999999999994</v>
      </c>
      <c r="AI208" s="153">
        <f>IFERROR(COUNTIFS(managers,'Owner View'!U208,opponent,'Owner View'!T208,outcome,"L"),"")</f>
        <v>5</v>
      </c>
      <c r="AJ208" s="151">
        <f t="shared" si="32"/>
        <v>84.75</v>
      </c>
      <c r="AK208" s="169">
        <f>IFERROR(AJ208-VLOOKUP(U208,'SFFL Main Page'!$B$4:$L$20,8,FALSE),"")</f>
        <v>-4.6522988505747094</v>
      </c>
      <c r="AL208" s="152">
        <f t="shared" si="33"/>
        <v>2.7033045977011483</v>
      </c>
    </row>
    <row r="209" spans="19:38" x14ac:dyDescent="0.3">
      <c r="S209" s="159">
        <v>204</v>
      </c>
      <c r="T209" s="118" t="s">
        <v>24</v>
      </c>
      <c r="U209" s="172" t="s">
        <v>43</v>
      </c>
      <c r="V209" s="151">
        <f>IFERROR(AVERAGEIFS(points,managers,'Owner View'!T209,opponent,'Owner View'!U209,outcome,"W"),"")</f>
        <v>117</v>
      </c>
      <c r="W209" s="152">
        <f>IFERROR(V209-VLOOKUP(T209,'SFFL Main Page'!$B$4:$L$20,9,FALSE),"")</f>
        <v>12.240963855421683</v>
      </c>
      <c r="X209" s="153">
        <f>IFERROR(COUNTIFS(managers,'Owner View'!T209,opponent,'Owner View'!U209,outcome,"W"),"")</f>
        <v>8</v>
      </c>
      <c r="Y209" s="151">
        <f>IFERROR(AVERAGEIFS(points,managers,'Owner View'!T209,opponent,'Owner View'!U209,outcome,"L"),"")</f>
        <v>86.8</v>
      </c>
      <c r="Z209" s="152">
        <f>IFERROR(Y209-VLOOKUP(T209,'SFFL Main Page'!$B$4:$L$20,10,FALSE),"")</f>
        <v>10.239560439560435</v>
      </c>
      <c r="AA209" s="153">
        <f>IFERROR(COUNTIFS(managers,'Owner View'!T209,opponent,'Owner View'!U209,outcome,"L"),"")</f>
        <v>5</v>
      </c>
      <c r="AB209" s="166">
        <f t="shared" si="31"/>
        <v>105.38461538461539</v>
      </c>
      <c r="AC209" s="152">
        <f>IFERROR(AB209-VLOOKUP(T209,'SFFL Main Page'!$B$4:$L$20,8,FALSE),"")</f>
        <v>15.373121131741826</v>
      </c>
      <c r="AD209" s="151">
        <f>IFERROR(AVERAGEIFS(points,managers,'Owner View'!U209,opponent,'Owner View'!T209,outcome,"W"),"")</f>
        <v>102.2</v>
      </c>
      <c r="AE209" s="152">
        <f>IFERROR(AD209-VLOOKUP(U209,'SFFL Main Page'!$B$4:$L$20,9,FALSE),"")</f>
        <v>1.3728395061728378</v>
      </c>
      <c r="AF209" s="153">
        <f>IFERROR(COUNTIFS(managers,'Owner View'!U209,opponent,'Owner View'!T209,outcome,"W"),"")</f>
        <v>5</v>
      </c>
      <c r="AG209" s="151">
        <f>IFERROR(AVERAGEIFS(points,managers,'Owner View'!U209,opponent,'Owner View'!T209,outcome,"L"),"")</f>
        <v>73.375</v>
      </c>
      <c r="AH209" s="152">
        <f>IFERROR(AG209-VLOOKUP(U209,'SFFL Main Page'!$B$4:$L$20,10,FALSE),"")</f>
        <v>-1.9945652173912976</v>
      </c>
      <c r="AI209" s="153">
        <f>IFERROR(COUNTIFS(managers,'Owner View'!U209,opponent,'Owner View'!T209,outcome,"L"),"")</f>
        <v>8</v>
      </c>
      <c r="AJ209" s="151">
        <f t="shared" si="32"/>
        <v>84.461538461538467</v>
      </c>
      <c r="AK209" s="169">
        <f>IFERROR(AJ209-VLOOKUP(U209,'SFFL Main Page'!$B$4:$L$20,8,FALSE),"")</f>
        <v>-2.7798408488063586</v>
      </c>
      <c r="AL209" s="152">
        <f t="shared" si="33"/>
        <v>18.152961980548184</v>
      </c>
    </row>
    <row r="210" spans="19:38" x14ac:dyDescent="0.3">
      <c r="S210" s="159">
        <v>205</v>
      </c>
      <c r="T210" s="118" t="s">
        <v>24</v>
      </c>
      <c r="U210" s="172" t="s">
        <v>473</v>
      </c>
      <c r="V210" s="151">
        <f>IFERROR(AVERAGEIFS(points,managers,'Owner View'!T210,opponent,'Owner View'!U210,outcome,"W"),"")</f>
        <v>122</v>
      </c>
      <c r="W210" s="152">
        <f>IFERROR(V210-VLOOKUP(T210,'SFFL Main Page'!$B$4:$L$20,9,FALSE),"")</f>
        <v>17.240963855421683</v>
      </c>
      <c r="X210" s="153">
        <f>IFERROR(COUNTIFS(managers,'Owner View'!T210,opponent,'Owner View'!U210,outcome,"W"),"")</f>
        <v>2</v>
      </c>
      <c r="Y210" s="151" t="str">
        <f>IFERROR(AVERAGEIFS(points,managers,'Owner View'!T210,opponent,'Owner View'!U210,outcome,"L"),"")</f>
        <v/>
      </c>
      <c r="Z210" s="152" t="str">
        <f>IFERROR(Y210-VLOOKUP(T210,'SFFL Main Page'!$B$4:$L$20,10,FALSE),"")</f>
        <v/>
      </c>
      <c r="AA210" s="153">
        <f>IFERROR(COUNTIFS(managers,'Owner View'!T210,opponent,'Owner View'!U210,outcome,"L"),"")</f>
        <v>0</v>
      </c>
      <c r="AB210" s="166" t="str">
        <f t="shared" si="31"/>
        <v/>
      </c>
      <c r="AC210" s="152" t="str">
        <f>IFERROR(AB210-VLOOKUP(T210,'SFFL Main Page'!$B$4:$L$20,8,FALSE),"")</f>
        <v/>
      </c>
      <c r="AD210" s="151" t="str">
        <f>IFERROR(AVERAGEIFS(points,managers,'Owner View'!U210,opponent,'Owner View'!T210,outcome,"W"),"")</f>
        <v/>
      </c>
      <c r="AE210" s="152" t="str">
        <f>IFERROR(AD210-VLOOKUP(U210,'SFFL Main Page'!$B$4:$L$20,9,FALSE),"")</f>
        <v/>
      </c>
      <c r="AF210" s="153">
        <f>IFERROR(COUNTIFS(managers,'Owner View'!U210,opponent,'Owner View'!T210,outcome,"W"),"")</f>
        <v>0</v>
      </c>
      <c r="AG210" s="151">
        <f>IFERROR(AVERAGEIFS(points,managers,'Owner View'!U210,opponent,'Owner View'!T210,outcome,"L"),"")</f>
        <v>97</v>
      </c>
      <c r="AH210" s="152">
        <f>IFERROR(AG210-VLOOKUP(U210,'SFFL Main Page'!$B$4:$L$20,10,FALSE),"")</f>
        <v>3.8421052631578902</v>
      </c>
      <c r="AI210" s="153">
        <f>IFERROR(COUNTIFS(managers,'Owner View'!U210,opponent,'Owner View'!T210,outcome,"L"),"")</f>
        <v>2</v>
      </c>
      <c r="AJ210" s="151" t="str">
        <f t="shared" si="32"/>
        <v/>
      </c>
      <c r="AK210" s="169" t="str">
        <f>IFERROR(AJ210-VLOOKUP(U210,'SFFL Main Page'!$B$4:$L$20,8,FALSE),"")</f>
        <v/>
      </c>
      <c r="AL210" s="152" t="str">
        <f t="shared" si="33"/>
        <v/>
      </c>
    </row>
    <row r="211" spans="19:38" x14ac:dyDescent="0.3">
      <c r="S211" s="159">
        <v>206</v>
      </c>
      <c r="T211" s="118" t="s">
        <v>24</v>
      </c>
      <c r="U211" s="172" t="s">
        <v>472</v>
      </c>
      <c r="V211" s="151">
        <f>IFERROR(AVERAGEIFS(points,managers,'Owner View'!T211,opponent,'Owner View'!U211,outcome,"W"),"")</f>
        <v>89</v>
      </c>
      <c r="W211" s="152">
        <f>IFERROR(V211-VLOOKUP(T211,'SFFL Main Page'!$B$4:$L$20,9,FALSE),"")</f>
        <v>-15.759036144578317</v>
      </c>
      <c r="X211" s="153">
        <f>IFERROR(COUNTIFS(managers,'Owner View'!T211,opponent,'Owner View'!U211,outcome,"W"),"")</f>
        <v>1</v>
      </c>
      <c r="Y211" s="151">
        <f>IFERROR(AVERAGEIFS(points,managers,'Owner View'!T211,opponent,'Owner View'!U211,outcome,"L"),"")</f>
        <v>113</v>
      </c>
      <c r="Z211" s="152">
        <f>IFERROR(Y211-VLOOKUP(T211,'SFFL Main Page'!$B$4:$L$20,10,FALSE),"")</f>
        <v>36.439560439560438</v>
      </c>
      <c r="AA211" s="153">
        <f>IFERROR(COUNTIFS(managers,'Owner View'!T211,opponent,'Owner View'!U211,outcome,"L"),"")</f>
        <v>1</v>
      </c>
      <c r="AB211" s="166">
        <f t="shared" si="31"/>
        <v>101</v>
      </c>
      <c r="AC211" s="152">
        <f>IFERROR(AB211-VLOOKUP(T211,'SFFL Main Page'!$B$4:$L$20,8,FALSE),"")</f>
        <v>10.988505747126439</v>
      </c>
      <c r="AD211" s="151">
        <f>IFERROR(AVERAGEIFS(points,managers,'Owner View'!U211,opponent,'Owner View'!T211,outcome,"W"),"")</f>
        <v>115</v>
      </c>
      <c r="AE211" s="152">
        <f>IFERROR(AD211-VLOOKUP(U211,'SFFL Main Page'!$B$4:$L$20,9,FALSE),"")</f>
        <v>-4.7272727272727337</v>
      </c>
      <c r="AF211" s="153">
        <f>IFERROR(COUNTIFS(managers,'Owner View'!U211,opponent,'Owner View'!T211,outcome,"W"),"")</f>
        <v>1</v>
      </c>
      <c r="AG211" s="151">
        <f>IFERROR(AVERAGEIFS(points,managers,'Owner View'!U211,opponent,'Owner View'!T211,outcome,"L"),"")</f>
        <v>88</v>
      </c>
      <c r="AH211" s="152">
        <f>IFERROR(AG211-VLOOKUP(U211,'SFFL Main Page'!$B$4:$L$20,10,FALSE),"")</f>
        <v>-9.529411764705884</v>
      </c>
      <c r="AI211" s="153">
        <f>IFERROR(COUNTIFS(managers,'Owner View'!U211,opponent,'Owner View'!T211,outcome,"L"),"")</f>
        <v>1</v>
      </c>
      <c r="AJ211" s="151">
        <f t="shared" si="32"/>
        <v>101.5</v>
      </c>
      <c r="AK211" s="169">
        <f>IFERROR(AJ211-VLOOKUP(U211,'SFFL Main Page'!$B$4:$L$20,8,FALSE),"")</f>
        <v>-4.75</v>
      </c>
      <c r="AL211" s="152">
        <f t="shared" si="33"/>
        <v>15.738505747126439</v>
      </c>
    </row>
    <row r="212" spans="19:38" x14ac:dyDescent="0.3">
      <c r="S212" s="159">
        <v>207</v>
      </c>
      <c r="T212" s="118" t="s">
        <v>24</v>
      </c>
      <c r="U212" s="172" t="s">
        <v>22</v>
      </c>
      <c r="V212" s="151">
        <f>IFERROR(AVERAGEIFS(points,managers,'Owner View'!T212,opponent,'Owner View'!U212,outcome,"W"),"")</f>
        <v>114.16666666666667</v>
      </c>
      <c r="W212" s="152">
        <f>IFERROR(V212-VLOOKUP(T212,'SFFL Main Page'!$B$4:$L$20,9,FALSE),"")</f>
        <v>9.407630522088354</v>
      </c>
      <c r="X212" s="153">
        <f>IFERROR(COUNTIFS(managers,'Owner View'!T212,opponent,'Owner View'!U212,outcome,"W"),"")</f>
        <v>6</v>
      </c>
      <c r="Y212" s="151">
        <f>IFERROR(AVERAGEIFS(points,managers,'Owner View'!T212,opponent,'Owner View'!U212,outcome,"L"),"")</f>
        <v>75.8</v>
      </c>
      <c r="Z212" s="152">
        <f>IFERROR(Y212-VLOOKUP(T212,'SFFL Main Page'!$B$4:$L$20,10,FALSE),"")</f>
        <v>-0.76043956043956484</v>
      </c>
      <c r="AA212" s="153">
        <f>IFERROR(COUNTIFS(managers,'Owner View'!T212,opponent,'Owner View'!U212,outcome,"L"),"")</f>
        <v>10</v>
      </c>
      <c r="AB212" s="166">
        <f t="shared" si="31"/>
        <v>90.1875</v>
      </c>
      <c r="AC212" s="152">
        <f>IFERROR(AB212-VLOOKUP(T212,'SFFL Main Page'!$B$4:$L$20,8,FALSE),"")</f>
        <v>0.17600574712643891</v>
      </c>
      <c r="AD212" s="151">
        <f>IFERROR(AVERAGEIFS(points,managers,'Owner View'!U212,opponent,'Owner View'!T212,outcome,"W"),"")</f>
        <v>107.1</v>
      </c>
      <c r="AE212" s="152">
        <f>IFERROR(AD212-VLOOKUP(U212,'SFFL Main Page'!$B$4:$L$20,9,FALSE),"")</f>
        <v>4.7197183098591466</v>
      </c>
      <c r="AF212" s="153">
        <f>IFERROR(COUNTIFS(managers,'Owner View'!U212,opponent,'Owner View'!T212,outcome,"W"),"")</f>
        <v>10</v>
      </c>
      <c r="AG212" s="151">
        <f>IFERROR(AVERAGEIFS(points,managers,'Owner View'!U212,opponent,'Owner View'!T212,outcome,"L"),"")</f>
        <v>74.666666666666671</v>
      </c>
      <c r="AH212" s="152">
        <f>IFERROR(AG212-VLOOKUP(U212,'SFFL Main Page'!$B$4:$L$20,10,FALSE),"")</f>
        <v>-5.2843137254901933</v>
      </c>
      <c r="AI212" s="153">
        <f>IFERROR(COUNTIFS(managers,'Owner View'!U212,opponent,'Owner View'!T212,outcome,"L"),"")</f>
        <v>6</v>
      </c>
      <c r="AJ212" s="151">
        <f t="shared" si="32"/>
        <v>94.9375</v>
      </c>
      <c r="AK212" s="169">
        <f>IFERROR(AJ212-VLOOKUP(U212,'SFFL Main Page'!$B$4:$L$20,8,FALSE),"")</f>
        <v>5.7765804597701162</v>
      </c>
      <c r="AL212" s="152">
        <f t="shared" si="33"/>
        <v>-5.6005747126436773</v>
      </c>
    </row>
    <row r="213" spans="19:38" x14ac:dyDescent="0.3">
      <c r="S213" s="159">
        <v>208</v>
      </c>
      <c r="T213" s="118" t="s">
        <v>24</v>
      </c>
      <c r="U213" s="172" t="s">
        <v>30</v>
      </c>
      <c r="V213" s="151">
        <f>IFERROR(AVERAGEIFS(points,managers,'Owner View'!T213,opponent,'Owner View'!U213,outcome,"W"),"")</f>
        <v>101.85714285714286</v>
      </c>
      <c r="W213" s="152">
        <f>IFERROR(V213-VLOOKUP(T213,'SFFL Main Page'!$B$4:$L$20,9,FALSE),"")</f>
        <v>-2.9018932874354562</v>
      </c>
      <c r="X213" s="153">
        <f>IFERROR(COUNTIFS(managers,'Owner View'!T213,opponent,'Owner View'!U213,outcome,"W"),"")</f>
        <v>7</v>
      </c>
      <c r="Y213" s="151">
        <f>IFERROR(AVERAGEIFS(points,managers,'Owner View'!T213,opponent,'Owner View'!U213,outcome,"L"),"")</f>
        <v>72.666666666666671</v>
      </c>
      <c r="Z213" s="152">
        <f>IFERROR(Y213-VLOOKUP(T213,'SFFL Main Page'!$B$4:$L$20,10,FALSE),"")</f>
        <v>-3.8937728937728906</v>
      </c>
      <c r="AA213" s="153">
        <f>IFERROR(COUNTIFS(managers,'Owner View'!T213,opponent,'Owner View'!U213,outcome,"L"),"")</f>
        <v>6</v>
      </c>
      <c r="AB213" s="166">
        <f t="shared" si="31"/>
        <v>88.384615384615387</v>
      </c>
      <c r="AC213" s="152">
        <f>IFERROR(AB213-VLOOKUP(T213,'SFFL Main Page'!$B$4:$L$20,8,FALSE),"")</f>
        <v>-1.6268788682581743</v>
      </c>
      <c r="AD213" s="151">
        <f>IFERROR(AVERAGEIFS(points,managers,'Owner View'!U213,opponent,'Owner View'!T213,outcome,"W"),"")</f>
        <v>100.33333333333333</v>
      </c>
      <c r="AE213" s="152">
        <f>IFERROR(AD213-VLOOKUP(U213,'SFFL Main Page'!$B$4:$L$20,9,FALSE),"")</f>
        <v>-2.5666666666666771</v>
      </c>
      <c r="AF213" s="153">
        <f>IFERROR(COUNTIFS(managers,'Owner View'!U213,opponent,'Owner View'!T213,outcome,"W"),"")</f>
        <v>6</v>
      </c>
      <c r="AG213" s="151">
        <f>IFERROR(AVERAGEIFS(points,managers,'Owner View'!U213,opponent,'Owner View'!T213,outcome,"L"),"")</f>
        <v>78.571428571428569</v>
      </c>
      <c r="AH213" s="152">
        <f>IFERROR(AG213-VLOOKUP(U213,'SFFL Main Page'!$B$4:$L$20,10,FALSE),"")</f>
        <v>-3.3640552995391744</v>
      </c>
      <c r="AI213" s="153">
        <f>IFERROR(COUNTIFS(managers,'Owner View'!U213,opponent,'Owner View'!T213,outcome,"L"),"")</f>
        <v>7</v>
      </c>
      <c r="AJ213" s="151">
        <f t="shared" si="32"/>
        <v>88.615384615384613</v>
      </c>
      <c r="AK213" s="169">
        <f>IFERROR(AJ213-VLOOKUP(U213,'SFFL Main Page'!$B$4:$L$20,8,FALSE),"")</f>
        <v>-2.9535809018567676</v>
      </c>
      <c r="AL213" s="152">
        <f t="shared" si="33"/>
        <v>1.3267020335985933</v>
      </c>
    </row>
    <row r="214" spans="19:38" x14ac:dyDescent="0.3">
      <c r="S214" s="159">
        <v>209</v>
      </c>
      <c r="T214" s="118" t="s">
        <v>24</v>
      </c>
      <c r="U214" s="172" t="s">
        <v>23</v>
      </c>
      <c r="V214" s="151">
        <f>IFERROR(AVERAGEIFS(points,managers,'Owner View'!T214,opponent,'Owner View'!U214,outcome,"W"),"")</f>
        <v>102.8</v>
      </c>
      <c r="W214" s="152">
        <f>IFERROR(V214-VLOOKUP(T214,'SFFL Main Page'!$B$4:$L$20,9,FALSE),"")</f>
        <v>-1.9590361445783202</v>
      </c>
      <c r="X214" s="153">
        <f>IFERROR(COUNTIFS(managers,'Owner View'!T214,opponent,'Owner View'!U214,outcome,"W"),"")</f>
        <v>10</v>
      </c>
      <c r="Y214" s="151">
        <f>IFERROR(AVERAGEIFS(points,managers,'Owner View'!T214,opponent,'Owner View'!U214,outcome,"L"),"")</f>
        <v>68.307692307692307</v>
      </c>
      <c r="Z214" s="152">
        <f>IFERROR(Y214-VLOOKUP(T214,'SFFL Main Page'!$B$4:$L$20,10,FALSE),"")</f>
        <v>-8.2527472527472554</v>
      </c>
      <c r="AA214" s="153">
        <f>IFERROR(COUNTIFS(managers,'Owner View'!T214,opponent,'Owner View'!U214,outcome,"L"),"")</f>
        <v>13</v>
      </c>
      <c r="AB214" s="166">
        <f t="shared" si="31"/>
        <v>83.304347826086953</v>
      </c>
      <c r="AC214" s="152">
        <f>IFERROR(AB214-VLOOKUP(T214,'SFFL Main Page'!$B$4:$L$20,8,FALSE),"")</f>
        <v>-6.7071464267866077</v>
      </c>
      <c r="AD214" s="151">
        <f>IFERROR(AVERAGEIFS(points,managers,'Owner View'!U214,opponent,'Owner View'!T214,outcome,"W"),"")</f>
        <v>97.92307692307692</v>
      </c>
      <c r="AE214" s="152">
        <f>IFERROR(AD214-VLOOKUP(U214,'SFFL Main Page'!$B$4:$L$20,9,FALSE),"")</f>
        <v>-5.0024549918166912</v>
      </c>
      <c r="AF214" s="153">
        <f>IFERROR(COUNTIFS(managers,'Owner View'!U214,opponent,'Owner View'!T214,outcome,"W"),"")</f>
        <v>13</v>
      </c>
      <c r="AG214" s="151">
        <f>IFERROR(AVERAGEIFS(points,managers,'Owner View'!U214,opponent,'Owner View'!T214,outcome,"L"),"")</f>
        <v>84.7</v>
      </c>
      <c r="AH214" s="152">
        <f>IFERROR(AG214-VLOOKUP(U214,'SFFL Main Page'!$B$4:$L$20,10,FALSE),"")</f>
        <v>4.0670886075949397</v>
      </c>
      <c r="AI214" s="153">
        <f>IFERROR(COUNTIFS(managers,'Owner View'!U214,opponent,'Owner View'!T214,outcome,"L"),"")</f>
        <v>10</v>
      </c>
      <c r="AJ214" s="151">
        <f t="shared" si="32"/>
        <v>92.173913043478265</v>
      </c>
      <c r="AK214" s="169">
        <f>IFERROR(AJ214-VLOOKUP(U214,'SFFL Main Page'!$B$4:$L$20,8,FALSE),"")</f>
        <v>-0.66516741629185105</v>
      </c>
      <c r="AL214" s="152">
        <f t="shared" si="33"/>
        <v>-6.0419790104947566</v>
      </c>
    </row>
    <row r="215" spans="19:38" x14ac:dyDescent="0.3">
      <c r="S215" s="160">
        <v>210</v>
      </c>
      <c r="T215" s="145" t="s">
        <v>24</v>
      </c>
      <c r="U215" s="173" t="s">
        <v>28</v>
      </c>
      <c r="V215" s="154">
        <f>IFERROR(AVERAGEIFS(points,managers,'Owner View'!T215,opponent,'Owner View'!U215,outcome,"W"),"")</f>
        <v>91.166666666666671</v>
      </c>
      <c r="W215" s="155">
        <f>IFERROR(V215-VLOOKUP(T215,'SFFL Main Page'!$B$4:$L$20,9,FALSE),"")</f>
        <v>-13.592369477911646</v>
      </c>
      <c r="X215" s="156">
        <f>IFERROR(COUNTIFS(managers,'Owner View'!T215,opponent,'Owner View'!U215,outcome,"W"),"")</f>
        <v>6</v>
      </c>
      <c r="Y215" s="154">
        <f>IFERROR(AVERAGEIFS(points,managers,'Owner View'!T215,opponent,'Owner View'!U215,outcome,"L"),"")</f>
        <v>80.272727272727266</v>
      </c>
      <c r="Z215" s="155">
        <f>IFERROR(Y215-VLOOKUP(T215,'SFFL Main Page'!$B$4:$L$20,10,FALSE),"")</f>
        <v>3.7122877122877043</v>
      </c>
      <c r="AA215" s="156">
        <f>IFERROR(COUNTIFS(managers,'Owner View'!T215,opponent,'Owner View'!U215,outcome,"L"),"")</f>
        <v>11</v>
      </c>
      <c r="AB215" s="167">
        <f t="shared" si="31"/>
        <v>84.117647058823536</v>
      </c>
      <c r="AC215" s="155">
        <f>IFERROR(AB215-VLOOKUP(T215,'SFFL Main Page'!$B$4:$L$20,8,FALSE),"")</f>
        <v>-5.893847194050025</v>
      </c>
      <c r="AD215" s="154">
        <f>IFERROR(AVERAGEIFS(points,managers,'Owner View'!U215,opponent,'Owner View'!T215,outcome,"W"),"")</f>
        <v>100.45454545454545</v>
      </c>
      <c r="AE215" s="155">
        <f>IFERROR(AD215-VLOOKUP(U215,'SFFL Main Page'!$B$4:$L$20,9,FALSE),"")</f>
        <v>-5.8787878787878753</v>
      </c>
      <c r="AF215" s="156">
        <f>IFERROR(COUNTIFS(managers,'Owner View'!U215,opponent,'Owner View'!T215,outcome,"W"),"")</f>
        <v>11</v>
      </c>
      <c r="AG215" s="154">
        <f>IFERROR(AVERAGEIFS(points,managers,'Owner View'!U215,opponent,'Owner View'!T215,outcome,"L"),"")</f>
        <v>72.333333333333329</v>
      </c>
      <c r="AH215" s="155">
        <f>IFERROR(AG215-VLOOKUP(U215,'SFFL Main Page'!$B$4:$L$20,10,FALSE),"")</f>
        <v>-8.5813008130081414</v>
      </c>
      <c r="AI215" s="156">
        <f>IFERROR(COUNTIFS(managers,'Owner View'!U215,opponent,'Owner View'!T215,outcome,"L"),"")</f>
        <v>6</v>
      </c>
      <c r="AJ215" s="154">
        <f t="shared" si="32"/>
        <v>90.529411764705884</v>
      </c>
      <c r="AK215" s="170">
        <f>IFERROR(AJ215-VLOOKUP(U215,'SFFL Main Page'!$B$4:$L$20,8,FALSE),"")</f>
        <v>-3.6947261663285929</v>
      </c>
      <c r="AL215" s="155">
        <f t="shared" si="33"/>
        <v>-2.1991210277214321</v>
      </c>
    </row>
  </sheetData>
  <mergeCells count="5">
    <mergeCell ref="C4:H4"/>
    <mergeCell ref="I4:L4"/>
    <mergeCell ref="M4:P4"/>
    <mergeCell ref="C32:H32"/>
    <mergeCell ref="I32:N32"/>
  </mergeCells>
  <conditionalFormatting sqref="F6:F20">
    <cfRule type="cellIs" dxfId="12" priority="10" operator="equal">
      <formula>0.5</formula>
    </cfRule>
    <cfRule type="cellIs" dxfId="11" priority="11" operator="between">
      <formula>0.49999999</formula>
      <formula>0</formula>
    </cfRule>
    <cfRule type="cellIs" dxfId="10" priority="12" operator="between">
      <formula>0.500000001</formula>
      <formula>1.1</formula>
    </cfRule>
  </conditionalFormatting>
  <conditionalFormatting sqref="G6:G20">
    <cfRule type="cellIs" dxfId="9" priority="15" operator="lessThan">
      <formula>0</formula>
    </cfRule>
    <cfRule type="cellIs" dxfId="8" priority="16" operator="greaterThan">
      <formula>0</formula>
    </cfRule>
  </conditionalFormatting>
  <conditionalFormatting sqref="G21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L6:L20">
    <cfRule type="cellIs" dxfId="5" priority="7" operator="equal">
      <formula>0.5</formula>
    </cfRule>
    <cfRule type="cellIs" dxfId="4" priority="8" operator="between">
      <formula>0.49999999</formula>
      <formula>0</formula>
    </cfRule>
    <cfRule type="cellIs" dxfId="3" priority="9" operator="between">
      <formula>0.500000001</formula>
      <formula>1.1</formula>
    </cfRule>
  </conditionalFormatting>
  <conditionalFormatting sqref="P6:P20">
    <cfRule type="cellIs" dxfId="2" priority="1" operator="equal">
      <formula>0.5</formula>
    </cfRule>
    <cfRule type="cellIs" dxfId="1" priority="2" operator="between">
      <formula>0.49999999</formula>
      <formula>0</formula>
    </cfRule>
    <cfRule type="cellIs" dxfId="0" priority="3" operator="between">
      <formula>0.500000001</formula>
      <formula>1.1</formula>
    </cfRule>
  </conditionalFormatting>
  <dataValidations count="1">
    <dataValidation type="list" allowBlank="1" showInputMessage="1" showErrorMessage="1" sqref="C2:C3" xr:uid="{538A0EF4-CDA4-4EA3-B95F-90EE364B13F3}">
      <formula1>owners</formula1>
    </dataValidation>
  </dataValidations>
  <pageMargins left="0.7" right="0.7" top="0.75" bottom="0.75" header="0.3" footer="0.5"/>
  <pageSetup orientation="portrait" horizontalDpi="1200" verticalDpi="1200" r:id="rId1"/>
  <ignoredErrors>
    <ignoredError sqref="L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378E-FF0D-4F70-BB03-25AC6C8FE617}">
  <dimension ref="A1:M38"/>
  <sheetViews>
    <sheetView workbookViewId="0">
      <selection activeCell="B2" sqref="B2"/>
    </sheetView>
  </sheetViews>
  <sheetFormatPr defaultRowHeight="14.4" x14ac:dyDescent="0.3"/>
  <cols>
    <col min="1" max="1" width="11.6640625" bestFit="1" customWidth="1"/>
    <col min="2" max="7" width="13.109375" customWidth="1"/>
    <col min="12" max="12" width="12.44140625" bestFit="1" customWidth="1"/>
    <col min="13" max="13" width="12" bestFit="1" customWidth="1"/>
  </cols>
  <sheetData>
    <row r="1" spans="1:13" x14ac:dyDescent="0.3">
      <c r="A1" s="180" t="s">
        <v>0</v>
      </c>
      <c r="B1" s="181">
        <v>2025</v>
      </c>
      <c r="C1" s="2"/>
      <c r="D1" s="2"/>
      <c r="E1" s="2"/>
      <c r="F1" s="2"/>
      <c r="G1" s="2"/>
    </row>
    <row r="2" spans="1:13" x14ac:dyDescent="0.3">
      <c r="A2" s="180" t="s">
        <v>5</v>
      </c>
      <c r="B2" s="181" t="s">
        <v>24</v>
      </c>
      <c r="C2" s="2"/>
      <c r="D2" s="2"/>
      <c r="E2" s="180" t="s">
        <v>506</v>
      </c>
      <c r="F2" s="181" t="s">
        <v>28</v>
      </c>
      <c r="G2" s="2"/>
    </row>
    <row r="3" spans="1:13" x14ac:dyDescent="0.3">
      <c r="A3" s="180" t="s">
        <v>505</v>
      </c>
      <c r="B3" s="182" t="str">
        <f>COUNTIFS(managers,B2,outcome,"W",season,B1)&amp;"-"&amp;COUNTIFS(managers,B2,outcome,"L",season,B1)</f>
        <v>5-9</v>
      </c>
      <c r="C3" s="2"/>
      <c r="D3" s="2"/>
      <c r="E3" s="180" t="s">
        <v>505</v>
      </c>
      <c r="F3" s="182" t="str">
        <f>COUNTIFS(managers,F2,outcome,"W",season,B1)&amp;"-"&amp;COUNTIFS(managers,F2,outcome,"L",season,B1)</f>
        <v>10-4</v>
      </c>
      <c r="G3" s="2"/>
    </row>
    <row r="4" spans="1:13" x14ac:dyDescent="0.3">
      <c r="A4" s="180" t="s">
        <v>507</v>
      </c>
      <c r="B4" s="182" t="str">
        <f>COUNTIF(D25:D38,"W")&amp;"-"&amp;COUNTIF(D25:D38,"L")</f>
        <v>6-8</v>
      </c>
      <c r="C4" s="2"/>
      <c r="D4" s="2"/>
      <c r="E4" s="180" t="s">
        <v>507</v>
      </c>
      <c r="F4" s="182" t="str">
        <f>COUNTIF(G25:G38,"W")&amp;"-"&amp;COUNTIF(G25:G38,"L")</f>
        <v>9-5</v>
      </c>
      <c r="G4" s="2"/>
    </row>
    <row r="5" spans="1:13" ht="15" thickBot="1" x14ac:dyDescent="0.35">
      <c r="A5" s="2"/>
      <c r="B5" s="2"/>
      <c r="C5" s="2"/>
      <c r="D5" s="2"/>
      <c r="E5" s="2"/>
      <c r="F5" s="2"/>
      <c r="G5" s="2"/>
      <c r="L5" t="s">
        <v>512</v>
      </c>
      <c r="M5" t="s">
        <v>23</v>
      </c>
    </row>
    <row r="6" spans="1:13" ht="15" thickBot="1" x14ac:dyDescent="0.35">
      <c r="A6" s="2"/>
      <c r="B6" s="202" t="str">
        <f>B2</f>
        <v>Watty</v>
      </c>
      <c r="C6" s="203"/>
      <c r="D6" s="204"/>
      <c r="E6" s="203" t="str">
        <f>F2</f>
        <v>Russell</v>
      </c>
      <c r="F6" s="203"/>
      <c r="G6" s="204"/>
      <c r="L6">
        <v>1</v>
      </c>
      <c r="M6">
        <v>3</v>
      </c>
    </row>
    <row r="7" spans="1:13" x14ac:dyDescent="0.3">
      <c r="A7" s="44" t="s">
        <v>16</v>
      </c>
      <c r="B7" s="44" t="s">
        <v>509</v>
      </c>
      <c r="C7" s="44" t="s">
        <v>508</v>
      </c>
      <c r="D7" s="183" t="s">
        <v>510</v>
      </c>
      <c r="E7" s="44" t="s">
        <v>509</v>
      </c>
      <c r="F7" s="44" t="s">
        <v>508</v>
      </c>
      <c r="G7" s="44" t="s">
        <v>510</v>
      </c>
      <c r="L7">
        <v>2</v>
      </c>
      <c r="M7">
        <v>9</v>
      </c>
    </row>
    <row r="8" spans="1:13" x14ac:dyDescent="0.3">
      <c r="A8" s="186">
        <v>1</v>
      </c>
      <c r="B8" s="187">
        <f>VLOOKUP($B$1&amp;$B$2&amp;A8,'Regular Season Data'!A:O,9,FALSE)</f>
        <v>96</v>
      </c>
      <c r="C8" s="187">
        <f>VLOOKUP($B$1&amp;$B$2&amp;A8,'Regular Season Data'!A:P,16,FALSE)</f>
        <v>104</v>
      </c>
      <c r="D8" s="188" t="str">
        <f>IF(B8&gt;C8,"W","L")</f>
        <v>L</v>
      </c>
      <c r="E8" s="187">
        <f>VLOOKUP($B$1&amp;$F$2&amp;A8,'Regular Season Data'!A:O,9,FALSE)</f>
        <v>102</v>
      </c>
      <c r="F8" s="187">
        <f>VLOOKUP($B$1&amp;$F$2&amp;A8,'Regular Season Data'!A:P,16,FALSE)</f>
        <v>118</v>
      </c>
      <c r="G8" s="187" t="str">
        <f>IF(E8&gt;F8,"W","L")</f>
        <v>L</v>
      </c>
      <c r="L8">
        <v>3</v>
      </c>
      <c r="M8">
        <v>1</v>
      </c>
    </row>
    <row r="9" spans="1:13" x14ac:dyDescent="0.3">
      <c r="A9" s="189">
        <v>2</v>
      </c>
      <c r="B9" s="190">
        <f>VLOOKUP($B$1&amp;$B$2&amp;A9,'Regular Season Data'!A:O,9,FALSE)</f>
        <v>78</v>
      </c>
      <c r="C9" s="190">
        <f>VLOOKUP($B$1&amp;$B$2&amp;A9,'Regular Season Data'!A:P,16,FALSE)</f>
        <v>97</v>
      </c>
      <c r="D9" s="191" t="str">
        <f t="shared" ref="D9:D21" si="0">IF(B9&gt;C9,"W","L")</f>
        <v>L</v>
      </c>
      <c r="E9" s="190">
        <f>VLOOKUP($B$1&amp;$F$2&amp;A9,'Regular Season Data'!A:O,9,FALSE)</f>
        <v>97</v>
      </c>
      <c r="F9" s="190">
        <f>VLOOKUP($B$1&amp;$F$2&amp;A9,'Regular Season Data'!A:P,16,FALSE)</f>
        <v>78</v>
      </c>
      <c r="G9" s="190" t="str">
        <f t="shared" ref="G9:G21" si="1">IF(E9&gt;F9,"W","L")</f>
        <v>W</v>
      </c>
      <c r="L9">
        <v>4</v>
      </c>
      <c r="M9">
        <v>2</v>
      </c>
    </row>
    <row r="10" spans="1:13" x14ac:dyDescent="0.3">
      <c r="A10" s="189">
        <v>3</v>
      </c>
      <c r="B10" s="190">
        <f>VLOOKUP($B$1&amp;$B$2&amp;A10,'Regular Season Data'!A:O,9,FALSE)</f>
        <v>111</v>
      </c>
      <c r="C10" s="190">
        <f>VLOOKUP($B$1&amp;$B$2&amp;A10,'Regular Season Data'!A:P,16,FALSE)</f>
        <v>107</v>
      </c>
      <c r="D10" s="191" t="str">
        <f t="shared" si="0"/>
        <v>W</v>
      </c>
      <c r="E10" s="190">
        <f>VLOOKUP($B$1&amp;$F$2&amp;A10,'Regular Season Data'!A:O,9,FALSE)</f>
        <v>118</v>
      </c>
      <c r="F10" s="190">
        <f>VLOOKUP($B$1&amp;$F$2&amp;A10,'Regular Season Data'!A:P,16,FALSE)</f>
        <v>118.1</v>
      </c>
      <c r="G10" s="190" t="str">
        <f t="shared" si="1"/>
        <v>L</v>
      </c>
      <c r="L10">
        <v>5</v>
      </c>
      <c r="M10">
        <v>12</v>
      </c>
    </row>
    <row r="11" spans="1:13" x14ac:dyDescent="0.3">
      <c r="A11" s="189">
        <v>4</v>
      </c>
      <c r="B11" s="190">
        <f>VLOOKUP($B$1&amp;$B$2&amp;A11,'Regular Season Data'!A:O,9,FALSE)</f>
        <v>113</v>
      </c>
      <c r="C11" s="190">
        <f>VLOOKUP($B$1&amp;$B$2&amp;A11,'Regular Season Data'!A:P,16,FALSE)</f>
        <v>115</v>
      </c>
      <c r="D11" s="191" t="str">
        <f t="shared" si="0"/>
        <v>L</v>
      </c>
      <c r="E11" s="190">
        <f>VLOOKUP($B$1&amp;$F$2&amp;A11,'Regular Season Data'!A:O,9,FALSE)</f>
        <v>171</v>
      </c>
      <c r="F11" s="190">
        <f>VLOOKUP($B$1&amp;$F$2&amp;A11,'Regular Season Data'!A:P,16,FALSE)</f>
        <v>99</v>
      </c>
      <c r="G11" s="190" t="str">
        <f t="shared" si="1"/>
        <v>W</v>
      </c>
      <c r="L11">
        <v>6</v>
      </c>
      <c r="M11">
        <v>8</v>
      </c>
    </row>
    <row r="12" spans="1:13" x14ac:dyDescent="0.3">
      <c r="A12" s="189">
        <v>5</v>
      </c>
      <c r="B12" s="190">
        <f>VLOOKUP($B$1&amp;$B$2&amp;A12,'Regular Season Data'!A:O,9,FALSE)</f>
        <v>106</v>
      </c>
      <c r="C12" s="190">
        <f>VLOOKUP($B$1&amp;$B$2&amp;A12,'Regular Season Data'!A:P,16,FALSE)</f>
        <v>112</v>
      </c>
      <c r="D12" s="191" t="str">
        <f t="shared" si="0"/>
        <v>L</v>
      </c>
      <c r="E12" s="190">
        <f>VLOOKUP($B$1&amp;$F$2&amp;A12,'Regular Season Data'!A:O,9,FALSE)</f>
        <v>98</v>
      </c>
      <c r="F12" s="190">
        <f>VLOOKUP($B$1&amp;$F$2&amp;A12,'Regular Season Data'!A:P,16,FALSE)</f>
        <v>100</v>
      </c>
      <c r="G12" s="190" t="str">
        <f t="shared" si="1"/>
        <v>L</v>
      </c>
      <c r="L12">
        <v>7</v>
      </c>
      <c r="M12">
        <v>6</v>
      </c>
    </row>
    <row r="13" spans="1:13" x14ac:dyDescent="0.3">
      <c r="A13" s="189">
        <v>6</v>
      </c>
      <c r="B13" s="190">
        <f>VLOOKUP($B$1&amp;$B$2&amp;A13,'Regular Season Data'!A:O,9,FALSE)</f>
        <v>54</v>
      </c>
      <c r="C13" s="190">
        <f>VLOOKUP($B$1&amp;$B$2&amp;A13,'Regular Season Data'!A:P,16,FALSE)</f>
        <v>101</v>
      </c>
      <c r="D13" s="191" t="str">
        <f t="shared" si="0"/>
        <v>L</v>
      </c>
      <c r="E13" s="190">
        <f>VLOOKUP($B$1&amp;$F$2&amp;A13,'Regular Season Data'!A:O,9,FALSE)</f>
        <v>138</v>
      </c>
      <c r="F13" s="190">
        <f>VLOOKUP($B$1&amp;$F$2&amp;A13,'Regular Season Data'!A:P,16,FALSE)</f>
        <v>81</v>
      </c>
      <c r="G13" s="190" t="str">
        <f t="shared" si="1"/>
        <v>W</v>
      </c>
      <c r="L13">
        <v>8</v>
      </c>
      <c r="M13">
        <v>4</v>
      </c>
    </row>
    <row r="14" spans="1:13" x14ac:dyDescent="0.3">
      <c r="A14" s="189">
        <v>7</v>
      </c>
      <c r="B14" s="190">
        <f>VLOOKUP($B$1&amp;$B$2&amp;A14,'Regular Season Data'!A:O,9,FALSE)</f>
        <v>104</v>
      </c>
      <c r="C14" s="190">
        <f>VLOOKUP($B$1&amp;$B$2&amp;A14,'Regular Season Data'!A:P,16,FALSE)</f>
        <v>76</v>
      </c>
      <c r="D14" s="191" t="str">
        <f t="shared" si="0"/>
        <v>W</v>
      </c>
      <c r="E14" s="190">
        <f>VLOOKUP($B$1&amp;$F$2&amp;A14,'Regular Season Data'!A:O,9,FALSE)</f>
        <v>134</v>
      </c>
      <c r="F14" s="190">
        <f>VLOOKUP($B$1&amp;$F$2&amp;A14,'Regular Season Data'!A:P,16,FALSE)</f>
        <v>85</v>
      </c>
      <c r="G14" s="190" t="str">
        <f t="shared" si="1"/>
        <v>W</v>
      </c>
      <c r="L14">
        <v>9</v>
      </c>
      <c r="M14">
        <v>11</v>
      </c>
    </row>
    <row r="15" spans="1:13" x14ac:dyDescent="0.3">
      <c r="A15" s="189">
        <v>8</v>
      </c>
      <c r="B15" s="190">
        <f>VLOOKUP($B$1&amp;$B$2&amp;A15,'Regular Season Data'!A:O,9,FALSE)</f>
        <v>111</v>
      </c>
      <c r="C15" s="190">
        <f>VLOOKUP($B$1&amp;$B$2&amp;A15,'Regular Season Data'!A:P,16,FALSE)</f>
        <v>117</v>
      </c>
      <c r="D15" s="191" t="str">
        <f t="shared" si="0"/>
        <v>L</v>
      </c>
      <c r="E15" s="190">
        <f>VLOOKUP($B$1&amp;$F$2&amp;A15,'Regular Season Data'!A:O,9,FALSE)</f>
        <v>121</v>
      </c>
      <c r="F15" s="190">
        <f>VLOOKUP($B$1&amp;$F$2&amp;A15,'Regular Season Data'!A:P,16,FALSE)</f>
        <v>101</v>
      </c>
      <c r="G15" s="190" t="str">
        <f t="shared" si="1"/>
        <v>W</v>
      </c>
      <c r="L15">
        <v>10</v>
      </c>
      <c r="M15">
        <v>11</v>
      </c>
    </row>
    <row r="16" spans="1:13" x14ac:dyDescent="0.3">
      <c r="A16" s="189">
        <v>9</v>
      </c>
      <c r="B16" s="190">
        <f>VLOOKUP($B$1&amp;$B$2&amp;A16,'Regular Season Data'!A:O,9,FALSE)</f>
        <v>127</v>
      </c>
      <c r="C16" s="190">
        <f>VLOOKUP($B$1&amp;$B$2&amp;A16,'Regular Season Data'!A:P,16,FALSE)</f>
        <v>123</v>
      </c>
      <c r="D16" s="191" t="str">
        <f t="shared" si="0"/>
        <v>W</v>
      </c>
      <c r="E16" s="190">
        <f>VLOOKUP($B$1&amp;$F$2&amp;A16,'Regular Season Data'!A:O,9,FALSE)</f>
        <v>129</v>
      </c>
      <c r="F16" s="190">
        <f>VLOOKUP($B$1&amp;$F$2&amp;A16,'Regular Season Data'!A:P,16,FALSE)</f>
        <v>127</v>
      </c>
      <c r="G16" s="190" t="str">
        <f t="shared" si="1"/>
        <v>W</v>
      </c>
      <c r="L16">
        <v>11</v>
      </c>
      <c r="M16">
        <v>8</v>
      </c>
    </row>
    <row r="17" spans="1:13" x14ac:dyDescent="0.3">
      <c r="A17" s="189">
        <v>10</v>
      </c>
      <c r="B17" s="190">
        <f>VLOOKUP($B$1&amp;$B$2&amp;A17,'Regular Season Data'!A:O,9,FALSE)</f>
        <v>55</v>
      </c>
      <c r="C17" s="190">
        <f>VLOOKUP($B$1&amp;$B$2&amp;A17,'Regular Season Data'!A:P,16,FALSE)</f>
        <v>99</v>
      </c>
      <c r="D17" s="191" t="str">
        <f t="shared" si="0"/>
        <v>L</v>
      </c>
      <c r="E17" s="190">
        <f>VLOOKUP($B$1&amp;$F$2&amp;A17,'Regular Season Data'!A:O,9,FALSE)</f>
        <v>100</v>
      </c>
      <c r="F17" s="190">
        <f>VLOOKUP($B$1&amp;$F$2&amp;A17,'Regular Season Data'!A:P,16,FALSE)</f>
        <v>91</v>
      </c>
      <c r="G17" s="190" t="str">
        <f t="shared" si="1"/>
        <v>W</v>
      </c>
      <c r="L17">
        <v>12</v>
      </c>
      <c r="M17">
        <v>10</v>
      </c>
    </row>
    <row r="18" spans="1:13" x14ac:dyDescent="0.3">
      <c r="A18" s="189">
        <v>11</v>
      </c>
      <c r="B18" s="190">
        <f>VLOOKUP($B$1&amp;$B$2&amp;A18,'Regular Season Data'!A:O,9,FALSE)</f>
        <v>65</v>
      </c>
      <c r="C18" s="190">
        <f>VLOOKUP($B$1&amp;$B$2&amp;A18,'Regular Season Data'!A:P,16,FALSE)</f>
        <v>137</v>
      </c>
      <c r="D18" s="191" t="str">
        <f t="shared" si="0"/>
        <v>L</v>
      </c>
      <c r="E18" s="190">
        <f>VLOOKUP($B$1&amp;$F$2&amp;A18,'Regular Season Data'!A:O,9,FALSE)</f>
        <v>126</v>
      </c>
      <c r="F18" s="190">
        <f>VLOOKUP($B$1&amp;$F$2&amp;A18,'Regular Season Data'!A:P,16,FALSE)</f>
        <v>90</v>
      </c>
      <c r="G18" s="190" t="str">
        <f t="shared" si="1"/>
        <v>W</v>
      </c>
      <c r="L18">
        <v>13</v>
      </c>
      <c r="M18">
        <v>9</v>
      </c>
    </row>
    <row r="19" spans="1:13" x14ac:dyDescent="0.3">
      <c r="A19" s="189">
        <v>12</v>
      </c>
      <c r="B19" s="190">
        <f>VLOOKUP($B$1&amp;$B$2&amp;A19,'Regular Season Data'!A:O,9,FALSE)</f>
        <v>128</v>
      </c>
      <c r="C19" s="190">
        <f>VLOOKUP($B$1&amp;$B$2&amp;A19,'Regular Season Data'!A:P,16,FALSE)</f>
        <v>106</v>
      </c>
      <c r="D19" s="191" t="str">
        <f t="shared" si="0"/>
        <v>W</v>
      </c>
      <c r="E19" s="190">
        <f>VLOOKUP($B$1&amp;$F$2&amp;A19,'Regular Season Data'!A:O,9,FALSE)</f>
        <v>136</v>
      </c>
      <c r="F19" s="190">
        <f>VLOOKUP($B$1&amp;$F$2&amp;A19,'Regular Season Data'!A:P,16,FALSE)</f>
        <v>101</v>
      </c>
      <c r="G19" s="190" t="str">
        <f t="shared" si="1"/>
        <v>W</v>
      </c>
      <c r="L19">
        <v>14</v>
      </c>
      <c r="M19">
        <v>7</v>
      </c>
    </row>
    <row r="20" spans="1:13" x14ac:dyDescent="0.3">
      <c r="A20" s="189">
        <v>13</v>
      </c>
      <c r="B20" s="190">
        <f>VLOOKUP($B$1&amp;$B$2&amp;A20,'Regular Season Data'!A:O,9,FALSE)</f>
        <v>117</v>
      </c>
      <c r="C20" s="190">
        <f>VLOOKUP($B$1&amp;$B$2&amp;A20,'Regular Season Data'!A:P,16,FALSE)</f>
        <v>81</v>
      </c>
      <c r="D20" s="191" t="str">
        <f t="shared" si="0"/>
        <v>W</v>
      </c>
      <c r="E20" s="190">
        <f>VLOOKUP($B$1&amp;$F$2&amp;A20,'Regular Season Data'!A:O,9,FALSE)</f>
        <v>82</v>
      </c>
      <c r="F20" s="190">
        <f>VLOOKUP($B$1&amp;$F$2&amp;A20,'Regular Season Data'!A:P,16,FALSE)</f>
        <v>109</v>
      </c>
      <c r="G20" s="190" t="str">
        <f t="shared" si="1"/>
        <v>L</v>
      </c>
      <c r="M20">
        <f>AVERAGE(M6:M19)</f>
        <v>7.2142857142857144</v>
      </c>
    </row>
    <row r="21" spans="1:13" x14ac:dyDescent="0.3">
      <c r="A21" s="192">
        <v>14</v>
      </c>
      <c r="B21" s="193">
        <f>VLOOKUP($B$1&amp;$B$2&amp;A21,'Regular Season Data'!A:O,9,FALSE)</f>
        <v>58</v>
      </c>
      <c r="C21" s="193">
        <f>VLOOKUP($B$1&amp;$B$2&amp;A21,'Regular Season Data'!A:P,16,FALSE)</f>
        <v>110</v>
      </c>
      <c r="D21" s="194" t="str">
        <f t="shared" si="0"/>
        <v>L</v>
      </c>
      <c r="E21" s="193">
        <f>VLOOKUP($B$1&amp;$F$2&amp;A21,'Regular Season Data'!A:O,9,FALSE)</f>
        <v>97</v>
      </c>
      <c r="F21" s="193">
        <f>VLOOKUP($B$1&amp;$F$2&amp;A21,'Regular Season Data'!A:P,16,FALSE)</f>
        <v>90</v>
      </c>
      <c r="G21" s="193" t="str">
        <f t="shared" si="1"/>
        <v>W</v>
      </c>
    </row>
    <row r="22" spans="1:13" x14ac:dyDescent="0.3">
      <c r="A22" s="20"/>
      <c r="B22" s="21"/>
      <c r="C22" s="21"/>
      <c r="D22" s="184"/>
      <c r="E22" s="21"/>
      <c r="F22" s="21"/>
      <c r="G22" s="21"/>
    </row>
    <row r="23" spans="1:13" x14ac:dyDescent="0.3">
      <c r="A23" s="85" t="s">
        <v>511</v>
      </c>
      <c r="B23" s="21"/>
      <c r="C23" s="21"/>
      <c r="D23" s="184"/>
      <c r="E23" s="21"/>
      <c r="F23" s="21"/>
      <c r="G23" s="21"/>
    </row>
    <row r="24" spans="1:13" x14ac:dyDescent="0.3">
      <c r="A24" s="44" t="str">
        <f t="shared" ref="A24:B38" si="2">A7</f>
        <v>Week</v>
      </c>
      <c r="B24" s="44" t="str">
        <f t="shared" si="2"/>
        <v>Score</v>
      </c>
      <c r="C24" s="44" t="str">
        <f>F7</f>
        <v>Opp Score</v>
      </c>
      <c r="D24" s="185" t="str">
        <f>D7</f>
        <v>Result</v>
      </c>
      <c r="E24" s="44" t="str">
        <f>E7</f>
        <v>Score</v>
      </c>
      <c r="F24" s="44" t="str">
        <f>C7</f>
        <v>Opp Score</v>
      </c>
      <c r="G24" s="44" t="str">
        <f>G7</f>
        <v>Result</v>
      </c>
    </row>
    <row r="25" spans="1:13" x14ac:dyDescent="0.3">
      <c r="A25" s="186">
        <f t="shared" si="2"/>
        <v>1</v>
      </c>
      <c r="B25" s="187">
        <f t="shared" si="2"/>
        <v>96</v>
      </c>
      <c r="C25" s="187">
        <f t="shared" ref="C25:C38" si="3">F8</f>
        <v>118</v>
      </c>
      <c r="D25" s="188" t="str">
        <f>IF(B25&gt;C25,"W","L")</f>
        <v>L</v>
      </c>
      <c r="E25" s="187">
        <f t="shared" ref="E25:E38" si="4">E8</f>
        <v>102</v>
      </c>
      <c r="F25" s="187">
        <f t="shared" ref="F25:F38" si="5">C8</f>
        <v>104</v>
      </c>
      <c r="G25" s="187" t="str">
        <f>IF(E25&gt;F25,"W","L")</f>
        <v>L</v>
      </c>
    </row>
    <row r="26" spans="1:13" x14ac:dyDescent="0.3">
      <c r="A26" s="189">
        <f t="shared" si="2"/>
        <v>2</v>
      </c>
      <c r="B26" s="190">
        <f t="shared" si="2"/>
        <v>78</v>
      </c>
      <c r="C26" s="190">
        <f t="shared" si="3"/>
        <v>78</v>
      </c>
      <c r="D26" s="191" t="str">
        <f t="shared" ref="D26:D38" si="6">IF(B26&gt;C26,"W","L")</f>
        <v>L</v>
      </c>
      <c r="E26" s="190">
        <f t="shared" si="4"/>
        <v>97</v>
      </c>
      <c r="F26" s="190">
        <f t="shared" si="5"/>
        <v>97</v>
      </c>
      <c r="G26" s="190" t="str">
        <f t="shared" ref="G26:G38" si="7">IF(E26&gt;F26,"W","L")</f>
        <v>L</v>
      </c>
    </row>
    <row r="27" spans="1:13" x14ac:dyDescent="0.3">
      <c r="A27" s="189">
        <f t="shared" si="2"/>
        <v>3</v>
      </c>
      <c r="B27" s="190">
        <f t="shared" si="2"/>
        <v>111</v>
      </c>
      <c r="C27" s="190">
        <f t="shared" si="3"/>
        <v>118.1</v>
      </c>
      <c r="D27" s="191" t="str">
        <f t="shared" si="6"/>
        <v>L</v>
      </c>
      <c r="E27" s="190">
        <f t="shared" si="4"/>
        <v>118</v>
      </c>
      <c r="F27" s="190">
        <f t="shared" si="5"/>
        <v>107</v>
      </c>
      <c r="G27" s="190" t="str">
        <f t="shared" si="7"/>
        <v>W</v>
      </c>
    </row>
    <row r="28" spans="1:13" x14ac:dyDescent="0.3">
      <c r="A28" s="189">
        <f t="shared" si="2"/>
        <v>4</v>
      </c>
      <c r="B28" s="190">
        <f t="shared" si="2"/>
        <v>113</v>
      </c>
      <c r="C28" s="190">
        <f t="shared" si="3"/>
        <v>99</v>
      </c>
      <c r="D28" s="191" t="str">
        <f t="shared" si="6"/>
        <v>W</v>
      </c>
      <c r="E28" s="190">
        <f t="shared" si="4"/>
        <v>171</v>
      </c>
      <c r="F28" s="190">
        <f t="shared" si="5"/>
        <v>115</v>
      </c>
      <c r="G28" s="190" t="str">
        <f t="shared" si="7"/>
        <v>W</v>
      </c>
    </row>
    <row r="29" spans="1:13" x14ac:dyDescent="0.3">
      <c r="A29" s="189">
        <f t="shared" si="2"/>
        <v>5</v>
      </c>
      <c r="B29" s="190">
        <f t="shared" si="2"/>
        <v>106</v>
      </c>
      <c r="C29" s="190">
        <f t="shared" si="3"/>
        <v>100</v>
      </c>
      <c r="D29" s="191" t="str">
        <f t="shared" si="6"/>
        <v>W</v>
      </c>
      <c r="E29" s="190">
        <f t="shared" si="4"/>
        <v>98</v>
      </c>
      <c r="F29" s="190">
        <f t="shared" si="5"/>
        <v>112</v>
      </c>
      <c r="G29" s="190" t="str">
        <f t="shared" si="7"/>
        <v>L</v>
      </c>
    </row>
    <row r="30" spans="1:13" x14ac:dyDescent="0.3">
      <c r="A30" s="189">
        <f t="shared" si="2"/>
        <v>6</v>
      </c>
      <c r="B30" s="190">
        <f t="shared" si="2"/>
        <v>54</v>
      </c>
      <c r="C30" s="190">
        <f t="shared" si="3"/>
        <v>81</v>
      </c>
      <c r="D30" s="191" t="str">
        <f t="shared" si="6"/>
        <v>L</v>
      </c>
      <c r="E30" s="190">
        <f t="shared" si="4"/>
        <v>138</v>
      </c>
      <c r="F30" s="190">
        <f t="shared" si="5"/>
        <v>101</v>
      </c>
      <c r="G30" s="190" t="str">
        <f t="shared" si="7"/>
        <v>W</v>
      </c>
    </row>
    <row r="31" spans="1:13" x14ac:dyDescent="0.3">
      <c r="A31" s="189">
        <f t="shared" si="2"/>
        <v>7</v>
      </c>
      <c r="B31" s="190">
        <f t="shared" si="2"/>
        <v>104</v>
      </c>
      <c r="C31" s="190">
        <f t="shared" si="3"/>
        <v>85</v>
      </c>
      <c r="D31" s="191" t="str">
        <f t="shared" si="6"/>
        <v>W</v>
      </c>
      <c r="E31" s="190">
        <f t="shared" si="4"/>
        <v>134</v>
      </c>
      <c r="F31" s="190">
        <f t="shared" si="5"/>
        <v>76</v>
      </c>
      <c r="G31" s="190" t="str">
        <f t="shared" si="7"/>
        <v>W</v>
      </c>
    </row>
    <row r="32" spans="1:13" x14ac:dyDescent="0.3">
      <c r="A32" s="189">
        <f t="shared" si="2"/>
        <v>8</v>
      </c>
      <c r="B32" s="190">
        <f t="shared" si="2"/>
        <v>111</v>
      </c>
      <c r="C32" s="190">
        <f t="shared" si="3"/>
        <v>101</v>
      </c>
      <c r="D32" s="191" t="str">
        <f t="shared" si="6"/>
        <v>W</v>
      </c>
      <c r="E32" s="190">
        <f t="shared" si="4"/>
        <v>121</v>
      </c>
      <c r="F32" s="190">
        <f t="shared" si="5"/>
        <v>117</v>
      </c>
      <c r="G32" s="190" t="str">
        <f t="shared" si="7"/>
        <v>W</v>
      </c>
    </row>
    <row r="33" spans="1:7" x14ac:dyDescent="0.3">
      <c r="A33" s="189">
        <f t="shared" si="2"/>
        <v>9</v>
      </c>
      <c r="B33" s="190">
        <f t="shared" si="2"/>
        <v>127</v>
      </c>
      <c r="C33" s="190">
        <f t="shared" si="3"/>
        <v>127</v>
      </c>
      <c r="D33" s="191" t="str">
        <f t="shared" si="6"/>
        <v>L</v>
      </c>
      <c r="E33" s="190">
        <f t="shared" si="4"/>
        <v>129</v>
      </c>
      <c r="F33" s="190">
        <f t="shared" si="5"/>
        <v>123</v>
      </c>
      <c r="G33" s="190" t="str">
        <f t="shared" si="7"/>
        <v>W</v>
      </c>
    </row>
    <row r="34" spans="1:7" x14ac:dyDescent="0.3">
      <c r="A34" s="189">
        <f t="shared" si="2"/>
        <v>10</v>
      </c>
      <c r="B34" s="190">
        <f t="shared" si="2"/>
        <v>55</v>
      </c>
      <c r="C34" s="190">
        <f t="shared" si="3"/>
        <v>91</v>
      </c>
      <c r="D34" s="191" t="str">
        <f t="shared" si="6"/>
        <v>L</v>
      </c>
      <c r="E34" s="190">
        <f t="shared" si="4"/>
        <v>100</v>
      </c>
      <c r="F34" s="190">
        <f t="shared" si="5"/>
        <v>99</v>
      </c>
      <c r="G34" s="190" t="str">
        <f t="shared" si="7"/>
        <v>W</v>
      </c>
    </row>
    <row r="35" spans="1:7" x14ac:dyDescent="0.3">
      <c r="A35" s="189">
        <f t="shared" si="2"/>
        <v>11</v>
      </c>
      <c r="B35" s="190">
        <f t="shared" si="2"/>
        <v>65</v>
      </c>
      <c r="C35" s="190">
        <f t="shared" si="3"/>
        <v>90</v>
      </c>
      <c r="D35" s="191" t="str">
        <f t="shared" si="6"/>
        <v>L</v>
      </c>
      <c r="E35" s="190">
        <f t="shared" si="4"/>
        <v>126</v>
      </c>
      <c r="F35" s="190">
        <f t="shared" si="5"/>
        <v>137</v>
      </c>
      <c r="G35" s="190" t="str">
        <f t="shared" si="7"/>
        <v>L</v>
      </c>
    </row>
    <row r="36" spans="1:7" x14ac:dyDescent="0.3">
      <c r="A36" s="189">
        <f t="shared" si="2"/>
        <v>12</v>
      </c>
      <c r="B36" s="190">
        <f t="shared" si="2"/>
        <v>128</v>
      </c>
      <c r="C36" s="190">
        <f t="shared" si="3"/>
        <v>101</v>
      </c>
      <c r="D36" s="191" t="str">
        <f t="shared" si="6"/>
        <v>W</v>
      </c>
      <c r="E36" s="190">
        <f t="shared" si="4"/>
        <v>136</v>
      </c>
      <c r="F36" s="190">
        <f t="shared" si="5"/>
        <v>106</v>
      </c>
      <c r="G36" s="190" t="str">
        <f t="shared" si="7"/>
        <v>W</v>
      </c>
    </row>
    <row r="37" spans="1:7" x14ac:dyDescent="0.3">
      <c r="A37" s="189">
        <f t="shared" si="2"/>
        <v>13</v>
      </c>
      <c r="B37" s="190">
        <f t="shared" si="2"/>
        <v>117</v>
      </c>
      <c r="C37" s="190">
        <f t="shared" si="3"/>
        <v>109</v>
      </c>
      <c r="D37" s="191" t="str">
        <f t="shared" si="6"/>
        <v>W</v>
      </c>
      <c r="E37" s="190">
        <f t="shared" si="4"/>
        <v>82</v>
      </c>
      <c r="F37" s="190">
        <f t="shared" si="5"/>
        <v>81</v>
      </c>
      <c r="G37" s="190" t="str">
        <f t="shared" si="7"/>
        <v>W</v>
      </c>
    </row>
    <row r="38" spans="1:7" x14ac:dyDescent="0.3">
      <c r="A38" s="192">
        <f t="shared" si="2"/>
        <v>14</v>
      </c>
      <c r="B38" s="193">
        <f t="shared" si="2"/>
        <v>58</v>
      </c>
      <c r="C38" s="193">
        <f t="shared" si="3"/>
        <v>90</v>
      </c>
      <c r="D38" s="194" t="str">
        <f t="shared" si="6"/>
        <v>L</v>
      </c>
      <c r="E38" s="193">
        <f t="shared" si="4"/>
        <v>97</v>
      </c>
      <c r="F38" s="193">
        <f t="shared" si="5"/>
        <v>110</v>
      </c>
      <c r="G38" s="193" t="str">
        <f t="shared" si="7"/>
        <v>L</v>
      </c>
    </row>
  </sheetData>
  <mergeCells count="2">
    <mergeCell ref="B6:D6"/>
    <mergeCell ref="E6:G6"/>
  </mergeCells>
  <phoneticPr fontId="12" type="noConversion"/>
  <dataValidations count="2">
    <dataValidation type="list" allowBlank="1" showInputMessage="1" showErrorMessage="1" sqref="F2 B2" xr:uid="{AE246042-3F0B-46B0-80FD-DCBA637990F7}">
      <formula1>owners</formula1>
    </dataValidation>
    <dataValidation type="list" allowBlank="1" showInputMessage="1" showErrorMessage="1" sqref="B1" xr:uid="{E4344864-2ACF-49F7-816A-33C07289B419}">
      <formula1>years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CB32-DC1D-428E-8A58-152B7F9B8CB8}">
  <sheetPr filterMode="1"/>
  <dimension ref="A1:P2093"/>
  <sheetViews>
    <sheetView zoomScale="90" workbookViewId="0">
      <pane ySplit="1" topLeftCell="A43" activePane="bottomLeft" state="frozen"/>
      <selection pane="bottomLeft" activeCell="K253" sqref="K253"/>
    </sheetView>
  </sheetViews>
  <sheetFormatPr defaultRowHeight="14.4" x14ac:dyDescent="0.3"/>
  <cols>
    <col min="1" max="1" width="14.33203125" bestFit="1" customWidth="1"/>
    <col min="14" max="14" width="9.109375" style="19"/>
  </cols>
  <sheetData>
    <row r="1" spans="1:16" x14ac:dyDescent="0.3">
      <c r="A1" s="13" t="s">
        <v>13</v>
      </c>
      <c r="B1" s="13" t="s">
        <v>11</v>
      </c>
      <c r="C1" s="13" t="s">
        <v>448</v>
      </c>
      <c r="D1" s="13" t="s">
        <v>14</v>
      </c>
      <c r="E1" s="13" t="s">
        <v>21</v>
      </c>
      <c r="F1" s="13" t="s">
        <v>15</v>
      </c>
      <c r="G1" s="13" t="s">
        <v>16</v>
      </c>
      <c r="H1" s="13" t="s">
        <v>17</v>
      </c>
      <c r="I1" s="13" t="s">
        <v>18</v>
      </c>
      <c r="J1" s="13" t="s">
        <v>19</v>
      </c>
      <c r="K1" s="13" t="s">
        <v>20</v>
      </c>
      <c r="L1" s="13" t="s">
        <v>246</v>
      </c>
      <c r="M1" s="13" t="s">
        <v>62</v>
      </c>
      <c r="N1" s="13" t="s">
        <v>67</v>
      </c>
      <c r="O1" s="13" t="s">
        <v>503</v>
      </c>
      <c r="P1" s="13" t="s">
        <v>508</v>
      </c>
    </row>
    <row r="2" spans="1:16" hidden="1" x14ac:dyDescent="0.3">
      <c r="A2" t="str">
        <f>F2&amp;D2&amp;G2</f>
        <v>2013Mark1</v>
      </c>
      <c r="B2">
        <f t="shared" ref="B2:B65" si="0">RANK(J2,diff)</f>
        <v>62</v>
      </c>
      <c r="C2">
        <f t="shared" ref="C2:C65" si="1">RANK(I2,points)</f>
        <v>64</v>
      </c>
      <c r="D2" t="s">
        <v>22</v>
      </c>
      <c r="E2" t="str">
        <f>D3</f>
        <v>Michael</v>
      </c>
      <c r="F2">
        <v>2013</v>
      </c>
      <c r="G2">
        <v>1</v>
      </c>
      <c r="H2">
        <v>1.1000000000000001</v>
      </c>
      <c r="I2" s="35">
        <v>138</v>
      </c>
      <c r="J2">
        <f>I2-I3</f>
        <v>58</v>
      </c>
      <c r="K2" t="str">
        <f t="shared" ref="K2:K65" si="2">IF(J2&gt;0,"W",IF(J2&lt;0,"L","T"))</f>
        <v>W</v>
      </c>
      <c r="L2" t="str">
        <f t="shared" ref="L2:L65" si="3">D2</f>
        <v>Mark</v>
      </c>
      <c r="M2" t="str">
        <f>VLOOKUP(L2,References!$A$2:$B$16,2,FALSE)</f>
        <v>AKCOVA</v>
      </c>
      <c r="N2" s="19" t="str">
        <f>IF(M2=M3,"N","Y")</f>
        <v>N</v>
      </c>
      <c r="O2">
        <f>SUM(I2:I3)</f>
        <v>218</v>
      </c>
      <c r="P2">
        <f>I2-J2</f>
        <v>80</v>
      </c>
    </row>
    <row r="3" spans="1:16" hidden="1" x14ac:dyDescent="0.3">
      <c r="A3" t="str">
        <f t="shared" ref="A3:A66" si="4">F3&amp;D3&amp;G3</f>
        <v>2013Michael1</v>
      </c>
      <c r="B3">
        <f t="shared" si="0"/>
        <v>2024</v>
      </c>
      <c r="C3">
        <f t="shared" si="1"/>
        <v>1406</v>
      </c>
      <c r="D3" t="s">
        <v>23</v>
      </c>
      <c r="E3" t="str">
        <f>D2</f>
        <v>Mark</v>
      </c>
      <c r="F3">
        <v>2013</v>
      </c>
      <c r="G3">
        <v>1</v>
      </c>
      <c r="H3">
        <v>1.2</v>
      </c>
      <c r="I3">
        <v>80</v>
      </c>
      <c r="J3">
        <f>I3-I2</f>
        <v>-58</v>
      </c>
      <c r="K3" t="str">
        <f t="shared" si="2"/>
        <v>L</v>
      </c>
      <c r="L3" t="str">
        <f t="shared" si="3"/>
        <v>Michael</v>
      </c>
      <c r="M3" t="str">
        <f>VLOOKUP(L3,References!$A$2:$B$16,2,FALSE)</f>
        <v>AKCOVA</v>
      </c>
      <c r="N3" s="19" t="str">
        <f>IF(M3=M2,"N","Y")</f>
        <v>N</v>
      </c>
      <c r="O3">
        <f>SUM(I2:I3)</f>
        <v>218</v>
      </c>
      <c r="P3">
        <f t="shared" ref="P3:P66" si="5">I3-J3</f>
        <v>138</v>
      </c>
    </row>
    <row r="4" spans="1:16" hidden="1" x14ac:dyDescent="0.3">
      <c r="A4" t="str">
        <f t="shared" si="4"/>
        <v>2013Watty1</v>
      </c>
      <c r="B4">
        <f t="shared" si="0"/>
        <v>1145</v>
      </c>
      <c r="C4">
        <f t="shared" si="1"/>
        <v>1282</v>
      </c>
      <c r="D4" t="s">
        <v>24</v>
      </c>
      <c r="E4" t="str">
        <f>D5</f>
        <v>BR</v>
      </c>
      <c r="F4">
        <v>2013</v>
      </c>
      <c r="G4">
        <v>1</v>
      </c>
      <c r="H4">
        <v>2.1</v>
      </c>
      <c r="I4">
        <v>83</v>
      </c>
      <c r="J4">
        <f>I4-I5</f>
        <v>-4</v>
      </c>
      <c r="K4" t="str">
        <f t="shared" si="2"/>
        <v>L</v>
      </c>
      <c r="L4" t="str">
        <f t="shared" si="3"/>
        <v>Watty</v>
      </c>
      <c r="M4" t="str">
        <f>VLOOKUP(L4,References!$A$2:$B$16,2,FALSE)</f>
        <v>AKCOVA</v>
      </c>
      <c r="N4" s="19" t="str">
        <f>IF(M4=M5,"N","Y")</f>
        <v>N</v>
      </c>
      <c r="O4">
        <f>SUM(I4:I5)</f>
        <v>170</v>
      </c>
      <c r="P4">
        <f t="shared" si="5"/>
        <v>87</v>
      </c>
    </row>
    <row r="5" spans="1:16" hidden="1" x14ac:dyDescent="0.3">
      <c r="A5" t="str">
        <f t="shared" si="4"/>
        <v>2013BR1</v>
      </c>
      <c r="B5">
        <f t="shared" si="0"/>
        <v>917</v>
      </c>
      <c r="C5">
        <f t="shared" si="1"/>
        <v>1143</v>
      </c>
      <c r="D5" t="s">
        <v>25</v>
      </c>
      <c r="E5" t="str">
        <f>D4</f>
        <v>Watty</v>
      </c>
      <c r="F5">
        <v>2013</v>
      </c>
      <c r="G5">
        <v>1</v>
      </c>
      <c r="H5">
        <v>2.2000000000000002</v>
      </c>
      <c r="I5">
        <v>87</v>
      </c>
      <c r="J5">
        <f>I5-I4</f>
        <v>4</v>
      </c>
      <c r="K5" t="str">
        <f t="shared" si="2"/>
        <v>W</v>
      </c>
      <c r="L5" t="str">
        <f t="shared" si="3"/>
        <v>BR</v>
      </c>
      <c r="M5" t="str">
        <f>VLOOKUP(L5,References!$A$2:$B$16,2,FALSE)</f>
        <v>AKCOVA</v>
      </c>
      <c r="N5" s="19" t="str">
        <f>IF(M5=M4,"N","Y")</f>
        <v>N</v>
      </c>
      <c r="O5">
        <f>SUM(I4:I5)</f>
        <v>170</v>
      </c>
      <c r="P5">
        <f t="shared" si="5"/>
        <v>83</v>
      </c>
    </row>
    <row r="6" spans="1:16" hidden="1" x14ac:dyDescent="0.3">
      <c r="A6" t="str">
        <f t="shared" si="4"/>
        <v>2013Emily1</v>
      </c>
      <c r="B6">
        <f t="shared" si="0"/>
        <v>1869</v>
      </c>
      <c r="C6">
        <f t="shared" si="1"/>
        <v>412</v>
      </c>
      <c r="D6" t="s">
        <v>43</v>
      </c>
      <c r="E6" t="str">
        <f>D7</f>
        <v>Brian</v>
      </c>
      <c r="F6">
        <v>2013</v>
      </c>
      <c r="G6">
        <v>1</v>
      </c>
      <c r="H6">
        <v>3.1</v>
      </c>
      <c r="I6">
        <v>110</v>
      </c>
      <c r="J6">
        <f>I6-I7</f>
        <v>-38</v>
      </c>
      <c r="K6" t="str">
        <f t="shared" si="2"/>
        <v>L</v>
      </c>
      <c r="L6" t="str">
        <f t="shared" si="3"/>
        <v>Emily</v>
      </c>
      <c r="M6" t="str">
        <f>VLOOKUP(L6,References!$A$2:$B$16,2,FALSE)</f>
        <v>TEXAROK</v>
      </c>
      <c r="N6" s="19" t="str">
        <f>IF(M6=M7,"N","Y")</f>
        <v>N</v>
      </c>
      <c r="O6">
        <f>SUM(I6:I7)</f>
        <v>258</v>
      </c>
      <c r="P6">
        <f t="shared" si="5"/>
        <v>148</v>
      </c>
    </row>
    <row r="7" spans="1:16" hidden="1" x14ac:dyDescent="0.3">
      <c r="A7" t="str">
        <f t="shared" si="4"/>
        <v>2013Brian1</v>
      </c>
      <c r="B7">
        <f t="shared" si="0"/>
        <v>210</v>
      </c>
      <c r="C7">
        <f t="shared" si="1"/>
        <v>31</v>
      </c>
      <c r="D7" t="s">
        <v>26</v>
      </c>
      <c r="E7" t="str">
        <f>D6</f>
        <v>Emily</v>
      </c>
      <c r="F7">
        <v>2013</v>
      </c>
      <c r="G7">
        <v>1</v>
      </c>
      <c r="H7">
        <v>3.2</v>
      </c>
      <c r="I7" s="35">
        <v>148</v>
      </c>
      <c r="J7">
        <f>I7-I6</f>
        <v>38</v>
      </c>
      <c r="K7" t="str">
        <f t="shared" si="2"/>
        <v>W</v>
      </c>
      <c r="L7" t="str">
        <f t="shared" si="3"/>
        <v>Brian</v>
      </c>
      <c r="M7" t="str">
        <f>VLOOKUP(L7,References!$A$2:$B$16,2,FALSE)</f>
        <v>TEXAROK</v>
      </c>
      <c r="N7" s="19" t="str">
        <f>IF(M7=M6,"N","Y")</f>
        <v>N</v>
      </c>
      <c r="O7">
        <f>SUM(I6:I7)</f>
        <v>258</v>
      </c>
      <c r="P7">
        <f t="shared" si="5"/>
        <v>110</v>
      </c>
    </row>
    <row r="8" spans="1:16" hidden="1" x14ac:dyDescent="0.3">
      <c r="A8" t="str">
        <f t="shared" si="4"/>
        <v>2013Abby1</v>
      </c>
      <c r="B8">
        <f t="shared" si="0"/>
        <v>150</v>
      </c>
      <c r="C8">
        <f t="shared" si="1"/>
        <v>78</v>
      </c>
      <c r="D8" t="s">
        <v>27</v>
      </c>
      <c r="E8" t="str">
        <f>D9</f>
        <v>Russell</v>
      </c>
      <c r="F8">
        <v>2013</v>
      </c>
      <c r="G8">
        <v>1</v>
      </c>
      <c r="H8">
        <v>4.0999999999999996</v>
      </c>
      <c r="I8">
        <v>135</v>
      </c>
      <c r="J8">
        <f>I8-I9</f>
        <v>44</v>
      </c>
      <c r="K8" t="str">
        <f t="shared" si="2"/>
        <v>W</v>
      </c>
      <c r="L8" t="str">
        <f t="shared" si="3"/>
        <v>Abby</v>
      </c>
      <c r="M8" t="str">
        <f>VLOOKUP(L8,References!$A$2:$B$16,2,FALSE)</f>
        <v>AKCOVA</v>
      </c>
      <c r="N8" s="19" t="str">
        <f>IF(M8=M9,"N","Y")</f>
        <v>Y</v>
      </c>
      <c r="O8">
        <f>SUM(I8:I9)</f>
        <v>226</v>
      </c>
      <c r="P8">
        <f t="shared" si="5"/>
        <v>91</v>
      </c>
    </row>
    <row r="9" spans="1:16" hidden="1" x14ac:dyDescent="0.3">
      <c r="A9" t="str">
        <f t="shared" si="4"/>
        <v>2013Russell1</v>
      </c>
      <c r="B9">
        <f t="shared" si="0"/>
        <v>1933</v>
      </c>
      <c r="C9">
        <f t="shared" si="1"/>
        <v>992</v>
      </c>
      <c r="D9" t="s">
        <v>28</v>
      </c>
      <c r="E9" t="str">
        <f>D8</f>
        <v>Abby</v>
      </c>
      <c r="F9">
        <v>2013</v>
      </c>
      <c r="G9">
        <v>1</v>
      </c>
      <c r="H9">
        <v>4.2</v>
      </c>
      <c r="I9">
        <v>91</v>
      </c>
      <c r="J9">
        <f>I9-I8</f>
        <v>-44</v>
      </c>
      <c r="K9" t="str">
        <f t="shared" si="2"/>
        <v>L</v>
      </c>
      <c r="L9" t="str">
        <f t="shared" si="3"/>
        <v>Russell</v>
      </c>
      <c r="M9" t="str">
        <f>VLOOKUP(L9,References!$A$2:$B$16,2,FALSE)</f>
        <v>TEXAROK</v>
      </c>
      <c r="N9" s="19" t="str">
        <f>IF(M9=M8,"N","Y")</f>
        <v>Y</v>
      </c>
      <c r="O9">
        <f>SUM(I8:I9)</f>
        <v>226</v>
      </c>
      <c r="P9">
        <f t="shared" si="5"/>
        <v>135</v>
      </c>
    </row>
    <row r="10" spans="1:16" hidden="1" x14ac:dyDescent="0.3">
      <c r="A10" t="str">
        <f t="shared" si="4"/>
        <v>2013David1</v>
      </c>
      <c r="B10">
        <f t="shared" si="0"/>
        <v>517</v>
      </c>
      <c r="C10">
        <f t="shared" si="1"/>
        <v>746</v>
      </c>
      <c r="D10" t="s">
        <v>29</v>
      </c>
      <c r="E10" t="str">
        <f>D11</f>
        <v>Matt</v>
      </c>
      <c r="F10">
        <v>2013</v>
      </c>
      <c r="G10">
        <v>1</v>
      </c>
      <c r="H10">
        <v>5.0999999999999996</v>
      </c>
      <c r="I10">
        <v>98</v>
      </c>
      <c r="J10">
        <f>I10-I11</f>
        <v>20</v>
      </c>
      <c r="K10" t="str">
        <f t="shared" si="2"/>
        <v>W</v>
      </c>
      <c r="L10" t="str">
        <f t="shared" si="3"/>
        <v>David</v>
      </c>
      <c r="M10" t="str">
        <f>VLOOKUP(L10,References!$A$2:$B$16,2,FALSE)</f>
        <v>TEXAROK</v>
      </c>
      <c r="N10" s="19" t="str">
        <f>IF(M10=M11,"N","Y")</f>
        <v>N</v>
      </c>
      <c r="O10">
        <f>SUM(I10:I11)</f>
        <v>176</v>
      </c>
      <c r="P10">
        <f t="shared" si="5"/>
        <v>78</v>
      </c>
    </row>
    <row r="11" spans="1:16" hidden="1" x14ac:dyDescent="0.3">
      <c r="A11" t="str">
        <f t="shared" si="4"/>
        <v>2013Matt1</v>
      </c>
      <c r="B11">
        <f t="shared" si="0"/>
        <v>1546</v>
      </c>
      <c r="C11">
        <f t="shared" si="1"/>
        <v>1468</v>
      </c>
      <c r="D11" t="s">
        <v>30</v>
      </c>
      <c r="E11" t="str">
        <f>D10</f>
        <v>David</v>
      </c>
      <c r="F11">
        <v>2013</v>
      </c>
      <c r="G11">
        <v>1</v>
      </c>
      <c r="H11">
        <v>5.2</v>
      </c>
      <c r="I11">
        <v>78</v>
      </c>
      <c r="J11">
        <f>I11-I10</f>
        <v>-20</v>
      </c>
      <c r="K11" t="str">
        <f t="shared" si="2"/>
        <v>L</v>
      </c>
      <c r="L11" t="str">
        <f t="shared" si="3"/>
        <v>Matt</v>
      </c>
      <c r="M11" t="str">
        <f>VLOOKUP(L11,References!$A$2:$B$16,2,FALSE)</f>
        <v>TEXAROK</v>
      </c>
      <c r="N11" s="19" t="str">
        <f>IF(M11=M10,"N","Y")</f>
        <v>N</v>
      </c>
      <c r="O11">
        <f>SUM(I10:I11)</f>
        <v>176</v>
      </c>
      <c r="P11">
        <f t="shared" si="5"/>
        <v>98</v>
      </c>
    </row>
    <row r="12" spans="1:16" hidden="1" x14ac:dyDescent="0.3">
      <c r="A12" t="str">
        <f t="shared" si="4"/>
        <v>2013BR2</v>
      </c>
      <c r="B12">
        <f t="shared" si="0"/>
        <v>1907</v>
      </c>
      <c r="C12">
        <f t="shared" si="1"/>
        <v>1365</v>
      </c>
      <c r="D12" t="s">
        <v>25</v>
      </c>
      <c r="E12" t="str">
        <f>D13</f>
        <v>Michael</v>
      </c>
      <c r="F12">
        <v>2013</v>
      </c>
      <c r="G12">
        <v>2</v>
      </c>
      <c r="H12">
        <v>1.1000000000000001</v>
      </c>
      <c r="I12">
        <v>81</v>
      </c>
      <c r="J12">
        <f>I12-I13</f>
        <v>-41</v>
      </c>
      <c r="K12" t="str">
        <f t="shared" si="2"/>
        <v>L</v>
      </c>
      <c r="L12" t="str">
        <f t="shared" si="3"/>
        <v>BR</v>
      </c>
      <c r="M12" t="str">
        <f>VLOOKUP(L12,References!$A$2:$B$16,2,FALSE)</f>
        <v>AKCOVA</v>
      </c>
      <c r="N12" s="19" t="str">
        <f>IF(M12=M13,"N","Y")</f>
        <v>N</v>
      </c>
      <c r="O12">
        <f>SUM(I12:I13)</f>
        <v>203</v>
      </c>
      <c r="P12">
        <f t="shared" si="5"/>
        <v>122</v>
      </c>
    </row>
    <row r="13" spans="1:16" hidden="1" x14ac:dyDescent="0.3">
      <c r="A13" t="str">
        <f t="shared" si="4"/>
        <v>2013Michael2</v>
      </c>
      <c r="B13">
        <f t="shared" si="0"/>
        <v>180</v>
      </c>
      <c r="C13">
        <f t="shared" si="1"/>
        <v>197</v>
      </c>
      <c r="D13" t="s">
        <v>23</v>
      </c>
      <c r="E13" t="str">
        <f>D12</f>
        <v>BR</v>
      </c>
      <c r="F13">
        <v>2013</v>
      </c>
      <c r="G13">
        <v>2</v>
      </c>
      <c r="H13">
        <v>1.2</v>
      </c>
      <c r="I13">
        <v>122</v>
      </c>
      <c r="J13">
        <f>I13-I12</f>
        <v>41</v>
      </c>
      <c r="K13" t="str">
        <f t="shared" si="2"/>
        <v>W</v>
      </c>
      <c r="L13" t="str">
        <f t="shared" si="3"/>
        <v>Michael</v>
      </c>
      <c r="M13" t="str">
        <f>VLOOKUP(L13,References!$A$2:$B$16,2,FALSE)</f>
        <v>AKCOVA</v>
      </c>
      <c r="N13" s="19" t="str">
        <f>IF(M13=M12,"N","Y")</f>
        <v>N</v>
      </c>
      <c r="O13">
        <f>SUM(I12:I13)</f>
        <v>203</v>
      </c>
      <c r="P13">
        <f t="shared" si="5"/>
        <v>81</v>
      </c>
    </row>
    <row r="14" spans="1:16" hidden="1" x14ac:dyDescent="0.3">
      <c r="A14" t="str">
        <f t="shared" si="4"/>
        <v>2013Russell2</v>
      </c>
      <c r="B14">
        <f t="shared" si="0"/>
        <v>1475</v>
      </c>
      <c r="C14">
        <f t="shared" si="1"/>
        <v>1512</v>
      </c>
      <c r="D14" t="s">
        <v>28</v>
      </c>
      <c r="E14" t="str">
        <f>D15</f>
        <v>Mark</v>
      </c>
      <c r="F14">
        <v>2013</v>
      </c>
      <c r="G14">
        <v>2</v>
      </c>
      <c r="H14">
        <v>2.1</v>
      </c>
      <c r="I14">
        <v>77</v>
      </c>
      <c r="J14">
        <f>I14-I15</f>
        <v>-17</v>
      </c>
      <c r="K14" t="str">
        <f t="shared" si="2"/>
        <v>L</v>
      </c>
      <c r="L14" t="str">
        <f t="shared" si="3"/>
        <v>Russell</v>
      </c>
      <c r="M14" t="str">
        <f>VLOOKUP(L14,References!$A$2:$B$16,2,FALSE)</f>
        <v>TEXAROK</v>
      </c>
      <c r="N14" s="19" t="str">
        <f>IF(M14=M15,"N","Y")</f>
        <v>Y</v>
      </c>
      <c r="O14">
        <f>SUM(I14:I15)</f>
        <v>171</v>
      </c>
      <c r="P14">
        <f t="shared" si="5"/>
        <v>94</v>
      </c>
    </row>
    <row r="15" spans="1:16" hidden="1" x14ac:dyDescent="0.3">
      <c r="A15" t="str">
        <f t="shared" si="4"/>
        <v>2013Mark2</v>
      </c>
      <c r="B15">
        <f t="shared" si="0"/>
        <v>597</v>
      </c>
      <c r="C15">
        <f t="shared" si="1"/>
        <v>893</v>
      </c>
      <c r="D15" t="s">
        <v>22</v>
      </c>
      <c r="E15" t="str">
        <f>D14</f>
        <v>Russell</v>
      </c>
      <c r="F15">
        <v>2013</v>
      </c>
      <c r="G15">
        <v>2</v>
      </c>
      <c r="H15">
        <v>2.2000000000000002</v>
      </c>
      <c r="I15">
        <v>94</v>
      </c>
      <c r="J15">
        <f>I15-I14</f>
        <v>17</v>
      </c>
      <c r="K15" t="str">
        <f t="shared" si="2"/>
        <v>W</v>
      </c>
      <c r="L15" t="str">
        <f t="shared" si="3"/>
        <v>Mark</v>
      </c>
      <c r="M15" t="str">
        <f>VLOOKUP(L15,References!$A$2:$B$16,2,FALSE)</f>
        <v>AKCOVA</v>
      </c>
      <c r="N15" s="19" t="str">
        <f>IF(M15=M14,"N","Y")</f>
        <v>Y</v>
      </c>
      <c r="O15">
        <f>SUM(I14:I15)</f>
        <v>171</v>
      </c>
      <c r="P15">
        <f t="shared" si="5"/>
        <v>77</v>
      </c>
    </row>
    <row r="16" spans="1:16" hidden="1" x14ac:dyDescent="0.3">
      <c r="A16" t="str">
        <f t="shared" si="4"/>
        <v>2013Matt2</v>
      </c>
      <c r="B16">
        <f t="shared" si="0"/>
        <v>284</v>
      </c>
      <c r="C16">
        <f t="shared" si="1"/>
        <v>119</v>
      </c>
      <c r="D16" t="s">
        <v>30</v>
      </c>
      <c r="E16" t="str">
        <f>D17</f>
        <v>Brian</v>
      </c>
      <c r="F16">
        <v>2013</v>
      </c>
      <c r="G16">
        <v>2</v>
      </c>
      <c r="H16">
        <v>3.1</v>
      </c>
      <c r="I16">
        <v>129</v>
      </c>
      <c r="J16">
        <f>I16-I17</f>
        <v>32</v>
      </c>
      <c r="K16" t="str">
        <f t="shared" si="2"/>
        <v>W</v>
      </c>
      <c r="L16" t="str">
        <f t="shared" si="3"/>
        <v>Matt</v>
      </c>
      <c r="M16" t="str">
        <f>VLOOKUP(L16,References!$A$2:$B$16,2,FALSE)</f>
        <v>TEXAROK</v>
      </c>
      <c r="N16" s="19" t="str">
        <f>IF(M16=M17,"N","Y")</f>
        <v>N</v>
      </c>
      <c r="O16">
        <f>SUM(I16:I17)</f>
        <v>226</v>
      </c>
      <c r="P16">
        <f t="shared" si="5"/>
        <v>97</v>
      </c>
    </row>
    <row r="17" spans="1:16" hidden="1" x14ac:dyDescent="0.3">
      <c r="A17" t="str">
        <f t="shared" si="4"/>
        <v>2013Brian2</v>
      </c>
      <c r="B17">
        <f t="shared" si="0"/>
        <v>1797</v>
      </c>
      <c r="C17">
        <f t="shared" si="1"/>
        <v>777</v>
      </c>
      <c r="D17" t="s">
        <v>26</v>
      </c>
      <c r="E17" t="str">
        <f>D16</f>
        <v>Matt</v>
      </c>
      <c r="F17">
        <v>2013</v>
      </c>
      <c r="G17">
        <v>2</v>
      </c>
      <c r="H17">
        <v>3.2</v>
      </c>
      <c r="I17">
        <v>97</v>
      </c>
      <c r="J17">
        <f>I17-I16</f>
        <v>-32</v>
      </c>
      <c r="K17" t="str">
        <f t="shared" si="2"/>
        <v>L</v>
      </c>
      <c r="L17" t="str">
        <f t="shared" si="3"/>
        <v>Brian</v>
      </c>
      <c r="M17" t="str">
        <f>VLOOKUP(L17,References!$A$2:$B$16,2,FALSE)</f>
        <v>TEXAROK</v>
      </c>
      <c r="N17" s="19" t="str">
        <f>IF(M17=M16,"N","Y")</f>
        <v>N</v>
      </c>
      <c r="O17">
        <f>SUM(I16:I17)</f>
        <v>226</v>
      </c>
      <c r="P17">
        <f t="shared" si="5"/>
        <v>129</v>
      </c>
    </row>
    <row r="18" spans="1:16" hidden="1" x14ac:dyDescent="0.3">
      <c r="A18" t="str">
        <f t="shared" si="4"/>
        <v>2013David2</v>
      </c>
      <c r="B18">
        <f t="shared" si="0"/>
        <v>1775</v>
      </c>
      <c r="C18">
        <f t="shared" si="1"/>
        <v>1241</v>
      </c>
      <c r="D18" t="s">
        <v>29</v>
      </c>
      <c r="E18" t="str">
        <f>D19</f>
        <v>Watty</v>
      </c>
      <c r="F18">
        <v>2013</v>
      </c>
      <c r="G18">
        <v>2</v>
      </c>
      <c r="H18">
        <v>4.0999999999999996</v>
      </c>
      <c r="I18">
        <v>84</v>
      </c>
      <c r="J18">
        <f>I18-I19</f>
        <v>-31</v>
      </c>
      <c r="K18" t="str">
        <f t="shared" si="2"/>
        <v>L</v>
      </c>
      <c r="L18" t="str">
        <f t="shared" si="3"/>
        <v>David</v>
      </c>
      <c r="M18" t="str">
        <f>VLOOKUP(L18,References!$A$2:$B$16,2,FALSE)</f>
        <v>TEXAROK</v>
      </c>
      <c r="N18" s="19" t="str">
        <f>IF(M18=M19,"N","Y")</f>
        <v>Y</v>
      </c>
      <c r="O18">
        <f>SUM(I18:I19)</f>
        <v>199</v>
      </c>
      <c r="P18">
        <f t="shared" si="5"/>
        <v>115</v>
      </c>
    </row>
    <row r="19" spans="1:16" hidden="1" x14ac:dyDescent="0.3">
      <c r="A19" t="str">
        <f t="shared" si="4"/>
        <v>2013Watty2</v>
      </c>
      <c r="B19">
        <f t="shared" si="0"/>
        <v>297</v>
      </c>
      <c r="C19">
        <f t="shared" si="1"/>
        <v>305</v>
      </c>
      <c r="D19" t="s">
        <v>24</v>
      </c>
      <c r="E19" t="str">
        <f>D18</f>
        <v>David</v>
      </c>
      <c r="F19">
        <v>2013</v>
      </c>
      <c r="G19">
        <v>2</v>
      </c>
      <c r="H19">
        <v>4.2</v>
      </c>
      <c r="I19">
        <v>115</v>
      </c>
      <c r="J19">
        <f>I19-I18</f>
        <v>31</v>
      </c>
      <c r="K19" t="str">
        <f t="shared" si="2"/>
        <v>W</v>
      </c>
      <c r="L19" t="str">
        <f t="shared" si="3"/>
        <v>Watty</v>
      </c>
      <c r="M19" t="str">
        <f>VLOOKUP(L19,References!$A$2:$B$16,2,FALSE)</f>
        <v>AKCOVA</v>
      </c>
      <c r="N19" s="19" t="str">
        <f>IF(M19=M18,"N","Y")</f>
        <v>Y</v>
      </c>
      <c r="O19">
        <f>SUM(I18:I19)</f>
        <v>199</v>
      </c>
      <c r="P19">
        <f t="shared" si="5"/>
        <v>84</v>
      </c>
    </row>
    <row r="20" spans="1:16" hidden="1" x14ac:dyDescent="0.3">
      <c r="A20" t="str">
        <f t="shared" si="4"/>
        <v>2013Abby2</v>
      </c>
      <c r="B20">
        <f t="shared" si="0"/>
        <v>597</v>
      </c>
      <c r="C20">
        <f t="shared" si="1"/>
        <v>1815</v>
      </c>
      <c r="D20" t="s">
        <v>27</v>
      </c>
      <c r="E20" t="str">
        <f>D21</f>
        <v>Emily</v>
      </c>
      <c r="F20">
        <v>2013</v>
      </c>
      <c r="G20">
        <v>2</v>
      </c>
      <c r="H20">
        <v>5.0999999999999996</v>
      </c>
      <c r="I20">
        <v>67</v>
      </c>
      <c r="J20">
        <f>I20-I21</f>
        <v>17</v>
      </c>
      <c r="K20" t="str">
        <f t="shared" si="2"/>
        <v>W</v>
      </c>
      <c r="L20" t="str">
        <f t="shared" si="3"/>
        <v>Abby</v>
      </c>
      <c r="M20" t="str">
        <f>VLOOKUP(L20,References!$A$2:$B$16,2,FALSE)</f>
        <v>AKCOVA</v>
      </c>
      <c r="N20" s="19" t="str">
        <f>IF(M20=M21,"N","Y")</f>
        <v>Y</v>
      </c>
      <c r="O20">
        <f>SUM(I20:I21)</f>
        <v>117</v>
      </c>
      <c r="P20">
        <f t="shared" si="5"/>
        <v>50</v>
      </c>
    </row>
    <row r="21" spans="1:16" hidden="1" x14ac:dyDescent="0.3">
      <c r="A21" t="str">
        <f t="shared" si="4"/>
        <v>2013Emily2</v>
      </c>
      <c r="B21">
        <f t="shared" si="0"/>
        <v>1475</v>
      </c>
      <c r="C21">
        <f t="shared" si="1"/>
        <v>2049</v>
      </c>
      <c r="D21" t="s">
        <v>43</v>
      </c>
      <c r="E21" t="str">
        <f>D20</f>
        <v>Abby</v>
      </c>
      <c r="F21">
        <v>2013</v>
      </c>
      <c r="G21">
        <v>2</v>
      </c>
      <c r="H21">
        <v>5.2</v>
      </c>
      <c r="I21">
        <v>50</v>
      </c>
      <c r="J21">
        <f>I21-I20</f>
        <v>-17</v>
      </c>
      <c r="K21" t="str">
        <f t="shared" si="2"/>
        <v>L</v>
      </c>
      <c r="L21" t="str">
        <f t="shared" si="3"/>
        <v>Emily</v>
      </c>
      <c r="M21" t="str">
        <f>VLOOKUP(L21,References!$A$2:$B$16,2,FALSE)</f>
        <v>TEXAROK</v>
      </c>
      <c r="N21" s="19" t="str">
        <f>IF(M21=M20,"N","Y")</f>
        <v>Y</v>
      </c>
      <c r="O21">
        <f>SUM(I20:I21)</f>
        <v>117</v>
      </c>
      <c r="P21">
        <f t="shared" si="5"/>
        <v>67</v>
      </c>
    </row>
    <row r="22" spans="1:16" hidden="1" x14ac:dyDescent="0.3">
      <c r="A22" t="str">
        <f t="shared" si="4"/>
        <v>2013Michael3</v>
      </c>
      <c r="B22">
        <f t="shared" si="0"/>
        <v>1357</v>
      </c>
      <c r="C22">
        <f t="shared" si="1"/>
        <v>893</v>
      </c>
      <c r="D22" t="s">
        <v>23</v>
      </c>
      <c r="E22" t="str">
        <f>D23</f>
        <v>Watty</v>
      </c>
      <c r="F22">
        <v>2013</v>
      </c>
      <c r="G22">
        <v>3</v>
      </c>
      <c r="H22">
        <v>1.1000000000000001</v>
      </c>
      <c r="I22">
        <v>94</v>
      </c>
      <c r="J22">
        <f>I22-I23</f>
        <v>-12</v>
      </c>
      <c r="K22" t="str">
        <f t="shared" si="2"/>
        <v>L</v>
      </c>
      <c r="L22" t="str">
        <f t="shared" si="3"/>
        <v>Michael</v>
      </c>
      <c r="M22" t="str">
        <f>VLOOKUP(L22,References!$A$2:$B$16,2,FALSE)</f>
        <v>AKCOVA</v>
      </c>
      <c r="N22" s="19" t="str">
        <f>IF(M22=M23,"N","Y")</f>
        <v>N</v>
      </c>
      <c r="O22">
        <f>SUM(I22:I23)</f>
        <v>200</v>
      </c>
      <c r="P22">
        <f t="shared" si="5"/>
        <v>106</v>
      </c>
    </row>
    <row r="23" spans="1:16" hidden="1" x14ac:dyDescent="0.3">
      <c r="A23" t="str">
        <f t="shared" si="4"/>
        <v>2013Watty3</v>
      </c>
      <c r="B23">
        <f t="shared" si="0"/>
        <v>713</v>
      </c>
      <c r="C23">
        <f t="shared" si="1"/>
        <v>509</v>
      </c>
      <c r="D23" t="s">
        <v>24</v>
      </c>
      <c r="E23" t="str">
        <f>D22</f>
        <v>Michael</v>
      </c>
      <c r="F23">
        <v>2013</v>
      </c>
      <c r="G23">
        <v>3</v>
      </c>
      <c r="H23">
        <v>1.2</v>
      </c>
      <c r="I23">
        <v>106</v>
      </c>
      <c r="J23">
        <f>I23-I22</f>
        <v>12</v>
      </c>
      <c r="K23" t="str">
        <f t="shared" si="2"/>
        <v>W</v>
      </c>
      <c r="L23" t="str">
        <f t="shared" si="3"/>
        <v>Watty</v>
      </c>
      <c r="M23" t="str">
        <f>VLOOKUP(L23,References!$A$2:$B$16,2,FALSE)</f>
        <v>AKCOVA</v>
      </c>
      <c r="N23" s="19" t="str">
        <f>IF(M23=M22,"N","Y")</f>
        <v>N</v>
      </c>
      <c r="O23">
        <f>SUM(I22:I23)</f>
        <v>200</v>
      </c>
      <c r="P23">
        <f t="shared" si="5"/>
        <v>94</v>
      </c>
    </row>
    <row r="24" spans="1:16" hidden="1" x14ac:dyDescent="0.3">
      <c r="A24" t="str">
        <f t="shared" si="4"/>
        <v>2013Brian3</v>
      </c>
      <c r="B24">
        <f t="shared" si="0"/>
        <v>865</v>
      </c>
      <c r="C24">
        <f t="shared" si="1"/>
        <v>746</v>
      </c>
      <c r="D24" t="s">
        <v>26</v>
      </c>
      <c r="E24" t="str">
        <f>D25</f>
        <v>David</v>
      </c>
      <c r="F24">
        <v>2013</v>
      </c>
      <c r="G24">
        <v>3</v>
      </c>
      <c r="H24">
        <v>2.1</v>
      </c>
      <c r="I24">
        <v>98</v>
      </c>
      <c r="J24">
        <f>I24-I25</f>
        <v>6</v>
      </c>
      <c r="K24" t="str">
        <f t="shared" si="2"/>
        <v>W</v>
      </c>
      <c r="L24" t="str">
        <f t="shared" si="3"/>
        <v>Brian</v>
      </c>
      <c r="M24" t="str">
        <f>VLOOKUP(L24,References!$A$2:$B$16,2,FALSE)</f>
        <v>TEXAROK</v>
      </c>
      <c r="N24" s="19" t="str">
        <f>IF(M24=M25,"N","Y")</f>
        <v>N</v>
      </c>
      <c r="O24">
        <f>SUM(I24:I25)</f>
        <v>190</v>
      </c>
      <c r="P24">
        <f t="shared" si="5"/>
        <v>92</v>
      </c>
    </row>
    <row r="25" spans="1:16" hidden="1" x14ac:dyDescent="0.3">
      <c r="A25" t="str">
        <f t="shared" si="4"/>
        <v>2013David3</v>
      </c>
      <c r="B25">
        <f t="shared" si="0"/>
        <v>1197</v>
      </c>
      <c r="C25">
        <f t="shared" si="1"/>
        <v>958</v>
      </c>
      <c r="D25" t="s">
        <v>29</v>
      </c>
      <c r="E25" t="str">
        <f>D24</f>
        <v>Brian</v>
      </c>
      <c r="F25">
        <v>2013</v>
      </c>
      <c r="G25">
        <v>3</v>
      </c>
      <c r="H25">
        <v>2.2000000000000002</v>
      </c>
      <c r="I25">
        <v>92</v>
      </c>
      <c r="J25">
        <f>I25-I24</f>
        <v>-6</v>
      </c>
      <c r="K25" t="str">
        <f t="shared" si="2"/>
        <v>L</v>
      </c>
      <c r="L25" t="str">
        <f t="shared" si="3"/>
        <v>David</v>
      </c>
      <c r="M25" t="str">
        <f>VLOOKUP(L25,References!$A$2:$B$16,2,FALSE)</f>
        <v>TEXAROK</v>
      </c>
      <c r="N25" s="19" t="str">
        <f>IF(M25=M24,"N","Y")</f>
        <v>N</v>
      </c>
      <c r="O25">
        <f>SUM(I24:I25)</f>
        <v>190</v>
      </c>
      <c r="P25">
        <f t="shared" si="5"/>
        <v>98</v>
      </c>
    </row>
    <row r="26" spans="1:16" hidden="1" x14ac:dyDescent="0.3">
      <c r="A26" t="str">
        <f t="shared" si="4"/>
        <v>2013Matt3</v>
      </c>
      <c r="B26">
        <f t="shared" si="0"/>
        <v>836</v>
      </c>
      <c r="C26">
        <f t="shared" si="1"/>
        <v>1282</v>
      </c>
      <c r="D26" t="s">
        <v>30</v>
      </c>
      <c r="E26" t="str">
        <f>D27</f>
        <v>Abby</v>
      </c>
      <c r="F26">
        <v>2013</v>
      </c>
      <c r="G26">
        <v>3</v>
      </c>
      <c r="H26">
        <v>3.1</v>
      </c>
      <c r="I26">
        <v>83</v>
      </c>
      <c r="J26">
        <f>I26-I27</f>
        <v>7</v>
      </c>
      <c r="K26" t="str">
        <f t="shared" si="2"/>
        <v>W</v>
      </c>
      <c r="L26" t="str">
        <f t="shared" si="3"/>
        <v>Matt</v>
      </c>
      <c r="M26" t="str">
        <f>VLOOKUP(L26,References!$A$2:$B$16,2,FALSE)</f>
        <v>TEXAROK</v>
      </c>
      <c r="N26" s="19" t="str">
        <f>IF(M26=M27,"N","Y")</f>
        <v>Y</v>
      </c>
      <c r="O26">
        <f>SUM(I26:I27)</f>
        <v>159</v>
      </c>
      <c r="P26">
        <f t="shared" si="5"/>
        <v>76</v>
      </c>
    </row>
    <row r="27" spans="1:16" hidden="1" x14ac:dyDescent="0.3">
      <c r="A27" t="str">
        <f t="shared" si="4"/>
        <v>2013Abby3</v>
      </c>
      <c r="B27">
        <f t="shared" si="0"/>
        <v>1229</v>
      </c>
      <c r="C27">
        <f t="shared" si="1"/>
        <v>1549</v>
      </c>
      <c r="D27" t="s">
        <v>27</v>
      </c>
      <c r="E27" t="str">
        <f>D26</f>
        <v>Matt</v>
      </c>
      <c r="F27">
        <v>2013</v>
      </c>
      <c r="G27">
        <v>3</v>
      </c>
      <c r="H27">
        <v>3.2</v>
      </c>
      <c r="I27">
        <v>76</v>
      </c>
      <c r="J27">
        <f>I27-I26</f>
        <v>-7</v>
      </c>
      <c r="K27" t="str">
        <f t="shared" si="2"/>
        <v>L</v>
      </c>
      <c r="L27" t="str">
        <f t="shared" si="3"/>
        <v>Abby</v>
      </c>
      <c r="M27" t="str">
        <f>VLOOKUP(L27,References!$A$2:$B$16,2,FALSE)</f>
        <v>AKCOVA</v>
      </c>
      <c r="N27" s="19" t="str">
        <f>IF(M27=M26,"N","Y")</f>
        <v>Y</v>
      </c>
      <c r="O27">
        <f>SUM(I26:I27)</f>
        <v>159</v>
      </c>
      <c r="P27">
        <f t="shared" si="5"/>
        <v>83</v>
      </c>
    </row>
    <row r="28" spans="1:16" hidden="1" x14ac:dyDescent="0.3">
      <c r="A28" t="str">
        <f t="shared" si="4"/>
        <v>2013Emily3</v>
      </c>
      <c r="B28">
        <f t="shared" si="0"/>
        <v>1497</v>
      </c>
      <c r="C28">
        <f t="shared" si="1"/>
        <v>1974</v>
      </c>
      <c r="D28" t="s">
        <v>43</v>
      </c>
      <c r="E28" t="str">
        <f>D29</f>
        <v>Mark</v>
      </c>
      <c r="F28">
        <v>2013</v>
      </c>
      <c r="G28">
        <v>3</v>
      </c>
      <c r="H28">
        <v>4.0999999999999996</v>
      </c>
      <c r="I28">
        <v>58</v>
      </c>
      <c r="J28">
        <f>I28-I29</f>
        <v>-18</v>
      </c>
      <c r="K28" t="str">
        <f t="shared" si="2"/>
        <v>L</v>
      </c>
      <c r="L28" t="str">
        <f t="shared" si="3"/>
        <v>Emily</v>
      </c>
      <c r="M28" t="str">
        <f>VLOOKUP(L28,References!$A$2:$B$16,2,FALSE)</f>
        <v>TEXAROK</v>
      </c>
      <c r="N28" s="19" t="str">
        <f>IF(M28=M29,"N","Y")</f>
        <v>Y</v>
      </c>
      <c r="O28">
        <f>SUM(I28:I29)</f>
        <v>134</v>
      </c>
      <c r="P28">
        <f t="shared" si="5"/>
        <v>76</v>
      </c>
    </row>
    <row r="29" spans="1:16" hidden="1" x14ac:dyDescent="0.3">
      <c r="A29" t="str">
        <f t="shared" si="4"/>
        <v>2013Mark3</v>
      </c>
      <c r="B29">
        <f t="shared" si="0"/>
        <v>571</v>
      </c>
      <c r="C29">
        <f t="shared" si="1"/>
        <v>1549</v>
      </c>
      <c r="D29" t="s">
        <v>22</v>
      </c>
      <c r="E29" t="str">
        <f>D28</f>
        <v>Emily</v>
      </c>
      <c r="F29">
        <v>2013</v>
      </c>
      <c r="G29">
        <v>3</v>
      </c>
      <c r="H29">
        <v>4.2</v>
      </c>
      <c r="I29">
        <v>76</v>
      </c>
      <c r="J29">
        <f>I29-I28</f>
        <v>18</v>
      </c>
      <c r="K29" t="str">
        <f t="shared" si="2"/>
        <v>W</v>
      </c>
      <c r="L29" t="str">
        <f t="shared" si="3"/>
        <v>Mark</v>
      </c>
      <c r="M29" t="str">
        <f>VLOOKUP(L29,References!$A$2:$B$16,2,FALSE)</f>
        <v>AKCOVA</v>
      </c>
      <c r="N29" s="19" t="str">
        <f>IF(M29=M28,"N","Y")</f>
        <v>Y</v>
      </c>
      <c r="O29">
        <f>SUM(I28:I29)</f>
        <v>134</v>
      </c>
      <c r="P29">
        <f t="shared" si="5"/>
        <v>58</v>
      </c>
    </row>
    <row r="30" spans="1:16" hidden="1" x14ac:dyDescent="0.3">
      <c r="A30" t="str">
        <f t="shared" si="4"/>
        <v>2013BR3</v>
      </c>
      <c r="B30">
        <f t="shared" si="0"/>
        <v>1933</v>
      </c>
      <c r="C30">
        <f t="shared" si="1"/>
        <v>1833</v>
      </c>
      <c r="D30" t="s">
        <v>25</v>
      </c>
      <c r="E30" t="str">
        <f>D31</f>
        <v>Russell</v>
      </c>
      <c r="F30">
        <v>2013</v>
      </c>
      <c r="G30">
        <v>3</v>
      </c>
      <c r="H30">
        <v>5.0999999999999996</v>
      </c>
      <c r="I30">
        <v>66</v>
      </c>
      <c r="J30">
        <f>I30-I31</f>
        <v>-44</v>
      </c>
      <c r="K30" t="str">
        <f t="shared" si="2"/>
        <v>L</v>
      </c>
      <c r="L30" t="str">
        <f t="shared" si="3"/>
        <v>BR</v>
      </c>
      <c r="M30" t="str">
        <f>VLOOKUP(L30,References!$A$2:$B$16,2,FALSE)</f>
        <v>AKCOVA</v>
      </c>
      <c r="N30" s="19" t="str">
        <f>IF(M30=M31,"N","Y")</f>
        <v>Y</v>
      </c>
      <c r="O30">
        <f>SUM(I30:I31)</f>
        <v>176</v>
      </c>
      <c r="P30">
        <f t="shared" si="5"/>
        <v>110</v>
      </c>
    </row>
    <row r="31" spans="1:16" hidden="1" x14ac:dyDescent="0.3">
      <c r="A31" t="str">
        <f t="shared" si="4"/>
        <v>2013Russell3</v>
      </c>
      <c r="B31">
        <f t="shared" si="0"/>
        <v>150</v>
      </c>
      <c r="C31">
        <f t="shared" si="1"/>
        <v>412</v>
      </c>
      <c r="D31" t="s">
        <v>28</v>
      </c>
      <c r="E31" t="str">
        <f>D30</f>
        <v>BR</v>
      </c>
      <c r="F31">
        <v>2013</v>
      </c>
      <c r="G31">
        <v>3</v>
      </c>
      <c r="H31">
        <v>5.2</v>
      </c>
      <c r="I31">
        <v>110</v>
      </c>
      <c r="J31">
        <f>I31-I30</f>
        <v>44</v>
      </c>
      <c r="K31" t="str">
        <f t="shared" si="2"/>
        <v>W</v>
      </c>
      <c r="L31" t="str">
        <f t="shared" si="3"/>
        <v>Russell</v>
      </c>
      <c r="M31" t="str">
        <f>VLOOKUP(L31,References!$A$2:$B$16,2,FALSE)</f>
        <v>TEXAROK</v>
      </c>
      <c r="N31" s="19" t="str">
        <f>IF(M31=M30,"N","Y")</f>
        <v>Y</v>
      </c>
      <c r="O31">
        <f>SUM(I30:I31)</f>
        <v>176</v>
      </c>
      <c r="P31">
        <f t="shared" si="5"/>
        <v>66</v>
      </c>
    </row>
    <row r="32" spans="1:16" hidden="1" x14ac:dyDescent="0.3">
      <c r="A32" t="str">
        <f t="shared" si="4"/>
        <v>2013Brian4</v>
      </c>
      <c r="B32">
        <f t="shared" si="0"/>
        <v>319</v>
      </c>
      <c r="C32">
        <f t="shared" si="1"/>
        <v>197</v>
      </c>
      <c r="D32" t="s">
        <v>26</v>
      </c>
      <c r="E32" t="str">
        <f>D33</f>
        <v>Michael</v>
      </c>
      <c r="F32">
        <v>2013</v>
      </c>
      <c r="G32">
        <v>4</v>
      </c>
      <c r="H32">
        <v>1.1000000000000001</v>
      </c>
      <c r="I32">
        <v>122</v>
      </c>
      <c r="J32">
        <f>I32-I33</f>
        <v>30</v>
      </c>
      <c r="K32" t="str">
        <f t="shared" si="2"/>
        <v>W</v>
      </c>
      <c r="L32" t="str">
        <f t="shared" si="3"/>
        <v>Brian</v>
      </c>
      <c r="M32" t="str">
        <f>VLOOKUP(L32,References!$A$2:$B$16,2,FALSE)</f>
        <v>TEXAROK</v>
      </c>
      <c r="N32" s="19" t="str">
        <f>IF(M32=M33,"N","Y")</f>
        <v>Y</v>
      </c>
      <c r="O32">
        <f>SUM(I32:I33)</f>
        <v>214</v>
      </c>
      <c r="P32">
        <f t="shared" si="5"/>
        <v>92</v>
      </c>
    </row>
    <row r="33" spans="1:16" hidden="1" x14ac:dyDescent="0.3">
      <c r="A33" t="str">
        <f t="shared" si="4"/>
        <v>2013Michael4</v>
      </c>
      <c r="B33">
        <f t="shared" si="0"/>
        <v>1753</v>
      </c>
      <c r="C33">
        <f t="shared" si="1"/>
        <v>958</v>
      </c>
      <c r="D33" t="s">
        <v>23</v>
      </c>
      <c r="E33" t="str">
        <f>D32</f>
        <v>Brian</v>
      </c>
      <c r="F33">
        <v>2013</v>
      </c>
      <c r="G33">
        <v>4</v>
      </c>
      <c r="H33">
        <v>1.2</v>
      </c>
      <c r="I33">
        <v>92</v>
      </c>
      <c r="J33">
        <f>I33-I32</f>
        <v>-30</v>
      </c>
      <c r="K33" t="str">
        <f t="shared" si="2"/>
        <v>L</v>
      </c>
      <c r="L33" t="str">
        <f t="shared" si="3"/>
        <v>Michael</v>
      </c>
      <c r="M33" t="str">
        <f>VLOOKUP(L33,References!$A$2:$B$16,2,FALSE)</f>
        <v>AKCOVA</v>
      </c>
      <c r="N33" s="19" t="str">
        <f>IF(M33=M32,"N","Y")</f>
        <v>Y</v>
      </c>
      <c r="O33">
        <f>SUM(I32:I33)</f>
        <v>214</v>
      </c>
      <c r="P33">
        <f t="shared" si="5"/>
        <v>122</v>
      </c>
    </row>
    <row r="34" spans="1:16" hidden="1" x14ac:dyDescent="0.3">
      <c r="A34" t="str">
        <f t="shared" si="4"/>
        <v>2013Emily4</v>
      </c>
      <c r="B34">
        <f t="shared" si="0"/>
        <v>803</v>
      </c>
      <c r="C34">
        <f t="shared" si="1"/>
        <v>893</v>
      </c>
      <c r="D34" t="s">
        <v>43</v>
      </c>
      <c r="E34" t="str">
        <f>D35</f>
        <v>Matt</v>
      </c>
      <c r="F34">
        <v>2013</v>
      </c>
      <c r="G34">
        <v>4</v>
      </c>
      <c r="H34">
        <v>2.1</v>
      </c>
      <c r="I34">
        <v>94</v>
      </c>
      <c r="J34">
        <f>I34-I35</f>
        <v>8</v>
      </c>
      <c r="K34" t="str">
        <f t="shared" si="2"/>
        <v>W</v>
      </c>
      <c r="L34" t="str">
        <f t="shared" si="3"/>
        <v>Emily</v>
      </c>
      <c r="M34" t="str">
        <f>VLOOKUP(L34,References!$A$2:$B$16,2,FALSE)</f>
        <v>TEXAROK</v>
      </c>
      <c r="N34" s="19" t="str">
        <f>IF(M34=M35,"N","Y")</f>
        <v>N</v>
      </c>
      <c r="O34">
        <f>SUM(I34:I35)</f>
        <v>180</v>
      </c>
      <c r="P34">
        <f t="shared" si="5"/>
        <v>86</v>
      </c>
    </row>
    <row r="35" spans="1:16" hidden="1" x14ac:dyDescent="0.3">
      <c r="A35" t="str">
        <f t="shared" si="4"/>
        <v>2013Matt4</v>
      </c>
      <c r="B35">
        <f t="shared" si="0"/>
        <v>1258</v>
      </c>
      <c r="C35">
        <f t="shared" si="1"/>
        <v>1173</v>
      </c>
      <c r="D35" t="s">
        <v>30</v>
      </c>
      <c r="E35" t="str">
        <f>D34</f>
        <v>Emily</v>
      </c>
      <c r="F35">
        <v>2013</v>
      </c>
      <c r="G35">
        <v>4</v>
      </c>
      <c r="H35">
        <v>2.2000000000000002</v>
      </c>
      <c r="I35">
        <v>86</v>
      </c>
      <c r="J35">
        <f>I35-I34</f>
        <v>-8</v>
      </c>
      <c r="K35" t="str">
        <f t="shared" si="2"/>
        <v>L</v>
      </c>
      <c r="L35" t="str">
        <f t="shared" si="3"/>
        <v>Matt</v>
      </c>
      <c r="M35" t="str">
        <f>VLOOKUP(L35,References!$A$2:$B$16,2,FALSE)</f>
        <v>TEXAROK</v>
      </c>
      <c r="N35" s="19" t="str">
        <f>IF(M35=M34,"N","Y")</f>
        <v>N</v>
      </c>
      <c r="O35">
        <f>SUM(I34:I35)</f>
        <v>180</v>
      </c>
      <c r="P35">
        <f t="shared" si="5"/>
        <v>94</v>
      </c>
    </row>
    <row r="36" spans="1:16" hidden="1" x14ac:dyDescent="0.3">
      <c r="A36" t="str">
        <f t="shared" si="4"/>
        <v>2013David4</v>
      </c>
      <c r="B36">
        <f t="shared" si="0"/>
        <v>1475</v>
      </c>
      <c r="C36">
        <f t="shared" si="1"/>
        <v>1595</v>
      </c>
      <c r="D36" t="s">
        <v>29</v>
      </c>
      <c r="E36" t="str">
        <f>D37</f>
        <v>Abby</v>
      </c>
      <c r="F36">
        <v>2013</v>
      </c>
      <c r="G36">
        <v>4</v>
      </c>
      <c r="H36">
        <v>3.1</v>
      </c>
      <c r="I36">
        <v>75</v>
      </c>
      <c r="J36">
        <f>I36-I37</f>
        <v>-17</v>
      </c>
      <c r="K36" t="str">
        <f t="shared" si="2"/>
        <v>L</v>
      </c>
      <c r="L36" t="str">
        <f t="shared" si="3"/>
        <v>David</v>
      </c>
      <c r="M36" t="str">
        <f>VLOOKUP(L36,References!$A$2:$B$16,2,FALSE)</f>
        <v>TEXAROK</v>
      </c>
      <c r="N36" s="19" t="str">
        <f>IF(M36=M37,"N","Y")</f>
        <v>Y</v>
      </c>
      <c r="O36">
        <f>SUM(I36:I37)</f>
        <v>167</v>
      </c>
      <c r="P36">
        <f t="shared" si="5"/>
        <v>92</v>
      </c>
    </row>
    <row r="37" spans="1:16" hidden="1" x14ac:dyDescent="0.3">
      <c r="A37" t="str">
        <f t="shared" si="4"/>
        <v>2013Abby4</v>
      </c>
      <c r="B37">
        <f t="shared" si="0"/>
        <v>597</v>
      </c>
      <c r="C37">
        <f t="shared" si="1"/>
        <v>958</v>
      </c>
      <c r="D37" t="s">
        <v>27</v>
      </c>
      <c r="E37" t="str">
        <f>D36</f>
        <v>David</v>
      </c>
      <c r="F37">
        <v>2013</v>
      </c>
      <c r="G37">
        <v>4</v>
      </c>
      <c r="H37">
        <v>3.2</v>
      </c>
      <c r="I37">
        <v>92</v>
      </c>
      <c r="J37">
        <f>I37-I36</f>
        <v>17</v>
      </c>
      <c r="K37" t="str">
        <f t="shared" si="2"/>
        <v>W</v>
      </c>
      <c r="L37" t="str">
        <f t="shared" si="3"/>
        <v>Abby</v>
      </c>
      <c r="M37" t="str">
        <f>VLOOKUP(L37,References!$A$2:$B$16,2,FALSE)</f>
        <v>AKCOVA</v>
      </c>
      <c r="N37" s="19" t="str">
        <f>IF(M37=M36,"N","Y")</f>
        <v>Y</v>
      </c>
      <c r="O37">
        <f>SUM(I36:I37)</f>
        <v>167</v>
      </c>
      <c r="P37">
        <f t="shared" si="5"/>
        <v>75</v>
      </c>
    </row>
    <row r="38" spans="1:16" hidden="1" x14ac:dyDescent="0.3">
      <c r="A38" t="str">
        <f t="shared" si="4"/>
        <v>2013Mark4</v>
      </c>
      <c r="B38">
        <f t="shared" si="0"/>
        <v>1336</v>
      </c>
      <c r="C38">
        <f t="shared" si="1"/>
        <v>714</v>
      </c>
      <c r="D38" t="s">
        <v>22</v>
      </c>
      <c r="E38" t="str">
        <f>D39</f>
        <v>BR</v>
      </c>
      <c r="F38">
        <v>2013</v>
      </c>
      <c r="G38">
        <v>4</v>
      </c>
      <c r="H38">
        <v>4.0999999999999996</v>
      </c>
      <c r="I38">
        <v>99</v>
      </c>
      <c r="J38">
        <f>I38-I39</f>
        <v>-11</v>
      </c>
      <c r="K38" t="str">
        <f t="shared" si="2"/>
        <v>L</v>
      </c>
      <c r="L38" t="str">
        <f t="shared" si="3"/>
        <v>Mark</v>
      </c>
      <c r="M38" t="str">
        <f>VLOOKUP(L38,References!$A$2:$B$16,2,FALSE)</f>
        <v>AKCOVA</v>
      </c>
      <c r="N38" s="19" t="str">
        <f>IF(M38=M39,"N","Y")</f>
        <v>N</v>
      </c>
      <c r="O38">
        <f>SUM(I38:I39)</f>
        <v>209</v>
      </c>
      <c r="P38">
        <f t="shared" si="5"/>
        <v>110</v>
      </c>
    </row>
    <row r="39" spans="1:16" hidden="1" x14ac:dyDescent="0.3">
      <c r="A39" t="str">
        <f t="shared" si="4"/>
        <v>2013BR4</v>
      </c>
      <c r="B39">
        <f t="shared" si="0"/>
        <v>737</v>
      </c>
      <c r="C39">
        <f t="shared" si="1"/>
        <v>412</v>
      </c>
      <c r="D39" t="s">
        <v>25</v>
      </c>
      <c r="E39" t="str">
        <f>D38</f>
        <v>Mark</v>
      </c>
      <c r="F39">
        <v>2013</v>
      </c>
      <c r="G39">
        <v>4</v>
      </c>
      <c r="H39">
        <v>4.2</v>
      </c>
      <c r="I39">
        <v>110</v>
      </c>
      <c r="J39">
        <f>I39-I38</f>
        <v>11</v>
      </c>
      <c r="K39" t="str">
        <f t="shared" si="2"/>
        <v>W</v>
      </c>
      <c r="L39" t="str">
        <f t="shared" si="3"/>
        <v>BR</v>
      </c>
      <c r="M39" t="str">
        <f>VLOOKUP(L39,References!$A$2:$B$16,2,FALSE)</f>
        <v>AKCOVA</v>
      </c>
      <c r="N39" s="19" t="str">
        <f>IF(M39=M38,"N","Y")</f>
        <v>N</v>
      </c>
      <c r="O39">
        <f>SUM(I38:I39)</f>
        <v>209</v>
      </c>
      <c r="P39">
        <f t="shared" si="5"/>
        <v>99</v>
      </c>
    </row>
    <row r="40" spans="1:16" hidden="1" x14ac:dyDescent="0.3">
      <c r="A40" t="str">
        <f t="shared" si="4"/>
        <v>2013Watty4</v>
      </c>
      <c r="B40">
        <f t="shared" si="0"/>
        <v>1497</v>
      </c>
      <c r="C40">
        <f t="shared" si="1"/>
        <v>566</v>
      </c>
      <c r="D40" t="s">
        <v>24</v>
      </c>
      <c r="E40" t="str">
        <f>D41</f>
        <v>Russell</v>
      </c>
      <c r="F40">
        <v>2013</v>
      </c>
      <c r="G40">
        <v>4</v>
      </c>
      <c r="H40">
        <v>5.0999999999999996</v>
      </c>
      <c r="I40">
        <v>104</v>
      </c>
      <c r="J40">
        <f>I40-I41</f>
        <v>-18</v>
      </c>
      <c r="K40" t="str">
        <f t="shared" si="2"/>
        <v>L</v>
      </c>
      <c r="L40" t="str">
        <f t="shared" si="3"/>
        <v>Watty</v>
      </c>
      <c r="M40" t="str">
        <f>VLOOKUP(L40,References!$A$2:$B$16,2,FALSE)</f>
        <v>AKCOVA</v>
      </c>
      <c r="N40" s="19" t="str">
        <f>IF(M40=M41,"N","Y")</f>
        <v>Y</v>
      </c>
      <c r="O40">
        <f>SUM(I40:I41)</f>
        <v>226</v>
      </c>
      <c r="P40">
        <f t="shared" si="5"/>
        <v>122</v>
      </c>
    </row>
    <row r="41" spans="1:16" hidden="1" x14ac:dyDescent="0.3">
      <c r="A41" t="str">
        <f t="shared" si="4"/>
        <v>2013Russell4</v>
      </c>
      <c r="B41">
        <f t="shared" si="0"/>
        <v>571</v>
      </c>
      <c r="C41">
        <f t="shared" si="1"/>
        <v>197</v>
      </c>
      <c r="D41" t="s">
        <v>28</v>
      </c>
      <c r="E41" t="str">
        <f>D40</f>
        <v>Watty</v>
      </c>
      <c r="F41">
        <v>2013</v>
      </c>
      <c r="G41">
        <v>4</v>
      </c>
      <c r="H41">
        <v>5.2</v>
      </c>
      <c r="I41">
        <v>122</v>
      </c>
      <c r="J41">
        <f>I41-I40</f>
        <v>18</v>
      </c>
      <c r="K41" t="str">
        <f t="shared" si="2"/>
        <v>W</v>
      </c>
      <c r="L41" t="str">
        <f t="shared" si="3"/>
        <v>Russell</v>
      </c>
      <c r="M41" t="str">
        <f>VLOOKUP(L41,References!$A$2:$B$16,2,FALSE)</f>
        <v>TEXAROK</v>
      </c>
      <c r="N41" s="19" t="str">
        <f>IF(M41=M40,"N","Y")</f>
        <v>Y</v>
      </c>
      <c r="O41">
        <f>SUM(I40:I41)</f>
        <v>226</v>
      </c>
      <c r="P41">
        <f t="shared" si="5"/>
        <v>104</v>
      </c>
    </row>
    <row r="42" spans="1:16" hidden="1" x14ac:dyDescent="0.3">
      <c r="A42" t="str">
        <f t="shared" si="4"/>
        <v>2013Russell5</v>
      </c>
      <c r="B42">
        <f t="shared" si="0"/>
        <v>1197</v>
      </c>
      <c r="C42">
        <f t="shared" si="1"/>
        <v>926</v>
      </c>
      <c r="D42" t="s">
        <v>28</v>
      </c>
      <c r="E42" t="str">
        <f>D43</f>
        <v>Michael</v>
      </c>
      <c r="F42">
        <v>2013</v>
      </c>
      <c r="G42">
        <v>5</v>
      </c>
      <c r="H42">
        <v>1.1000000000000001</v>
      </c>
      <c r="I42">
        <v>93</v>
      </c>
      <c r="J42">
        <f>I42-I43</f>
        <v>-6</v>
      </c>
      <c r="K42" t="str">
        <f t="shared" si="2"/>
        <v>L</v>
      </c>
      <c r="L42" t="str">
        <f t="shared" si="3"/>
        <v>Russell</v>
      </c>
      <c r="M42" t="str">
        <f>VLOOKUP(L42,References!$A$2:$B$16,2,FALSE)</f>
        <v>TEXAROK</v>
      </c>
      <c r="N42" s="19" t="str">
        <f>IF(M42=M43,"N","Y")</f>
        <v>Y</v>
      </c>
      <c r="O42">
        <f>SUM(I42:I43)</f>
        <v>192</v>
      </c>
      <c r="P42">
        <f t="shared" si="5"/>
        <v>99</v>
      </c>
    </row>
    <row r="43" spans="1:16" x14ac:dyDescent="0.3">
      <c r="A43" t="str">
        <f t="shared" si="4"/>
        <v>2013Michael5</v>
      </c>
      <c r="B43">
        <f t="shared" si="0"/>
        <v>865</v>
      </c>
      <c r="C43">
        <f t="shared" si="1"/>
        <v>714</v>
      </c>
      <c r="D43" t="s">
        <v>23</v>
      </c>
      <c r="E43" t="str">
        <f>D42</f>
        <v>Russell</v>
      </c>
      <c r="F43">
        <v>2013</v>
      </c>
      <c r="G43">
        <v>5</v>
      </c>
      <c r="H43">
        <v>1.2</v>
      </c>
      <c r="I43">
        <v>99</v>
      </c>
      <c r="J43">
        <f>I43-I42</f>
        <v>6</v>
      </c>
      <c r="K43" t="str">
        <f t="shared" si="2"/>
        <v>W</v>
      </c>
      <c r="L43" t="str">
        <f t="shared" si="3"/>
        <v>Michael</v>
      </c>
      <c r="M43" t="str">
        <f>VLOOKUP(L43,References!$A$2:$B$16,2,FALSE)</f>
        <v>AKCOVA</v>
      </c>
      <c r="N43" s="19" t="str">
        <f>IF(M43=M42,"N","Y")</f>
        <v>Y</v>
      </c>
      <c r="O43">
        <f>SUM(I42:I43)</f>
        <v>192</v>
      </c>
      <c r="P43">
        <f t="shared" si="5"/>
        <v>93</v>
      </c>
    </row>
    <row r="44" spans="1:16" hidden="1" x14ac:dyDescent="0.3">
      <c r="A44" t="str">
        <f t="shared" si="4"/>
        <v>2013Abby5</v>
      </c>
      <c r="B44">
        <f t="shared" si="0"/>
        <v>450</v>
      </c>
      <c r="C44">
        <f t="shared" si="1"/>
        <v>566</v>
      </c>
      <c r="D44" t="s">
        <v>27</v>
      </c>
      <c r="E44" t="str">
        <f>D45</f>
        <v>Brian</v>
      </c>
      <c r="F44">
        <v>2013</v>
      </c>
      <c r="G44">
        <v>5</v>
      </c>
      <c r="H44">
        <v>2.1</v>
      </c>
      <c r="I44">
        <v>104</v>
      </c>
      <c r="J44">
        <f>I44-I45</f>
        <v>23</v>
      </c>
      <c r="K44" t="str">
        <f t="shared" si="2"/>
        <v>W</v>
      </c>
      <c r="L44" t="str">
        <f t="shared" si="3"/>
        <v>Abby</v>
      </c>
      <c r="M44" t="str">
        <f>VLOOKUP(L44,References!$A$2:$B$16,2,FALSE)</f>
        <v>AKCOVA</v>
      </c>
      <c r="N44" s="19" t="str">
        <f>IF(M44=M45,"N","Y")</f>
        <v>Y</v>
      </c>
      <c r="O44">
        <f>SUM(I44:I45)</f>
        <v>185</v>
      </c>
      <c r="P44">
        <f t="shared" si="5"/>
        <v>81</v>
      </c>
    </row>
    <row r="45" spans="1:16" hidden="1" x14ac:dyDescent="0.3">
      <c r="A45" t="str">
        <f t="shared" si="4"/>
        <v>2013Brian5</v>
      </c>
      <c r="B45">
        <f t="shared" si="0"/>
        <v>1625</v>
      </c>
      <c r="C45">
        <f t="shared" si="1"/>
        <v>1365</v>
      </c>
      <c r="D45" t="s">
        <v>26</v>
      </c>
      <c r="E45" t="str">
        <f>D44</f>
        <v>Abby</v>
      </c>
      <c r="F45">
        <v>2013</v>
      </c>
      <c r="G45">
        <v>5</v>
      </c>
      <c r="H45">
        <v>2.2000000000000002</v>
      </c>
      <c r="I45">
        <v>81</v>
      </c>
      <c r="J45">
        <f>I45-I44</f>
        <v>-23</v>
      </c>
      <c r="K45" t="str">
        <f t="shared" si="2"/>
        <v>L</v>
      </c>
      <c r="L45" t="str">
        <f t="shared" si="3"/>
        <v>Brian</v>
      </c>
      <c r="M45" t="str">
        <f>VLOOKUP(L45,References!$A$2:$B$16,2,FALSE)</f>
        <v>TEXAROK</v>
      </c>
      <c r="N45" s="19" t="str">
        <f>IF(M45=M44,"N","Y")</f>
        <v>Y</v>
      </c>
      <c r="O45">
        <f>SUM(I44:I45)</f>
        <v>185</v>
      </c>
      <c r="P45">
        <f t="shared" si="5"/>
        <v>104</v>
      </c>
    </row>
    <row r="46" spans="1:16" hidden="1" x14ac:dyDescent="0.3">
      <c r="A46" t="str">
        <f t="shared" si="4"/>
        <v>2013David5</v>
      </c>
      <c r="B46">
        <f t="shared" si="0"/>
        <v>517</v>
      </c>
      <c r="C46">
        <f t="shared" si="1"/>
        <v>1241</v>
      </c>
      <c r="D46" t="s">
        <v>29</v>
      </c>
      <c r="E46" t="str">
        <f>D47</f>
        <v>Emily</v>
      </c>
      <c r="F46">
        <v>2013</v>
      </c>
      <c r="G46">
        <v>5</v>
      </c>
      <c r="H46">
        <v>3.1</v>
      </c>
      <c r="I46">
        <v>84</v>
      </c>
      <c r="J46">
        <f>I46-I47</f>
        <v>20</v>
      </c>
      <c r="K46" t="str">
        <f t="shared" si="2"/>
        <v>W</v>
      </c>
      <c r="L46" t="str">
        <f t="shared" si="3"/>
        <v>David</v>
      </c>
      <c r="M46" t="str">
        <f>VLOOKUP(L46,References!$A$2:$B$16,2,FALSE)</f>
        <v>TEXAROK</v>
      </c>
      <c r="N46" s="19" t="str">
        <f>IF(M46=M47,"N","Y")</f>
        <v>N</v>
      </c>
      <c r="O46">
        <f>SUM(I46:I47)</f>
        <v>148</v>
      </c>
      <c r="P46">
        <f t="shared" si="5"/>
        <v>64</v>
      </c>
    </row>
    <row r="47" spans="1:16" hidden="1" x14ac:dyDescent="0.3">
      <c r="A47" t="str">
        <f t="shared" si="4"/>
        <v>2013Emily5</v>
      </c>
      <c r="B47">
        <f t="shared" si="0"/>
        <v>1546</v>
      </c>
      <c r="C47">
        <f t="shared" si="1"/>
        <v>1867</v>
      </c>
      <c r="D47" t="s">
        <v>43</v>
      </c>
      <c r="E47" t="str">
        <f>D46</f>
        <v>David</v>
      </c>
      <c r="F47">
        <v>2013</v>
      </c>
      <c r="G47">
        <v>5</v>
      </c>
      <c r="H47">
        <v>3.2</v>
      </c>
      <c r="I47">
        <v>64</v>
      </c>
      <c r="J47">
        <f>I47-I46</f>
        <v>-20</v>
      </c>
      <c r="K47" t="str">
        <f t="shared" si="2"/>
        <v>L</v>
      </c>
      <c r="L47" t="str">
        <f t="shared" si="3"/>
        <v>Emily</v>
      </c>
      <c r="M47" t="str">
        <f>VLOOKUP(L47,References!$A$2:$B$16,2,FALSE)</f>
        <v>TEXAROK</v>
      </c>
      <c r="N47" s="19" t="str">
        <f>IF(M47=M46,"N","Y")</f>
        <v>N</v>
      </c>
      <c r="O47">
        <f>SUM(I46:I47)</f>
        <v>148</v>
      </c>
      <c r="P47">
        <f t="shared" si="5"/>
        <v>84</v>
      </c>
    </row>
    <row r="48" spans="1:16" hidden="1" x14ac:dyDescent="0.3">
      <c r="A48" t="str">
        <f t="shared" si="4"/>
        <v>2013Matt5</v>
      </c>
      <c r="B48">
        <f t="shared" si="0"/>
        <v>1840</v>
      </c>
      <c r="C48">
        <f t="shared" si="1"/>
        <v>1468</v>
      </c>
      <c r="D48" t="s">
        <v>30</v>
      </c>
      <c r="E48" t="str">
        <f>D49</f>
        <v>BR</v>
      </c>
      <c r="F48">
        <v>2013</v>
      </c>
      <c r="G48">
        <v>5</v>
      </c>
      <c r="H48">
        <v>4.0999999999999996</v>
      </c>
      <c r="I48">
        <v>78</v>
      </c>
      <c r="J48">
        <f>I48-I49</f>
        <v>-36</v>
      </c>
      <c r="K48" t="str">
        <f t="shared" si="2"/>
        <v>L</v>
      </c>
      <c r="L48" t="str">
        <f t="shared" si="3"/>
        <v>Matt</v>
      </c>
      <c r="M48" t="str">
        <f>VLOOKUP(L48,References!$A$2:$B$16,2,FALSE)</f>
        <v>TEXAROK</v>
      </c>
      <c r="N48" s="19" t="str">
        <f>IF(M48=M49,"N","Y")</f>
        <v>Y</v>
      </c>
      <c r="O48">
        <f>SUM(I48:I49)</f>
        <v>192</v>
      </c>
      <c r="P48">
        <f t="shared" si="5"/>
        <v>114</v>
      </c>
    </row>
    <row r="49" spans="1:16" hidden="1" x14ac:dyDescent="0.3">
      <c r="A49" t="str">
        <f t="shared" si="4"/>
        <v>2013BR5</v>
      </c>
      <c r="B49">
        <f t="shared" si="0"/>
        <v>238</v>
      </c>
      <c r="C49">
        <f t="shared" si="1"/>
        <v>321</v>
      </c>
      <c r="D49" t="s">
        <v>25</v>
      </c>
      <c r="E49" t="str">
        <f>D48</f>
        <v>Matt</v>
      </c>
      <c r="F49">
        <v>2013</v>
      </c>
      <c r="G49">
        <v>5</v>
      </c>
      <c r="H49">
        <v>4.2</v>
      </c>
      <c r="I49">
        <v>114</v>
      </c>
      <c r="J49">
        <f>I49-I48</f>
        <v>36</v>
      </c>
      <c r="K49" t="str">
        <f t="shared" si="2"/>
        <v>W</v>
      </c>
      <c r="L49" t="str">
        <f t="shared" si="3"/>
        <v>BR</v>
      </c>
      <c r="M49" t="str">
        <f>VLOOKUP(L49,References!$A$2:$B$16,2,FALSE)</f>
        <v>AKCOVA</v>
      </c>
      <c r="N49" s="19" t="str">
        <f>IF(M49=M48,"N","Y")</f>
        <v>Y</v>
      </c>
      <c r="O49">
        <f>SUM(I48:I49)</f>
        <v>192</v>
      </c>
      <c r="P49">
        <f t="shared" si="5"/>
        <v>78</v>
      </c>
    </row>
    <row r="50" spans="1:16" hidden="1" x14ac:dyDescent="0.3">
      <c r="A50" t="str">
        <f t="shared" si="4"/>
        <v>2013Watty5</v>
      </c>
      <c r="B50">
        <f t="shared" si="0"/>
        <v>116</v>
      </c>
      <c r="C50">
        <f t="shared" si="1"/>
        <v>339</v>
      </c>
      <c r="D50" t="s">
        <v>24</v>
      </c>
      <c r="E50" t="str">
        <f>D51</f>
        <v>Mark</v>
      </c>
      <c r="F50">
        <v>2013</v>
      </c>
      <c r="G50">
        <v>5</v>
      </c>
      <c r="H50">
        <v>5.0999999999999996</v>
      </c>
      <c r="I50">
        <v>113</v>
      </c>
      <c r="J50">
        <f>I50-I51</f>
        <v>49</v>
      </c>
      <c r="K50" t="str">
        <f t="shared" si="2"/>
        <v>W</v>
      </c>
      <c r="L50" t="str">
        <f t="shared" si="3"/>
        <v>Watty</v>
      </c>
      <c r="M50" t="str">
        <f>VLOOKUP(L50,References!$A$2:$B$16,2,FALSE)</f>
        <v>AKCOVA</v>
      </c>
      <c r="N50" s="19" t="str">
        <f>IF(M50=M51,"N","Y")</f>
        <v>N</v>
      </c>
      <c r="O50">
        <f>SUM(I50:I51)</f>
        <v>177</v>
      </c>
      <c r="P50">
        <f t="shared" si="5"/>
        <v>64</v>
      </c>
    </row>
    <row r="51" spans="1:16" hidden="1" x14ac:dyDescent="0.3">
      <c r="A51" t="str">
        <f t="shared" si="4"/>
        <v>2013Mark5</v>
      </c>
      <c r="B51">
        <f t="shared" si="0"/>
        <v>1975</v>
      </c>
      <c r="C51">
        <f t="shared" si="1"/>
        <v>1867</v>
      </c>
      <c r="D51" t="s">
        <v>22</v>
      </c>
      <c r="E51" t="str">
        <f>D50</f>
        <v>Watty</v>
      </c>
      <c r="F51">
        <v>2013</v>
      </c>
      <c r="G51">
        <v>5</v>
      </c>
      <c r="H51">
        <v>5.2</v>
      </c>
      <c r="I51">
        <v>64</v>
      </c>
      <c r="J51">
        <f>I51-I50</f>
        <v>-49</v>
      </c>
      <c r="K51" t="str">
        <f t="shared" si="2"/>
        <v>L</v>
      </c>
      <c r="L51" t="str">
        <f t="shared" si="3"/>
        <v>Mark</v>
      </c>
      <c r="M51" t="str">
        <f>VLOOKUP(L51,References!$A$2:$B$16,2,FALSE)</f>
        <v>AKCOVA</v>
      </c>
      <c r="N51" s="19" t="str">
        <f>IF(M51=M50,"N","Y")</f>
        <v>N</v>
      </c>
      <c r="O51">
        <f>SUM(I50:I51)</f>
        <v>177</v>
      </c>
      <c r="P51">
        <f t="shared" si="5"/>
        <v>113</v>
      </c>
    </row>
    <row r="52" spans="1:16" hidden="1" x14ac:dyDescent="0.3">
      <c r="A52" t="str">
        <f t="shared" si="4"/>
        <v>2013Michael6</v>
      </c>
      <c r="B52">
        <f t="shared" si="0"/>
        <v>1291</v>
      </c>
      <c r="C52">
        <f t="shared" si="1"/>
        <v>1618</v>
      </c>
      <c r="D52" t="s">
        <v>23</v>
      </c>
      <c r="E52" t="str">
        <f>D53</f>
        <v>Emily</v>
      </c>
      <c r="F52">
        <v>2013</v>
      </c>
      <c r="G52">
        <v>6</v>
      </c>
      <c r="H52">
        <v>1.1000000000000001</v>
      </c>
      <c r="I52">
        <v>74</v>
      </c>
      <c r="J52">
        <f>I52-I53</f>
        <v>-9</v>
      </c>
      <c r="K52" t="str">
        <f t="shared" si="2"/>
        <v>L</v>
      </c>
      <c r="L52" t="str">
        <f t="shared" si="3"/>
        <v>Michael</v>
      </c>
      <c r="M52" t="str">
        <f>VLOOKUP(L52,References!$A$2:$B$16,2,FALSE)</f>
        <v>AKCOVA</v>
      </c>
      <c r="N52" s="19" t="str">
        <f>IF(M52=M53,"N","Y")</f>
        <v>Y</v>
      </c>
      <c r="O52">
        <f>SUM(I52:I53)</f>
        <v>157</v>
      </c>
      <c r="P52">
        <f t="shared" si="5"/>
        <v>83</v>
      </c>
    </row>
    <row r="53" spans="1:16" hidden="1" x14ac:dyDescent="0.3">
      <c r="A53" t="str">
        <f t="shared" si="4"/>
        <v>2013Emily6</v>
      </c>
      <c r="B53">
        <f t="shared" si="0"/>
        <v>782</v>
      </c>
      <c r="C53">
        <f t="shared" si="1"/>
        <v>1282</v>
      </c>
      <c r="D53" t="s">
        <v>43</v>
      </c>
      <c r="E53" t="str">
        <f>D52</f>
        <v>Michael</v>
      </c>
      <c r="F53">
        <v>2013</v>
      </c>
      <c r="G53">
        <v>6</v>
      </c>
      <c r="H53">
        <v>1.2</v>
      </c>
      <c r="I53">
        <v>83</v>
      </c>
      <c r="J53">
        <f>I53-I52</f>
        <v>9</v>
      </c>
      <c r="K53" t="str">
        <f t="shared" si="2"/>
        <v>W</v>
      </c>
      <c r="L53" t="str">
        <f t="shared" si="3"/>
        <v>Emily</v>
      </c>
      <c r="M53" t="str">
        <f>VLOOKUP(L53,References!$A$2:$B$16,2,FALSE)</f>
        <v>TEXAROK</v>
      </c>
      <c r="N53" s="19" t="str">
        <f>IF(M53=M52,"N","Y")</f>
        <v>Y</v>
      </c>
      <c r="O53">
        <f>SUM(I52:I53)</f>
        <v>157</v>
      </c>
      <c r="P53">
        <f t="shared" si="5"/>
        <v>74</v>
      </c>
    </row>
    <row r="54" spans="1:16" hidden="1" x14ac:dyDescent="0.3">
      <c r="A54" t="str">
        <f t="shared" si="4"/>
        <v>2013Mark6</v>
      </c>
      <c r="B54">
        <f t="shared" si="0"/>
        <v>685</v>
      </c>
      <c r="C54">
        <f t="shared" si="1"/>
        <v>714</v>
      </c>
      <c r="D54" t="s">
        <v>22</v>
      </c>
      <c r="E54" t="str">
        <f>D55</f>
        <v>David</v>
      </c>
      <c r="F54">
        <v>2013</v>
      </c>
      <c r="G54">
        <v>6</v>
      </c>
      <c r="H54">
        <v>2.1</v>
      </c>
      <c r="I54">
        <v>99</v>
      </c>
      <c r="J54">
        <f>I54-I55</f>
        <v>13</v>
      </c>
      <c r="K54" t="str">
        <f t="shared" si="2"/>
        <v>W</v>
      </c>
      <c r="L54" t="str">
        <f t="shared" si="3"/>
        <v>Mark</v>
      </c>
      <c r="M54" t="str">
        <f>VLOOKUP(L54,References!$A$2:$B$16,2,FALSE)</f>
        <v>AKCOVA</v>
      </c>
      <c r="N54" s="19" t="str">
        <f>IF(M54=M55,"N","Y")</f>
        <v>Y</v>
      </c>
      <c r="O54">
        <f>SUM(I54:I55)</f>
        <v>185</v>
      </c>
      <c r="P54">
        <f t="shared" si="5"/>
        <v>86</v>
      </c>
    </row>
    <row r="55" spans="1:16" hidden="1" x14ac:dyDescent="0.3">
      <c r="A55" t="str">
        <f t="shared" si="4"/>
        <v>2013David6</v>
      </c>
      <c r="B55">
        <f t="shared" si="0"/>
        <v>1381</v>
      </c>
      <c r="C55">
        <f t="shared" si="1"/>
        <v>1173</v>
      </c>
      <c r="D55" t="s">
        <v>29</v>
      </c>
      <c r="E55" t="str">
        <f>D54</f>
        <v>Mark</v>
      </c>
      <c r="F55">
        <v>2013</v>
      </c>
      <c r="G55">
        <v>6</v>
      </c>
      <c r="H55">
        <v>2.2000000000000002</v>
      </c>
      <c r="I55">
        <v>86</v>
      </c>
      <c r="J55">
        <f>I55-I54</f>
        <v>-13</v>
      </c>
      <c r="K55" t="str">
        <f t="shared" si="2"/>
        <v>L</v>
      </c>
      <c r="L55" t="str">
        <f t="shared" si="3"/>
        <v>David</v>
      </c>
      <c r="M55" t="str">
        <f>VLOOKUP(L55,References!$A$2:$B$16,2,FALSE)</f>
        <v>TEXAROK</v>
      </c>
      <c r="N55" s="19" t="str">
        <f>IF(M55=M54,"N","Y")</f>
        <v>Y</v>
      </c>
      <c r="O55">
        <f>SUM(I54:I55)</f>
        <v>185</v>
      </c>
      <c r="P55">
        <f t="shared" si="5"/>
        <v>99</v>
      </c>
    </row>
    <row r="56" spans="1:16" hidden="1" x14ac:dyDescent="0.3">
      <c r="A56" t="str">
        <f t="shared" si="4"/>
        <v>2013Russell6</v>
      </c>
      <c r="B56">
        <f t="shared" si="0"/>
        <v>1040</v>
      </c>
      <c r="C56">
        <f t="shared" si="1"/>
        <v>1365</v>
      </c>
      <c r="D56" t="s">
        <v>28</v>
      </c>
      <c r="E56" t="str">
        <f>D57</f>
        <v>Matt</v>
      </c>
      <c r="F56">
        <v>2013</v>
      </c>
      <c r="G56">
        <v>6</v>
      </c>
      <c r="H56">
        <v>3.1</v>
      </c>
      <c r="I56">
        <v>81</v>
      </c>
      <c r="J56">
        <f>I56-I57</f>
        <v>0</v>
      </c>
      <c r="K56" t="str">
        <f t="shared" si="2"/>
        <v>T</v>
      </c>
      <c r="L56" t="str">
        <f t="shared" si="3"/>
        <v>Russell</v>
      </c>
      <c r="M56" t="str">
        <f>VLOOKUP(L56,References!$A$2:$B$16,2,FALSE)</f>
        <v>TEXAROK</v>
      </c>
      <c r="N56" s="19" t="str">
        <f>IF(M56=M57,"N","Y")</f>
        <v>N</v>
      </c>
      <c r="O56">
        <f>SUM(I56:I57)</f>
        <v>162</v>
      </c>
      <c r="P56">
        <f t="shared" si="5"/>
        <v>81</v>
      </c>
    </row>
    <row r="57" spans="1:16" hidden="1" x14ac:dyDescent="0.3">
      <c r="A57" t="str">
        <f t="shared" si="4"/>
        <v>2013Matt6</v>
      </c>
      <c r="B57">
        <f t="shared" si="0"/>
        <v>1040</v>
      </c>
      <c r="C57">
        <f t="shared" si="1"/>
        <v>1365</v>
      </c>
      <c r="D57" t="s">
        <v>30</v>
      </c>
      <c r="E57" t="str">
        <f>D56</f>
        <v>Russell</v>
      </c>
      <c r="F57">
        <v>2013</v>
      </c>
      <c r="G57">
        <v>6</v>
      </c>
      <c r="H57">
        <v>3.2</v>
      </c>
      <c r="I57">
        <v>81</v>
      </c>
      <c r="J57">
        <f>I57-I56</f>
        <v>0</v>
      </c>
      <c r="K57" t="str">
        <f t="shared" si="2"/>
        <v>T</v>
      </c>
      <c r="L57" t="str">
        <f t="shared" si="3"/>
        <v>Matt</v>
      </c>
      <c r="M57" t="str">
        <f>VLOOKUP(L57,References!$A$2:$B$16,2,FALSE)</f>
        <v>TEXAROK</v>
      </c>
      <c r="N57" s="19" t="str">
        <f>IF(M57=M56,"N","Y")</f>
        <v>N</v>
      </c>
      <c r="O57">
        <f>SUM(I56:I57)</f>
        <v>162</v>
      </c>
      <c r="P57">
        <f t="shared" si="5"/>
        <v>81</v>
      </c>
    </row>
    <row r="58" spans="1:16" hidden="1" x14ac:dyDescent="0.3">
      <c r="A58" t="str">
        <f t="shared" si="4"/>
        <v>2013Watty6</v>
      </c>
      <c r="B58">
        <f t="shared" si="0"/>
        <v>11</v>
      </c>
      <c r="C58">
        <f t="shared" si="1"/>
        <v>128</v>
      </c>
      <c r="D58" t="s">
        <v>24</v>
      </c>
      <c r="E58" t="str">
        <f>D59</f>
        <v>Abby</v>
      </c>
      <c r="F58">
        <v>2013</v>
      </c>
      <c r="G58">
        <v>6</v>
      </c>
      <c r="H58">
        <v>4.0999999999999996</v>
      </c>
      <c r="I58">
        <v>128</v>
      </c>
      <c r="J58">
        <f>I58-I59</f>
        <v>77</v>
      </c>
      <c r="K58" t="str">
        <f t="shared" si="2"/>
        <v>W</v>
      </c>
      <c r="L58" t="str">
        <f t="shared" si="3"/>
        <v>Watty</v>
      </c>
      <c r="M58" t="str">
        <f>VLOOKUP(L58,References!$A$2:$B$16,2,FALSE)</f>
        <v>AKCOVA</v>
      </c>
      <c r="N58" s="19" t="str">
        <f>IF(M58=M59,"N","Y")</f>
        <v>N</v>
      </c>
      <c r="O58">
        <f>SUM(I58:I59)</f>
        <v>179</v>
      </c>
      <c r="P58">
        <f t="shared" si="5"/>
        <v>51</v>
      </c>
    </row>
    <row r="59" spans="1:16" hidden="1" x14ac:dyDescent="0.3">
      <c r="A59" t="str">
        <f t="shared" si="4"/>
        <v>2013Abby6</v>
      </c>
      <c r="B59">
        <f t="shared" si="0"/>
        <v>2082</v>
      </c>
      <c r="C59">
        <f t="shared" si="1"/>
        <v>2040</v>
      </c>
      <c r="D59" t="s">
        <v>27</v>
      </c>
      <c r="E59" t="str">
        <f>D58</f>
        <v>Watty</v>
      </c>
      <c r="F59">
        <v>2013</v>
      </c>
      <c r="G59">
        <v>6</v>
      </c>
      <c r="H59">
        <v>4.2</v>
      </c>
      <c r="I59">
        <v>51</v>
      </c>
      <c r="J59">
        <f>I59-I58</f>
        <v>-77</v>
      </c>
      <c r="K59" t="str">
        <f t="shared" si="2"/>
        <v>L</v>
      </c>
      <c r="L59" t="str">
        <f t="shared" si="3"/>
        <v>Abby</v>
      </c>
      <c r="M59" t="str">
        <f>VLOOKUP(L59,References!$A$2:$B$16,2,FALSE)</f>
        <v>AKCOVA</v>
      </c>
      <c r="N59" s="19" t="str">
        <f>IF(M59=M58,"N","Y")</f>
        <v>N</v>
      </c>
      <c r="O59">
        <f>SUM(I58:I59)</f>
        <v>179</v>
      </c>
      <c r="P59">
        <f t="shared" si="5"/>
        <v>128</v>
      </c>
    </row>
    <row r="60" spans="1:16" hidden="1" x14ac:dyDescent="0.3">
      <c r="A60" t="str">
        <f t="shared" si="4"/>
        <v>2013BR6</v>
      </c>
      <c r="B60">
        <f t="shared" si="0"/>
        <v>2070</v>
      </c>
      <c r="C60">
        <f t="shared" si="1"/>
        <v>2088</v>
      </c>
      <c r="D60" t="s">
        <v>25</v>
      </c>
      <c r="E60" t="str">
        <f>D61</f>
        <v>Brian</v>
      </c>
      <c r="F60">
        <v>2013</v>
      </c>
      <c r="G60">
        <v>6</v>
      </c>
      <c r="H60">
        <v>5.0999999999999996</v>
      </c>
      <c r="I60">
        <v>36</v>
      </c>
      <c r="J60">
        <f>I60-I61</f>
        <v>-69</v>
      </c>
      <c r="K60" t="str">
        <f t="shared" si="2"/>
        <v>L</v>
      </c>
      <c r="L60" t="str">
        <f t="shared" si="3"/>
        <v>BR</v>
      </c>
      <c r="M60" t="str">
        <f>VLOOKUP(L60,References!$A$2:$B$16,2,FALSE)</f>
        <v>AKCOVA</v>
      </c>
      <c r="N60" s="19" t="str">
        <f>IF(M60=M61,"N","Y")</f>
        <v>Y</v>
      </c>
      <c r="O60">
        <f>SUM(I60:I61)</f>
        <v>141</v>
      </c>
      <c r="P60">
        <f t="shared" si="5"/>
        <v>105</v>
      </c>
    </row>
    <row r="61" spans="1:16" hidden="1" x14ac:dyDescent="0.3">
      <c r="A61" t="str">
        <f t="shared" si="4"/>
        <v>2013Brian6</v>
      </c>
      <c r="B61">
        <f t="shared" si="0"/>
        <v>23</v>
      </c>
      <c r="C61">
        <f t="shared" si="1"/>
        <v>540</v>
      </c>
      <c r="D61" t="s">
        <v>26</v>
      </c>
      <c r="E61" t="str">
        <f>D60</f>
        <v>BR</v>
      </c>
      <c r="F61">
        <v>2013</v>
      </c>
      <c r="G61">
        <v>6</v>
      </c>
      <c r="H61">
        <v>5.2</v>
      </c>
      <c r="I61">
        <v>105</v>
      </c>
      <c r="J61">
        <f>I61-I60</f>
        <v>69</v>
      </c>
      <c r="K61" t="str">
        <f t="shared" si="2"/>
        <v>W</v>
      </c>
      <c r="L61" t="str">
        <f t="shared" si="3"/>
        <v>Brian</v>
      </c>
      <c r="M61" t="str">
        <f>VLOOKUP(L61,References!$A$2:$B$16,2,FALSE)</f>
        <v>TEXAROK</v>
      </c>
      <c r="N61" s="19" t="str">
        <f>IF(M61=M60,"N","Y")</f>
        <v>Y</v>
      </c>
      <c r="O61">
        <f>SUM(I60:I61)</f>
        <v>141</v>
      </c>
      <c r="P61">
        <f t="shared" si="5"/>
        <v>36</v>
      </c>
    </row>
    <row r="62" spans="1:16" hidden="1" x14ac:dyDescent="0.3">
      <c r="A62" t="str">
        <f t="shared" si="4"/>
        <v>2013David7</v>
      </c>
      <c r="B62">
        <f t="shared" si="0"/>
        <v>371</v>
      </c>
      <c r="C62">
        <f t="shared" si="1"/>
        <v>1027</v>
      </c>
      <c r="D62" t="s">
        <v>29</v>
      </c>
      <c r="E62" t="str">
        <f>D63</f>
        <v>Michael</v>
      </c>
      <c r="F62">
        <v>2013</v>
      </c>
      <c r="G62">
        <v>7</v>
      </c>
      <c r="H62">
        <v>1.1000000000000001</v>
      </c>
      <c r="I62">
        <v>90</v>
      </c>
      <c r="J62">
        <f>I62-I63</f>
        <v>27</v>
      </c>
      <c r="K62" t="str">
        <f t="shared" si="2"/>
        <v>W</v>
      </c>
      <c r="L62" t="str">
        <f t="shared" si="3"/>
        <v>David</v>
      </c>
      <c r="M62" t="str">
        <f>VLOOKUP(L62,References!$A$2:$B$16,2,FALSE)</f>
        <v>TEXAROK</v>
      </c>
      <c r="N62" s="19" t="str">
        <f>IF(M62=M63,"N","Y")</f>
        <v>Y</v>
      </c>
      <c r="O62">
        <f>SUM(I62:I63)</f>
        <v>153</v>
      </c>
      <c r="P62">
        <f t="shared" si="5"/>
        <v>63</v>
      </c>
    </row>
    <row r="63" spans="1:16" hidden="1" x14ac:dyDescent="0.3">
      <c r="A63" t="str">
        <f t="shared" si="4"/>
        <v>2013Michael7</v>
      </c>
      <c r="B63">
        <f t="shared" si="0"/>
        <v>1702</v>
      </c>
      <c r="C63">
        <f t="shared" si="1"/>
        <v>1885</v>
      </c>
      <c r="D63" t="s">
        <v>23</v>
      </c>
      <c r="E63" t="str">
        <f>D62</f>
        <v>David</v>
      </c>
      <c r="F63">
        <v>2013</v>
      </c>
      <c r="G63">
        <v>7</v>
      </c>
      <c r="H63">
        <v>1.2</v>
      </c>
      <c r="I63">
        <v>63</v>
      </c>
      <c r="J63">
        <f>I63-I62</f>
        <v>-27</v>
      </c>
      <c r="K63" t="str">
        <f t="shared" si="2"/>
        <v>L</v>
      </c>
      <c r="L63" t="str">
        <f t="shared" si="3"/>
        <v>Michael</v>
      </c>
      <c r="M63" t="str">
        <f>VLOOKUP(L63,References!$A$2:$B$16,2,FALSE)</f>
        <v>AKCOVA</v>
      </c>
      <c r="N63" s="19" t="str">
        <f>IF(M63=M62,"N","Y")</f>
        <v>Y</v>
      </c>
      <c r="O63">
        <f>SUM(I62:I63)</f>
        <v>153</v>
      </c>
      <c r="P63">
        <f t="shared" si="5"/>
        <v>90</v>
      </c>
    </row>
    <row r="64" spans="1:16" hidden="1" x14ac:dyDescent="0.3">
      <c r="A64" t="str">
        <f t="shared" si="4"/>
        <v>2013Emily7</v>
      </c>
      <c r="B64">
        <f t="shared" si="0"/>
        <v>597</v>
      </c>
      <c r="C64">
        <f t="shared" si="1"/>
        <v>958</v>
      </c>
      <c r="D64" t="s">
        <v>43</v>
      </c>
      <c r="E64" t="str">
        <f>D65</f>
        <v>BR</v>
      </c>
      <c r="F64">
        <v>2013</v>
      </c>
      <c r="G64">
        <v>7</v>
      </c>
      <c r="H64">
        <v>2.1</v>
      </c>
      <c r="I64">
        <v>92</v>
      </c>
      <c r="J64">
        <f>I64-I65</f>
        <v>17</v>
      </c>
      <c r="K64" t="str">
        <f t="shared" si="2"/>
        <v>W</v>
      </c>
      <c r="L64" t="str">
        <f t="shared" si="3"/>
        <v>Emily</v>
      </c>
      <c r="M64" t="str">
        <f>VLOOKUP(L64,References!$A$2:$B$16,2,FALSE)</f>
        <v>TEXAROK</v>
      </c>
      <c r="N64" s="19" t="str">
        <f>IF(M64=M65,"N","Y")</f>
        <v>Y</v>
      </c>
      <c r="O64">
        <f>SUM(I64:I65)</f>
        <v>167</v>
      </c>
      <c r="P64">
        <f t="shared" si="5"/>
        <v>75</v>
      </c>
    </row>
    <row r="65" spans="1:16" hidden="1" x14ac:dyDescent="0.3">
      <c r="A65" t="str">
        <f t="shared" si="4"/>
        <v>2013BR7</v>
      </c>
      <c r="B65">
        <f t="shared" si="0"/>
        <v>1475</v>
      </c>
      <c r="C65">
        <f t="shared" si="1"/>
        <v>1595</v>
      </c>
      <c r="D65" t="s">
        <v>25</v>
      </c>
      <c r="E65" t="str">
        <f>D64</f>
        <v>Emily</v>
      </c>
      <c r="F65">
        <v>2013</v>
      </c>
      <c r="G65">
        <v>7</v>
      </c>
      <c r="H65">
        <v>2.2000000000000002</v>
      </c>
      <c r="I65">
        <v>75</v>
      </c>
      <c r="J65">
        <f>I65-I64</f>
        <v>-17</v>
      </c>
      <c r="K65" t="str">
        <f t="shared" si="2"/>
        <v>L</v>
      </c>
      <c r="L65" t="str">
        <f t="shared" si="3"/>
        <v>BR</v>
      </c>
      <c r="M65" t="str">
        <f>VLOOKUP(L65,References!$A$2:$B$16,2,FALSE)</f>
        <v>AKCOVA</v>
      </c>
      <c r="N65" s="19" t="str">
        <f>IF(M65=M64,"N","Y")</f>
        <v>Y</v>
      </c>
      <c r="O65">
        <f>SUM(I64:I65)</f>
        <v>167</v>
      </c>
      <c r="P65">
        <f t="shared" si="5"/>
        <v>92</v>
      </c>
    </row>
    <row r="66" spans="1:16" hidden="1" x14ac:dyDescent="0.3">
      <c r="A66" t="str">
        <f t="shared" si="4"/>
        <v>2013Matt7</v>
      </c>
      <c r="B66">
        <f t="shared" ref="B66:B129" si="6">RANK(J66,diff)</f>
        <v>1055</v>
      </c>
      <c r="C66">
        <f t="shared" ref="C66:C129" si="7">RANK(I66,points)</f>
        <v>992</v>
      </c>
      <c r="D66" t="s">
        <v>30</v>
      </c>
      <c r="E66" t="str">
        <f>D67</f>
        <v>Watty</v>
      </c>
      <c r="F66">
        <v>2013</v>
      </c>
      <c r="G66">
        <v>7</v>
      </c>
      <c r="H66">
        <v>3.1</v>
      </c>
      <c r="I66">
        <v>91</v>
      </c>
      <c r="J66">
        <f>I66-I67</f>
        <v>-1</v>
      </c>
      <c r="K66" t="str">
        <f t="shared" ref="K66:K129" si="8">IF(J66&gt;0,"W",IF(J66&lt;0,"L","T"))</f>
        <v>L</v>
      </c>
      <c r="L66" t="str">
        <f t="shared" ref="L66:L129" si="9">D66</f>
        <v>Matt</v>
      </c>
      <c r="M66" t="str">
        <f>VLOOKUP(L66,References!$A$2:$B$16,2,FALSE)</f>
        <v>TEXAROK</v>
      </c>
      <c r="N66" s="19" t="str">
        <f>IF(M66=M67,"N","Y")</f>
        <v>Y</v>
      </c>
      <c r="O66">
        <f>SUM(I66:I67)</f>
        <v>183</v>
      </c>
      <c r="P66">
        <f t="shared" si="5"/>
        <v>92</v>
      </c>
    </row>
    <row r="67" spans="1:16" hidden="1" x14ac:dyDescent="0.3">
      <c r="A67" t="str">
        <f t="shared" ref="A67:A130" si="10">F67&amp;D67&amp;G67</f>
        <v>2013Watty7</v>
      </c>
      <c r="B67">
        <f t="shared" si="6"/>
        <v>1004</v>
      </c>
      <c r="C67">
        <f t="shared" si="7"/>
        <v>958</v>
      </c>
      <c r="D67" t="s">
        <v>24</v>
      </c>
      <c r="E67" t="str">
        <f>D66</f>
        <v>Matt</v>
      </c>
      <c r="F67">
        <v>2013</v>
      </c>
      <c r="G67">
        <v>7</v>
      </c>
      <c r="H67">
        <v>3.2</v>
      </c>
      <c r="I67">
        <v>92</v>
      </c>
      <c r="J67">
        <f>I67-I66</f>
        <v>1</v>
      </c>
      <c r="K67" t="str">
        <f t="shared" si="8"/>
        <v>W</v>
      </c>
      <c r="L67" t="str">
        <f t="shared" si="9"/>
        <v>Watty</v>
      </c>
      <c r="M67" t="str">
        <f>VLOOKUP(L67,References!$A$2:$B$16,2,FALSE)</f>
        <v>AKCOVA</v>
      </c>
      <c r="N67" s="19" t="str">
        <f>IF(M67=M66,"N","Y")</f>
        <v>Y</v>
      </c>
      <c r="O67">
        <f>SUM(I66:I67)</f>
        <v>183</v>
      </c>
      <c r="P67">
        <f t="shared" ref="P67:P130" si="11">I67-J67</f>
        <v>91</v>
      </c>
    </row>
    <row r="68" spans="1:16" hidden="1" x14ac:dyDescent="0.3">
      <c r="A68" t="str">
        <f t="shared" si="10"/>
        <v>2013Abby7</v>
      </c>
      <c r="B68">
        <f t="shared" si="6"/>
        <v>917</v>
      </c>
      <c r="C68">
        <f t="shared" si="7"/>
        <v>1143</v>
      </c>
      <c r="D68" t="s">
        <v>27</v>
      </c>
      <c r="E68" t="str">
        <f>D69</f>
        <v>Mark</v>
      </c>
      <c r="F68">
        <v>2013</v>
      </c>
      <c r="G68">
        <v>7</v>
      </c>
      <c r="H68">
        <v>4.0999999999999996</v>
      </c>
      <c r="I68">
        <v>87</v>
      </c>
      <c r="J68">
        <f>I68-I69</f>
        <v>4</v>
      </c>
      <c r="K68" t="str">
        <f t="shared" si="8"/>
        <v>W</v>
      </c>
      <c r="L68" t="str">
        <f t="shared" si="9"/>
        <v>Abby</v>
      </c>
      <c r="M68" t="str">
        <f>VLOOKUP(L68,References!$A$2:$B$16,2,FALSE)</f>
        <v>AKCOVA</v>
      </c>
      <c r="N68" s="19" t="str">
        <f>IF(M68=M69,"N","Y")</f>
        <v>N</v>
      </c>
      <c r="O68">
        <f>SUM(I68:I69)</f>
        <v>170</v>
      </c>
      <c r="P68">
        <f t="shared" si="11"/>
        <v>83</v>
      </c>
    </row>
    <row r="69" spans="1:16" hidden="1" x14ac:dyDescent="0.3">
      <c r="A69" t="str">
        <f t="shared" si="10"/>
        <v>2013Mark7</v>
      </c>
      <c r="B69">
        <f t="shared" si="6"/>
        <v>1145</v>
      </c>
      <c r="C69">
        <f t="shared" si="7"/>
        <v>1282</v>
      </c>
      <c r="D69" t="s">
        <v>22</v>
      </c>
      <c r="E69" t="str">
        <f>D68</f>
        <v>Abby</v>
      </c>
      <c r="F69">
        <v>2013</v>
      </c>
      <c r="G69">
        <v>7</v>
      </c>
      <c r="H69">
        <v>4.2</v>
      </c>
      <c r="I69">
        <v>83</v>
      </c>
      <c r="J69">
        <f>I69-I68</f>
        <v>-4</v>
      </c>
      <c r="K69" t="str">
        <f t="shared" si="8"/>
        <v>L</v>
      </c>
      <c r="L69" t="str">
        <f t="shared" si="9"/>
        <v>Mark</v>
      </c>
      <c r="M69" t="str">
        <f>VLOOKUP(L69,References!$A$2:$B$16,2,FALSE)</f>
        <v>AKCOVA</v>
      </c>
      <c r="N69" s="19" t="str">
        <f>IF(M69=M68,"N","Y")</f>
        <v>N</v>
      </c>
      <c r="O69">
        <f>SUM(I68:I69)</f>
        <v>170</v>
      </c>
      <c r="P69">
        <f t="shared" si="11"/>
        <v>87</v>
      </c>
    </row>
    <row r="70" spans="1:16" hidden="1" x14ac:dyDescent="0.3">
      <c r="A70" t="str">
        <f t="shared" si="10"/>
        <v>2013Brian7</v>
      </c>
      <c r="B70">
        <f t="shared" si="6"/>
        <v>865</v>
      </c>
      <c r="C70">
        <f t="shared" si="7"/>
        <v>1100</v>
      </c>
      <c r="D70" t="s">
        <v>26</v>
      </c>
      <c r="E70" t="str">
        <f>D71</f>
        <v>Russell</v>
      </c>
      <c r="F70">
        <v>2013</v>
      </c>
      <c r="G70">
        <v>7</v>
      </c>
      <c r="H70">
        <v>5.0999999999999996</v>
      </c>
      <c r="I70">
        <v>88</v>
      </c>
      <c r="J70">
        <f>I70-I71</f>
        <v>6</v>
      </c>
      <c r="K70" t="str">
        <f t="shared" si="8"/>
        <v>W</v>
      </c>
      <c r="L70" t="str">
        <f t="shared" si="9"/>
        <v>Brian</v>
      </c>
      <c r="M70" t="str">
        <f>VLOOKUP(L70,References!$A$2:$B$16,2,FALSE)</f>
        <v>TEXAROK</v>
      </c>
      <c r="N70" s="19" t="str">
        <f>IF(M70=M71,"N","Y")</f>
        <v>N</v>
      </c>
      <c r="O70">
        <f>SUM(I70:I71)</f>
        <v>170</v>
      </c>
      <c r="P70">
        <f t="shared" si="11"/>
        <v>82</v>
      </c>
    </row>
    <row r="71" spans="1:16" hidden="1" x14ac:dyDescent="0.3">
      <c r="A71" t="str">
        <f t="shared" si="10"/>
        <v>2013Russell7</v>
      </c>
      <c r="B71">
        <f t="shared" si="6"/>
        <v>1197</v>
      </c>
      <c r="C71">
        <f t="shared" si="7"/>
        <v>1318</v>
      </c>
      <c r="D71" t="s">
        <v>28</v>
      </c>
      <c r="E71" t="str">
        <f>D70</f>
        <v>Brian</v>
      </c>
      <c r="F71">
        <v>2013</v>
      </c>
      <c r="G71">
        <v>7</v>
      </c>
      <c r="H71">
        <v>5.2</v>
      </c>
      <c r="I71">
        <v>82</v>
      </c>
      <c r="J71">
        <f>I71-I70</f>
        <v>-6</v>
      </c>
      <c r="K71" t="str">
        <f t="shared" si="8"/>
        <v>L</v>
      </c>
      <c r="L71" t="str">
        <f t="shared" si="9"/>
        <v>Russell</v>
      </c>
      <c r="M71" t="str">
        <f>VLOOKUP(L71,References!$A$2:$B$16,2,FALSE)</f>
        <v>TEXAROK</v>
      </c>
      <c r="N71" s="19" t="str">
        <f>IF(M71=M70,"N","Y")</f>
        <v>N</v>
      </c>
      <c r="O71">
        <f>SUM(I70:I71)</f>
        <v>170</v>
      </c>
      <c r="P71">
        <f t="shared" si="11"/>
        <v>88</v>
      </c>
    </row>
    <row r="72" spans="1:16" hidden="1" x14ac:dyDescent="0.3">
      <c r="A72" t="str">
        <f t="shared" si="10"/>
        <v>2013Michael8</v>
      </c>
      <c r="B72">
        <f t="shared" si="6"/>
        <v>949</v>
      </c>
      <c r="C72">
        <f t="shared" si="7"/>
        <v>1027</v>
      </c>
      <c r="D72" t="s">
        <v>23</v>
      </c>
      <c r="E72" t="str">
        <f>D73</f>
        <v>Abby</v>
      </c>
      <c r="F72">
        <v>2013</v>
      </c>
      <c r="G72">
        <v>8</v>
      </c>
      <c r="H72">
        <v>1.1000000000000001</v>
      </c>
      <c r="I72">
        <v>90</v>
      </c>
      <c r="J72">
        <f>I72-I73</f>
        <v>3</v>
      </c>
      <c r="K72" t="str">
        <f t="shared" si="8"/>
        <v>W</v>
      </c>
      <c r="L72" t="str">
        <f t="shared" si="9"/>
        <v>Michael</v>
      </c>
      <c r="M72" t="str">
        <f>VLOOKUP(L72,References!$A$2:$B$16,2,FALSE)</f>
        <v>AKCOVA</v>
      </c>
      <c r="N72" s="19" t="str">
        <f>IF(M72=M73,"N","Y")</f>
        <v>N</v>
      </c>
      <c r="O72">
        <f>SUM(I72:I73)</f>
        <v>177</v>
      </c>
      <c r="P72">
        <f t="shared" si="11"/>
        <v>87</v>
      </c>
    </row>
    <row r="73" spans="1:16" hidden="1" x14ac:dyDescent="0.3">
      <c r="A73" t="str">
        <f t="shared" si="10"/>
        <v>2013Abby8</v>
      </c>
      <c r="B73">
        <f t="shared" si="6"/>
        <v>1117</v>
      </c>
      <c r="C73">
        <f t="shared" si="7"/>
        <v>1143</v>
      </c>
      <c r="D73" t="s">
        <v>27</v>
      </c>
      <c r="E73" t="str">
        <f>D72</f>
        <v>Michael</v>
      </c>
      <c r="F73">
        <v>2013</v>
      </c>
      <c r="G73">
        <v>8</v>
      </c>
      <c r="H73">
        <v>1.2</v>
      </c>
      <c r="I73">
        <v>87</v>
      </c>
      <c r="J73">
        <f>I73-I72</f>
        <v>-3</v>
      </c>
      <c r="K73" t="str">
        <f t="shared" si="8"/>
        <v>L</v>
      </c>
      <c r="L73" t="str">
        <f t="shared" si="9"/>
        <v>Abby</v>
      </c>
      <c r="M73" t="str">
        <f>VLOOKUP(L73,References!$A$2:$B$16,2,FALSE)</f>
        <v>AKCOVA</v>
      </c>
      <c r="N73" s="19" t="str">
        <f>IF(M73=M72,"N","Y")</f>
        <v>N</v>
      </c>
      <c r="O73">
        <f>SUM(I72:I73)</f>
        <v>177</v>
      </c>
      <c r="P73">
        <f t="shared" si="11"/>
        <v>90</v>
      </c>
    </row>
    <row r="74" spans="1:16" hidden="1" x14ac:dyDescent="0.3">
      <c r="A74" t="str">
        <f t="shared" si="10"/>
        <v>2013Russell8</v>
      </c>
      <c r="B74">
        <f t="shared" si="6"/>
        <v>1336</v>
      </c>
      <c r="C74">
        <f t="shared" si="7"/>
        <v>1595</v>
      </c>
      <c r="D74" t="s">
        <v>28</v>
      </c>
      <c r="E74" t="str">
        <f>D75</f>
        <v>Emily</v>
      </c>
      <c r="F74">
        <v>2013</v>
      </c>
      <c r="G74">
        <v>8</v>
      </c>
      <c r="H74">
        <v>2.1</v>
      </c>
      <c r="I74">
        <v>75</v>
      </c>
      <c r="J74">
        <f>I74-I75</f>
        <v>-11</v>
      </c>
      <c r="K74" t="str">
        <f t="shared" si="8"/>
        <v>L</v>
      </c>
      <c r="L74" t="str">
        <f t="shared" si="9"/>
        <v>Russell</v>
      </c>
      <c r="M74" t="str">
        <f>VLOOKUP(L74,References!$A$2:$B$16,2,FALSE)</f>
        <v>TEXAROK</v>
      </c>
      <c r="N74" s="19" t="str">
        <f>IF(M74=M75,"N","Y")</f>
        <v>N</v>
      </c>
      <c r="O74">
        <f>SUM(I74:I75)</f>
        <v>161</v>
      </c>
      <c r="P74">
        <f t="shared" si="11"/>
        <v>86</v>
      </c>
    </row>
    <row r="75" spans="1:16" hidden="1" x14ac:dyDescent="0.3">
      <c r="A75" t="str">
        <f t="shared" si="10"/>
        <v>2013Emily8</v>
      </c>
      <c r="B75">
        <f t="shared" si="6"/>
        <v>737</v>
      </c>
      <c r="C75">
        <f t="shared" si="7"/>
        <v>1173</v>
      </c>
      <c r="D75" t="s">
        <v>43</v>
      </c>
      <c r="E75" t="str">
        <f>D74</f>
        <v>Russell</v>
      </c>
      <c r="F75">
        <v>2013</v>
      </c>
      <c r="G75">
        <v>8</v>
      </c>
      <c r="H75">
        <v>2.2000000000000002</v>
      </c>
      <c r="I75">
        <v>86</v>
      </c>
      <c r="J75">
        <f>I75-I74</f>
        <v>11</v>
      </c>
      <c r="K75" t="str">
        <f t="shared" si="8"/>
        <v>W</v>
      </c>
      <c r="L75" t="str">
        <f t="shared" si="9"/>
        <v>Emily</v>
      </c>
      <c r="M75" t="str">
        <f>VLOOKUP(L75,References!$A$2:$B$16,2,FALSE)</f>
        <v>TEXAROK</v>
      </c>
      <c r="N75" s="19" t="str">
        <f>IF(M75=M74,"N","Y")</f>
        <v>N</v>
      </c>
      <c r="O75">
        <f>SUM(I74:I75)</f>
        <v>161</v>
      </c>
      <c r="P75">
        <f t="shared" si="11"/>
        <v>75</v>
      </c>
    </row>
    <row r="76" spans="1:16" hidden="1" x14ac:dyDescent="0.3">
      <c r="A76" t="str">
        <f t="shared" si="10"/>
        <v>2013Mark8</v>
      </c>
      <c r="B76">
        <f t="shared" si="6"/>
        <v>1004</v>
      </c>
      <c r="C76">
        <f t="shared" si="7"/>
        <v>1365</v>
      </c>
      <c r="D76" t="s">
        <v>22</v>
      </c>
      <c r="E76" t="str">
        <f>D77</f>
        <v>Matt</v>
      </c>
      <c r="F76">
        <v>2013</v>
      </c>
      <c r="G76">
        <v>8</v>
      </c>
      <c r="H76">
        <v>3.1</v>
      </c>
      <c r="I76">
        <v>81</v>
      </c>
      <c r="J76">
        <f>I76-I77</f>
        <v>1</v>
      </c>
      <c r="K76" t="str">
        <f t="shared" si="8"/>
        <v>W</v>
      </c>
      <c r="L76" t="str">
        <f t="shared" si="9"/>
        <v>Mark</v>
      </c>
      <c r="M76" t="str">
        <f>VLOOKUP(L76,References!$A$2:$B$16,2,FALSE)</f>
        <v>AKCOVA</v>
      </c>
      <c r="N76" s="19" t="str">
        <f>IF(M76=M77,"N","Y")</f>
        <v>Y</v>
      </c>
      <c r="O76">
        <f>SUM(I76:I77)</f>
        <v>161</v>
      </c>
      <c r="P76">
        <f t="shared" si="11"/>
        <v>80</v>
      </c>
    </row>
    <row r="77" spans="1:16" hidden="1" x14ac:dyDescent="0.3">
      <c r="A77" t="str">
        <f t="shared" si="10"/>
        <v>2013Matt8</v>
      </c>
      <c r="B77">
        <f t="shared" si="6"/>
        <v>1055</v>
      </c>
      <c r="C77">
        <f t="shared" si="7"/>
        <v>1406</v>
      </c>
      <c r="D77" t="s">
        <v>30</v>
      </c>
      <c r="E77" t="str">
        <f>D76</f>
        <v>Mark</v>
      </c>
      <c r="F77">
        <v>2013</v>
      </c>
      <c r="G77">
        <v>8</v>
      </c>
      <c r="H77">
        <v>3.2</v>
      </c>
      <c r="I77">
        <v>80</v>
      </c>
      <c r="J77">
        <f>I77-I76</f>
        <v>-1</v>
      </c>
      <c r="K77" t="str">
        <f t="shared" si="8"/>
        <v>L</v>
      </c>
      <c r="L77" t="str">
        <f t="shared" si="9"/>
        <v>Matt</v>
      </c>
      <c r="M77" t="str">
        <f>VLOOKUP(L77,References!$A$2:$B$16,2,FALSE)</f>
        <v>TEXAROK</v>
      </c>
      <c r="N77" s="19" t="str">
        <f>IF(M77=M76,"N","Y")</f>
        <v>Y</v>
      </c>
      <c r="O77">
        <f>SUM(I76:I77)</f>
        <v>161</v>
      </c>
      <c r="P77">
        <f t="shared" si="11"/>
        <v>81</v>
      </c>
    </row>
    <row r="78" spans="1:16" hidden="1" x14ac:dyDescent="0.3">
      <c r="A78" t="str">
        <f t="shared" si="10"/>
        <v>2013BR8</v>
      </c>
      <c r="B78">
        <f t="shared" si="6"/>
        <v>517</v>
      </c>
      <c r="C78">
        <f t="shared" si="7"/>
        <v>321</v>
      </c>
      <c r="D78" t="s">
        <v>25</v>
      </c>
      <c r="E78" t="str">
        <f>D79</f>
        <v>David</v>
      </c>
      <c r="F78">
        <v>2013</v>
      </c>
      <c r="G78">
        <v>8</v>
      </c>
      <c r="H78">
        <v>4.0999999999999996</v>
      </c>
      <c r="I78">
        <v>114</v>
      </c>
      <c r="J78">
        <f>I78-I79</f>
        <v>20</v>
      </c>
      <c r="K78" t="str">
        <f t="shared" si="8"/>
        <v>W</v>
      </c>
      <c r="L78" t="str">
        <f t="shared" si="9"/>
        <v>BR</v>
      </c>
      <c r="M78" t="str">
        <f>VLOOKUP(L78,References!$A$2:$B$16,2,FALSE)</f>
        <v>AKCOVA</v>
      </c>
      <c r="N78" s="19" t="str">
        <f>IF(M78=M79,"N","Y")</f>
        <v>Y</v>
      </c>
      <c r="O78">
        <f>SUM(I78:I79)</f>
        <v>208</v>
      </c>
      <c r="P78">
        <f t="shared" si="11"/>
        <v>94</v>
      </c>
    </row>
    <row r="79" spans="1:16" hidden="1" x14ac:dyDescent="0.3">
      <c r="A79" t="str">
        <f t="shared" si="10"/>
        <v>2013David8</v>
      </c>
      <c r="B79">
        <f t="shared" si="6"/>
        <v>1546</v>
      </c>
      <c r="C79">
        <f t="shared" si="7"/>
        <v>893</v>
      </c>
      <c r="D79" t="s">
        <v>29</v>
      </c>
      <c r="E79" t="str">
        <f>D78</f>
        <v>BR</v>
      </c>
      <c r="F79">
        <v>2013</v>
      </c>
      <c r="G79">
        <v>8</v>
      </c>
      <c r="H79">
        <v>4.2</v>
      </c>
      <c r="I79">
        <v>94</v>
      </c>
      <c r="J79">
        <f>I79-I78</f>
        <v>-20</v>
      </c>
      <c r="K79" t="str">
        <f t="shared" si="8"/>
        <v>L</v>
      </c>
      <c r="L79" t="str">
        <f t="shared" si="9"/>
        <v>David</v>
      </c>
      <c r="M79" t="str">
        <f>VLOOKUP(L79,References!$A$2:$B$16,2,FALSE)</f>
        <v>TEXAROK</v>
      </c>
      <c r="N79" s="19" t="str">
        <f>IF(M79=M78,"N","Y")</f>
        <v>Y</v>
      </c>
      <c r="O79">
        <f>SUM(I78:I79)</f>
        <v>208</v>
      </c>
      <c r="P79">
        <f t="shared" si="11"/>
        <v>114</v>
      </c>
    </row>
    <row r="80" spans="1:16" hidden="1" x14ac:dyDescent="0.3">
      <c r="A80" t="str">
        <f t="shared" si="10"/>
        <v>2013Watty8</v>
      </c>
      <c r="B80">
        <f t="shared" si="6"/>
        <v>865</v>
      </c>
      <c r="C80">
        <f t="shared" si="7"/>
        <v>227</v>
      </c>
      <c r="D80" t="s">
        <v>24</v>
      </c>
      <c r="E80" t="str">
        <f>D81</f>
        <v>Brian</v>
      </c>
      <c r="F80">
        <v>2013</v>
      </c>
      <c r="G80">
        <v>8</v>
      </c>
      <c r="H80">
        <v>5.0999999999999996</v>
      </c>
      <c r="I80">
        <v>120</v>
      </c>
      <c r="J80">
        <f>I80-I81</f>
        <v>6</v>
      </c>
      <c r="K80" t="str">
        <f t="shared" si="8"/>
        <v>W</v>
      </c>
      <c r="L80" t="str">
        <f t="shared" si="9"/>
        <v>Watty</v>
      </c>
      <c r="M80" t="str">
        <f>VLOOKUP(L80,References!$A$2:$B$16,2,FALSE)</f>
        <v>AKCOVA</v>
      </c>
      <c r="N80" s="19" t="str">
        <f>IF(M80=M81,"N","Y")</f>
        <v>Y</v>
      </c>
      <c r="O80">
        <f>SUM(I80:I81)</f>
        <v>234</v>
      </c>
      <c r="P80">
        <f t="shared" si="11"/>
        <v>114</v>
      </c>
    </row>
    <row r="81" spans="1:16" hidden="1" x14ac:dyDescent="0.3">
      <c r="A81" t="str">
        <f t="shared" si="10"/>
        <v>2013Brian8</v>
      </c>
      <c r="B81">
        <f t="shared" si="6"/>
        <v>1197</v>
      </c>
      <c r="C81">
        <f t="shared" si="7"/>
        <v>321</v>
      </c>
      <c r="D81" t="s">
        <v>26</v>
      </c>
      <c r="E81" t="str">
        <f>D80</f>
        <v>Watty</v>
      </c>
      <c r="F81">
        <v>2013</v>
      </c>
      <c r="G81">
        <v>8</v>
      </c>
      <c r="H81">
        <v>5.2</v>
      </c>
      <c r="I81">
        <v>114</v>
      </c>
      <c r="J81">
        <f>I81-I80</f>
        <v>-6</v>
      </c>
      <c r="K81" t="str">
        <f t="shared" si="8"/>
        <v>L</v>
      </c>
      <c r="L81" t="str">
        <f t="shared" si="9"/>
        <v>Brian</v>
      </c>
      <c r="M81" t="str">
        <f>VLOOKUP(L81,References!$A$2:$B$16,2,FALSE)</f>
        <v>TEXAROK</v>
      </c>
      <c r="N81" s="19" t="str">
        <f>IF(M81=M80,"N","Y")</f>
        <v>Y</v>
      </c>
      <c r="O81">
        <f>SUM(I80:I81)</f>
        <v>234</v>
      </c>
      <c r="P81">
        <f t="shared" si="11"/>
        <v>120</v>
      </c>
    </row>
    <row r="82" spans="1:16" x14ac:dyDescent="0.3">
      <c r="A82" t="str">
        <f t="shared" si="10"/>
        <v>2013Michael9</v>
      </c>
      <c r="B82">
        <f t="shared" si="6"/>
        <v>1434</v>
      </c>
      <c r="C82">
        <f t="shared" si="7"/>
        <v>1100</v>
      </c>
      <c r="D82" t="s">
        <v>23</v>
      </c>
      <c r="E82" t="str">
        <f>D83</f>
        <v>Russell</v>
      </c>
      <c r="F82">
        <v>2013</v>
      </c>
      <c r="G82">
        <v>9</v>
      </c>
      <c r="H82">
        <v>1.1000000000000001</v>
      </c>
      <c r="I82">
        <v>88</v>
      </c>
      <c r="J82">
        <f>I82-I83</f>
        <v>-15</v>
      </c>
      <c r="K82" t="str">
        <f t="shared" si="8"/>
        <v>L</v>
      </c>
      <c r="L82" t="str">
        <f t="shared" si="9"/>
        <v>Michael</v>
      </c>
      <c r="M82" t="str">
        <f>VLOOKUP(L82,References!$A$2:$B$16,2,FALSE)</f>
        <v>AKCOVA</v>
      </c>
      <c r="N82" s="19" t="str">
        <f>IF(M82=M83,"N","Y")</f>
        <v>Y</v>
      </c>
      <c r="O82">
        <f>SUM(I82:I83)</f>
        <v>191</v>
      </c>
      <c r="P82">
        <f t="shared" si="11"/>
        <v>103</v>
      </c>
    </row>
    <row r="83" spans="1:16" hidden="1" x14ac:dyDescent="0.3">
      <c r="A83" t="str">
        <f t="shared" si="10"/>
        <v>2013Russell9</v>
      </c>
      <c r="B83">
        <f t="shared" si="6"/>
        <v>639</v>
      </c>
      <c r="C83">
        <f t="shared" si="7"/>
        <v>603</v>
      </c>
      <c r="D83" t="s">
        <v>28</v>
      </c>
      <c r="E83" t="str">
        <f>D82</f>
        <v>Michael</v>
      </c>
      <c r="F83">
        <v>2013</v>
      </c>
      <c r="G83">
        <v>9</v>
      </c>
      <c r="H83">
        <v>1.2</v>
      </c>
      <c r="I83">
        <v>103</v>
      </c>
      <c r="J83">
        <f>I83-I82</f>
        <v>15</v>
      </c>
      <c r="K83" t="str">
        <f t="shared" si="8"/>
        <v>W</v>
      </c>
      <c r="L83" t="str">
        <f t="shared" si="9"/>
        <v>Russell</v>
      </c>
      <c r="M83" t="str">
        <f>VLOOKUP(L83,References!$A$2:$B$16,2,FALSE)</f>
        <v>TEXAROK</v>
      </c>
      <c r="N83" s="19" t="str">
        <f>IF(M83=M82,"N","Y")</f>
        <v>Y</v>
      </c>
      <c r="O83">
        <f>SUM(I82:I83)</f>
        <v>191</v>
      </c>
      <c r="P83">
        <f t="shared" si="11"/>
        <v>88</v>
      </c>
    </row>
    <row r="84" spans="1:16" hidden="1" x14ac:dyDescent="0.3">
      <c r="A84" t="str">
        <f t="shared" si="10"/>
        <v>2013Matt9</v>
      </c>
      <c r="B84">
        <f t="shared" si="6"/>
        <v>1738</v>
      </c>
      <c r="C84">
        <f t="shared" si="7"/>
        <v>1318</v>
      </c>
      <c r="D84" t="s">
        <v>30</v>
      </c>
      <c r="E84" t="str">
        <f>D85</f>
        <v>David</v>
      </c>
      <c r="F84">
        <v>2013</v>
      </c>
      <c r="G84">
        <v>9</v>
      </c>
      <c r="H84">
        <v>2.1</v>
      </c>
      <c r="I84">
        <v>82</v>
      </c>
      <c r="J84">
        <f>I84-I85</f>
        <v>-29</v>
      </c>
      <c r="K84" t="str">
        <f t="shared" si="8"/>
        <v>L</v>
      </c>
      <c r="L84" t="str">
        <f t="shared" si="9"/>
        <v>Matt</v>
      </c>
      <c r="M84" t="str">
        <f>VLOOKUP(L84,References!$A$2:$B$16,2,FALSE)</f>
        <v>TEXAROK</v>
      </c>
      <c r="N84" s="19" t="str">
        <f>IF(M84=M85,"N","Y")</f>
        <v>N</v>
      </c>
      <c r="O84">
        <f>SUM(I84:I85)</f>
        <v>193</v>
      </c>
      <c r="P84">
        <f t="shared" si="11"/>
        <v>111</v>
      </c>
    </row>
    <row r="85" spans="1:16" hidden="1" x14ac:dyDescent="0.3">
      <c r="A85" t="str">
        <f t="shared" si="10"/>
        <v>2013David9</v>
      </c>
      <c r="B85">
        <f t="shared" si="6"/>
        <v>341</v>
      </c>
      <c r="C85">
        <f t="shared" si="7"/>
        <v>383</v>
      </c>
      <c r="D85" t="s">
        <v>29</v>
      </c>
      <c r="E85" t="str">
        <f>D84</f>
        <v>Matt</v>
      </c>
      <c r="F85">
        <v>2013</v>
      </c>
      <c r="G85">
        <v>9</v>
      </c>
      <c r="H85">
        <v>2.2000000000000002</v>
      </c>
      <c r="I85">
        <v>111</v>
      </c>
      <c r="J85">
        <f>I85-I84</f>
        <v>29</v>
      </c>
      <c r="K85" t="str">
        <f t="shared" si="8"/>
        <v>W</v>
      </c>
      <c r="L85" t="str">
        <f t="shared" si="9"/>
        <v>David</v>
      </c>
      <c r="M85" t="str">
        <f>VLOOKUP(L85,References!$A$2:$B$16,2,FALSE)</f>
        <v>TEXAROK</v>
      </c>
      <c r="N85" s="19" t="str">
        <f>IF(M85=M84,"N","Y")</f>
        <v>N</v>
      </c>
      <c r="O85">
        <f>SUM(I84:I85)</f>
        <v>193</v>
      </c>
      <c r="P85">
        <f t="shared" si="11"/>
        <v>82</v>
      </c>
    </row>
    <row r="86" spans="1:16" hidden="1" x14ac:dyDescent="0.3">
      <c r="A86" t="str">
        <f t="shared" si="10"/>
        <v>2013Brian9</v>
      </c>
      <c r="B86">
        <f t="shared" si="6"/>
        <v>410</v>
      </c>
      <c r="C86">
        <f t="shared" si="7"/>
        <v>652</v>
      </c>
      <c r="D86" t="s">
        <v>26</v>
      </c>
      <c r="E86" t="str">
        <f>D87</f>
        <v>Emily</v>
      </c>
      <c r="F86">
        <v>2013</v>
      </c>
      <c r="G86">
        <v>9</v>
      </c>
      <c r="H86">
        <v>3.1</v>
      </c>
      <c r="I86">
        <v>101</v>
      </c>
      <c r="J86">
        <f>I86-I87</f>
        <v>25</v>
      </c>
      <c r="K86" t="str">
        <f t="shared" si="8"/>
        <v>W</v>
      </c>
      <c r="L86" t="str">
        <f t="shared" si="9"/>
        <v>Brian</v>
      </c>
      <c r="M86" t="str">
        <f>VLOOKUP(L86,References!$A$2:$B$16,2,FALSE)</f>
        <v>TEXAROK</v>
      </c>
      <c r="N86" s="19" t="str">
        <f>IF(M86=M87,"N","Y")</f>
        <v>N</v>
      </c>
      <c r="O86">
        <f>SUM(I86:I87)</f>
        <v>177</v>
      </c>
      <c r="P86">
        <f t="shared" si="11"/>
        <v>76</v>
      </c>
    </row>
    <row r="87" spans="1:16" hidden="1" x14ac:dyDescent="0.3">
      <c r="A87" t="str">
        <f t="shared" si="10"/>
        <v>2013Emily9</v>
      </c>
      <c r="B87">
        <f t="shared" si="6"/>
        <v>1661</v>
      </c>
      <c r="C87">
        <f t="shared" si="7"/>
        <v>1549</v>
      </c>
      <c r="D87" t="s">
        <v>43</v>
      </c>
      <c r="E87" t="str">
        <f>D86</f>
        <v>Brian</v>
      </c>
      <c r="F87">
        <v>2013</v>
      </c>
      <c r="G87">
        <v>9</v>
      </c>
      <c r="H87">
        <v>3.2</v>
      </c>
      <c r="I87">
        <v>76</v>
      </c>
      <c r="J87">
        <f>I87-I86</f>
        <v>-25</v>
      </c>
      <c r="K87" t="str">
        <f t="shared" si="8"/>
        <v>L</v>
      </c>
      <c r="L87" t="str">
        <f t="shared" si="9"/>
        <v>Emily</v>
      </c>
      <c r="M87" t="str">
        <f>VLOOKUP(L87,References!$A$2:$B$16,2,FALSE)</f>
        <v>TEXAROK</v>
      </c>
      <c r="N87" s="19" t="str">
        <f>IF(M87=M86,"N","Y")</f>
        <v>N</v>
      </c>
      <c r="O87">
        <f>SUM(I86:I87)</f>
        <v>177</v>
      </c>
      <c r="P87">
        <f t="shared" si="11"/>
        <v>101</v>
      </c>
    </row>
    <row r="88" spans="1:16" hidden="1" x14ac:dyDescent="0.3">
      <c r="A88" t="str">
        <f t="shared" si="10"/>
        <v>2013Abby9</v>
      </c>
      <c r="B88">
        <f t="shared" si="6"/>
        <v>37</v>
      </c>
      <c r="C88">
        <f t="shared" si="7"/>
        <v>173</v>
      </c>
      <c r="D88" t="s">
        <v>27</v>
      </c>
      <c r="E88" t="str">
        <f>D89</f>
        <v>BR</v>
      </c>
      <c r="F88">
        <v>2013</v>
      </c>
      <c r="G88">
        <v>9</v>
      </c>
      <c r="H88">
        <v>4.0999999999999996</v>
      </c>
      <c r="I88">
        <v>124</v>
      </c>
      <c r="J88">
        <f>I88-I89</f>
        <v>64</v>
      </c>
      <c r="K88" t="str">
        <f t="shared" si="8"/>
        <v>W</v>
      </c>
      <c r="L88" t="str">
        <f t="shared" si="9"/>
        <v>Abby</v>
      </c>
      <c r="M88" t="str">
        <f>VLOOKUP(L88,References!$A$2:$B$16,2,FALSE)</f>
        <v>AKCOVA</v>
      </c>
      <c r="N88" s="19" t="str">
        <f>IF(M88=M89,"N","Y")</f>
        <v>N</v>
      </c>
      <c r="O88">
        <f>SUM(I88:I89)</f>
        <v>184</v>
      </c>
      <c r="P88">
        <f t="shared" si="11"/>
        <v>60</v>
      </c>
    </row>
    <row r="89" spans="1:16" hidden="1" x14ac:dyDescent="0.3">
      <c r="A89" t="str">
        <f t="shared" si="10"/>
        <v>2013BR9</v>
      </c>
      <c r="B89">
        <f t="shared" si="6"/>
        <v>2052</v>
      </c>
      <c r="C89">
        <f t="shared" si="7"/>
        <v>1936</v>
      </c>
      <c r="D89" t="s">
        <v>25</v>
      </c>
      <c r="E89" t="str">
        <f>D88</f>
        <v>Abby</v>
      </c>
      <c r="F89">
        <v>2013</v>
      </c>
      <c r="G89">
        <v>9</v>
      </c>
      <c r="H89">
        <v>4.2</v>
      </c>
      <c r="I89">
        <v>60</v>
      </c>
      <c r="J89">
        <f>I89-I88</f>
        <v>-64</v>
      </c>
      <c r="K89" t="str">
        <f t="shared" si="8"/>
        <v>L</v>
      </c>
      <c r="L89" t="str">
        <f t="shared" si="9"/>
        <v>BR</v>
      </c>
      <c r="M89" t="str">
        <f>VLOOKUP(L89,References!$A$2:$B$16,2,FALSE)</f>
        <v>AKCOVA</v>
      </c>
      <c r="N89" s="19" t="str">
        <f>IF(M89=M88,"N","Y")</f>
        <v>N</v>
      </c>
      <c r="O89">
        <f>SUM(I88:I89)</f>
        <v>184</v>
      </c>
      <c r="P89">
        <f t="shared" si="11"/>
        <v>124</v>
      </c>
    </row>
    <row r="90" spans="1:16" hidden="1" x14ac:dyDescent="0.3">
      <c r="A90" t="str">
        <f t="shared" si="10"/>
        <v>2013Mark9</v>
      </c>
      <c r="B90">
        <f t="shared" si="6"/>
        <v>27</v>
      </c>
      <c r="C90">
        <f t="shared" si="7"/>
        <v>227</v>
      </c>
      <c r="D90" t="s">
        <v>22</v>
      </c>
      <c r="E90" t="str">
        <f>D91</f>
        <v>Watty</v>
      </c>
      <c r="F90">
        <v>2013</v>
      </c>
      <c r="G90">
        <v>9</v>
      </c>
      <c r="H90">
        <v>5.0999999999999996</v>
      </c>
      <c r="I90">
        <v>120</v>
      </c>
      <c r="J90">
        <f>I90-I91</f>
        <v>67</v>
      </c>
      <c r="K90" t="str">
        <f t="shared" si="8"/>
        <v>W</v>
      </c>
      <c r="L90" t="str">
        <f t="shared" si="9"/>
        <v>Mark</v>
      </c>
      <c r="M90" t="str">
        <f>VLOOKUP(L90,References!$A$2:$B$16,2,FALSE)</f>
        <v>AKCOVA</v>
      </c>
      <c r="N90" s="19" t="str">
        <f>IF(M90=M91,"N","Y")</f>
        <v>N</v>
      </c>
      <c r="O90">
        <f>SUM(I90:I91)</f>
        <v>173</v>
      </c>
      <c r="P90">
        <f t="shared" si="11"/>
        <v>53</v>
      </c>
    </row>
    <row r="91" spans="1:16" hidden="1" x14ac:dyDescent="0.3">
      <c r="A91" t="str">
        <f t="shared" si="10"/>
        <v>2013Watty9</v>
      </c>
      <c r="B91">
        <f t="shared" si="6"/>
        <v>2063</v>
      </c>
      <c r="C91">
        <f t="shared" si="7"/>
        <v>2027</v>
      </c>
      <c r="D91" t="s">
        <v>24</v>
      </c>
      <c r="E91" t="str">
        <f>D90</f>
        <v>Mark</v>
      </c>
      <c r="F91">
        <v>2013</v>
      </c>
      <c r="G91">
        <v>9</v>
      </c>
      <c r="H91">
        <v>5.2</v>
      </c>
      <c r="I91">
        <v>53</v>
      </c>
      <c r="J91">
        <f>I91-I90</f>
        <v>-67</v>
      </c>
      <c r="K91" t="str">
        <f t="shared" si="8"/>
        <v>L</v>
      </c>
      <c r="L91" t="str">
        <f t="shared" si="9"/>
        <v>Watty</v>
      </c>
      <c r="M91" t="str">
        <f>VLOOKUP(L91,References!$A$2:$B$16,2,FALSE)</f>
        <v>AKCOVA</v>
      </c>
      <c r="N91" s="19" t="str">
        <f>IF(M91=M90,"N","Y")</f>
        <v>N</v>
      </c>
      <c r="O91">
        <f>SUM(I90:I91)</f>
        <v>173</v>
      </c>
      <c r="P91">
        <f t="shared" si="11"/>
        <v>120</v>
      </c>
    </row>
    <row r="92" spans="1:16" hidden="1" x14ac:dyDescent="0.3">
      <c r="A92" t="str">
        <f t="shared" si="10"/>
        <v>2013Michael10</v>
      </c>
      <c r="B92">
        <f t="shared" si="6"/>
        <v>297</v>
      </c>
      <c r="C92">
        <f t="shared" si="7"/>
        <v>227</v>
      </c>
      <c r="D92" t="s">
        <v>23</v>
      </c>
      <c r="E92" t="str">
        <f>D93</f>
        <v>Mark</v>
      </c>
      <c r="F92">
        <v>2013</v>
      </c>
      <c r="G92">
        <v>10</v>
      </c>
      <c r="H92">
        <v>1.1000000000000001</v>
      </c>
      <c r="I92">
        <v>120</v>
      </c>
      <c r="J92">
        <f>I92-I93</f>
        <v>31</v>
      </c>
      <c r="K92" t="str">
        <f t="shared" si="8"/>
        <v>W</v>
      </c>
      <c r="L92" t="str">
        <f t="shared" si="9"/>
        <v>Michael</v>
      </c>
      <c r="M92" t="str">
        <f>VLOOKUP(L92,References!$A$2:$B$16,2,FALSE)</f>
        <v>AKCOVA</v>
      </c>
      <c r="N92" s="19" t="str">
        <f>IF(M92=M93,"N","Y")</f>
        <v>N</v>
      </c>
      <c r="O92">
        <f>SUM(I92:I93)</f>
        <v>209</v>
      </c>
      <c r="P92">
        <f t="shared" si="11"/>
        <v>89</v>
      </c>
    </row>
    <row r="93" spans="1:16" hidden="1" x14ac:dyDescent="0.3">
      <c r="A93" t="str">
        <f t="shared" si="10"/>
        <v>2013Mark10</v>
      </c>
      <c r="B93">
        <f t="shared" si="6"/>
        <v>1775</v>
      </c>
      <c r="C93">
        <f t="shared" si="7"/>
        <v>1055</v>
      </c>
      <c r="D93" t="s">
        <v>22</v>
      </c>
      <c r="E93" t="str">
        <f>D92</f>
        <v>Michael</v>
      </c>
      <c r="F93">
        <v>2013</v>
      </c>
      <c r="G93">
        <v>10</v>
      </c>
      <c r="H93">
        <v>1.2</v>
      </c>
      <c r="I93">
        <v>89</v>
      </c>
      <c r="J93">
        <f>I93-I92</f>
        <v>-31</v>
      </c>
      <c r="K93" t="str">
        <f t="shared" si="8"/>
        <v>L</v>
      </c>
      <c r="L93" t="str">
        <f t="shared" si="9"/>
        <v>Mark</v>
      </c>
      <c r="M93" t="str">
        <f>VLOOKUP(L93,References!$A$2:$B$16,2,FALSE)</f>
        <v>AKCOVA</v>
      </c>
      <c r="N93" s="19" t="str">
        <f>IF(M93=M92,"N","Y")</f>
        <v>N</v>
      </c>
      <c r="O93">
        <f>SUM(I92:I93)</f>
        <v>209</v>
      </c>
      <c r="P93">
        <f t="shared" si="11"/>
        <v>120</v>
      </c>
    </row>
    <row r="94" spans="1:16" hidden="1" x14ac:dyDescent="0.3">
      <c r="A94" t="str">
        <f t="shared" si="10"/>
        <v>2013BR10</v>
      </c>
      <c r="B94">
        <f t="shared" si="6"/>
        <v>371</v>
      </c>
      <c r="C94">
        <f t="shared" si="7"/>
        <v>1512</v>
      </c>
      <c r="D94" t="s">
        <v>25</v>
      </c>
      <c r="E94" t="str">
        <f>D95</f>
        <v>Watty</v>
      </c>
      <c r="F94">
        <v>2013</v>
      </c>
      <c r="G94">
        <v>10</v>
      </c>
      <c r="H94">
        <v>2.1</v>
      </c>
      <c r="I94">
        <v>77</v>
      </c>
      <c r="J94">
        <f>I94-I95</f>
        <v>27</v>
      </c>
      <c r="K94" t="str">
        <f t="shared" si="8"/>
        <v>W</v>
      </c>
      <c r="L94" t="str">
        <f t="shared" si="9"/>
        <v>BR</v>
      </c>
      <c r="M94" t="str">
        <f>VLOOKUP(L94,References!$A$2:$B$16,2,FALSE)</f>
        <v>AKCOVA</v>
      </c>
      <c r="N94" s="19" t="str">
        <f>IF(M94=M95,"N","Y")</f>
        <v>N</v>
      </c>
      <c r="O94">
        <f>SUM(I94:I95)</f>
        <v>127</v>
      </c>
      <c r="P94">
        <f t="shared" si="11"/>
        <v>50</v>
      </c>
    </row>
    <row r="95" spans="1:16" hidden="1" x14ac:dyDescent="0.3">
      <c r="A95" t="str">
        <f t="shared" si="10"/>
        <v>2013Watty10</v>
      </c>
      <c r="B95">
        <f t="shared" si="6"/>
        <v>1702</v>
      </c>
      <c r="C95">
        <f t="shared" si="7"/>
        <v>2049</v>
      </c>
      <c r="D95" t="s">
        <v>24</v>
      </c>
      <c r="E95" t="str">
        <f>D94</f>
        <v>BR</v>
      </c>
      <c r="F95">
        <v>2013</v>
      </c>
      <c r="G95">
        <v>10</v>
      </c>
      <c r="H95">
        <v>2.2000000000000002</v>
      </c>
      <c r="I95">
        <v>50</v>
      </c>
      <c r="J95">
        <f>I95-I94</f>
        <v>-27</v>
      </c>
      <c r="K95" t="str">
        <f t="shared" si="8"/>
        <v>L</v>
      </c>
      <c r="L95" t="str">
        <f t="shared" si="9"/>
        <v>Watty</v>
      </c>
      <c r="M95" t="str">
        <f>VLOOKUP(L95,References!$A$2:$B$16,2,FALSE)</f>
        <v>AKCOVA</v>
      </c>
      <c r="N95" s="19" t="str">
        <f>IF(M95=M94,"N","Y")</f>
        <v>N</v>
      </c>
      <c r="O95">
        <f>SUM(I94:I95)</f>
        <v>127</v>
      </c>
      <c r="P95">
        <f t="shared" si="11"/>
        <v>77</v>
      </c>
    </row>
    <row r="96" spans="1:16" hidden="1" x14ac:dyDescent="0.3">
      <c r="A96" t="str">
        <f t="shared" si="10"/>
        <v>2013Brian10</v>
      </c>
      <c r="B96">
        <f t="shared" si="6"/>
        <v>433</v>
      </c>
      <c r="C96">
        <f t="shared" si="7"/>
        <v>173</v>
      </c>
      <c r="D96" t="s">
        <v>26</v>
      </c>
      <c r="E96" t="str">
        <f>D97</f>
        <v>Matt</v>
      </c>
      <c r="F96">
        <v>2013</v>
      </c>
      <c r="G96">
        <v>10</v>
      </c>
      <c r="H96">
        <v>3.1</v>
      </c>
      <c r="I96">
        <v>124</v>
      </c>
      <c r="J96">
        <f>I96-I97</f>
        <v>24</v>
      </c>
      <c r="K96" t="str">
        <f t="shared" si="8"/>
        <v>W</v>
      </c>
      <c r="L96" t="str">
        <f t="shared" si="9"/>
        <v>Brian</v>
      </c>
      <c r="M96" t="str">
        <f>VLOOKUP(L96,References!$A$2:$B$16,2,FALSE)</f>
        <v>TEXAROK</v>
      </c>
      <c r="N96" s="19" t="str">
        <f>IF(M96=M97,"N","Y")</f>
        <v>N</v>
      </c>
      <c r="O96">
        <f>SUM(I96:I97)</f>
        <v>224</v>
      </c>
      <c r="P96">
        <f t="shared" si="11"/>
        <v>100</v>
      </c>
    </row>
    <row r="97" spans="1:16" hidden="1" x14ac:dyDescent="0.3">
      <c r="A97" t="str">
        <f t="shared" si="10"/>
        <v>2013Matt10</v>
      </c>
      <c r="B97">
        <f t="shared" si="6"/>
        <v>1644</v>
      </c>
      <c r="C97">
        <f t="shared" si="7"/>
        <v>678</v>
      </c>
      <c r="D97" t="s">
        <v>30</v>
      </c>
      <c r="E97" t="str">
        <f>D96</f>
        <v>Brian</v>
      </c>
      <c r="F97">
        <v>2013</v>
      </c>
      <c r="G97">
        <v>10</v>
      </c>
      <c r="H97">
        <v>3.2</v>
      </c>
      <c r="I97">
        <v>100</v>
      </c>
      <c r="J97">
        <f>I97-I96</f>
        <v>-24</v>
      </c>
      <c r="K97" t="str">
        <f t="shared" si="8"/>
        <v>L</v>
      </c>
      <c r="L97" t="str">
        <f t="shared" si="9"/>
        <v>Matt</v>
      </c>
      <c r="M97" t="str">
        <f>VLOOKUP(L97,References!$A$2:$B$16,2,FALSE)</f>
        <v>TEXAROK</v>
      </c>
      <c r="N97" s="19" t="str">
        <f>IF(M97=M96,"N","Y")</f>
        <v>N</v>
      </c>
      <c r="O97">
        <f>SUM(I96:I97)</f>
        <v>224</v>
      </c>
      <c r="P97">
        <f t="shared" si="11"/>
        <v>124</v>
      </c>
    </row>
    <row r="98" spans="1:16" hidden="1" x14ac:dyDescent="0.3">
      <c r="A98" t="str">
        <f t="shared" si="10"/>
        <v>2013David10</v>
      </c>
      <c r="B98">
        <f t="shared" si="6"/>
        <v>949</v>
      </c>
      <c r="C98">
        <f t="shared" si="7"/>
        <v>1439</v>
      </c>
      <c r="D98" t="s">
        <v>29</v>
      </c>
      <c r="E98" t="str">
        <f>D99</f>
        <v>Russell</v>
      </c>
      <c r="F98">
        <v>2013</v>
      </c>
      <c r="G98">
        <v>10</v>
      </c>
      <c r="H98">
        <v>4.0999999999999996</v>
      </c>
      <c r="I98">
        <v>79</v>
      </c>
      <c r="J98">
        <f>I98-I99</f>
        <v>3</v>
      </c>
      <c r="K98" t="str">
        <f t="shared" si="8"/>
        <v>W</v>
      </c>
      <c r="L98" t="str">
        <f t="shared" si="9"/>
        <v>David</v>
      </c>
      <c r="M98" t="str">
        <f>VLOOKUP(L98,References!$A$2:$B$16,2,FALSE)</f>
        <v>TEXAROK</v>
      </c>
      <c r="N98" s="19" t="str">
        <f>IF(M98=M99,"N","Y")</f>
        <v>N</v>
      </c>
      <c r="O98">
        <f>SUM(I98:I99)</f>
        <v>155</v>
      </c>
      <c r="P98">
        <f t="shared" si="11"/>
        <v>76</v>
      </c>
    </row>
    <row r="99" spans="1:16" hidden="1" x14ac:dyDescent="0.3">
      <c r="A99" t="str">
        <f t="shared" si="10"/>
        <v>2013Russell10</v>
      </c>
      <c r="B99">
        <f t="shared" si="6"/>
        <v>1117</v>
      </c>
      <c r="C99">
        <f t="shared" si="7"/>
        <v>1549</v>
      </c>
      <c r="D99" t="s">
        <v>28</v>
      </c>
      <c r="E99" t="str">
        <f>D98</f>
        <v>David</v>
      </c>
      <c r="F99">
        <v>2013</v>
      </c>
      <c r="G99">
        <v>10</v>
      </c>
      <c r="H99">
        <v>4.2</v>
      </c>
      <c r="I99">
        <v>76</v>
      </c>
      <c r="J99">
        <f>I99-I98</f>
        <v>-3</v>
      </c>
      <c r="K99" t="str">
        <f t="shared" si="8"/>
        <v>L</v>
      </c>
      <c r="L99" t="str">
        <f t="shared" si="9"/>
        <v>Russell</v>
      </c>
      <c r="M99" t="str">
        <f>VLOOKUP(L99,References!$A$2:$B$16,2,FALSE)</f>
        <v>TEXAROK</v>
      </c>
      <c r="N99" s="19" t="str">
        <f>IF(M99=M98,"N","Y")</f>
        <v>N</v>
      </c>
      <c r="O99">
        <f>SUM(I98:I99)</f>
        <v>155</v>
      </c>
      <c r="P99">
        <f t="shared" si="11"/>
        <v>79</v>
      </c>
    </row>
    <row r="100" spans="1:16" hidden="1" x14ac:dyDescent="0.3">
      <c r="A100" t="str">
        <f t="shared" si="10"/>
        <v>2013Emily10</v>
      </c>
      <c r="B100">
        <f t="shared" si="6"/>
        <v>1145</v>
      </c>
      <c r="C100">
        <f t="shared" si="7"/>
        <v>1143</v>
      </c>
      <c r="D100" t="s">
        <v>43</v>
      </c>
      <c r="E100" t="str">
        <f>D101</f>
        <v>Abby</v>
      </c>
      <c r="F100">
        <v>2013</v>
      </c>
      <c r="G100">
        <v>10</v>
      </c>
      <c r="H100">
        <v>5.0999999999999996</v>
      </c>
      <c r="I100">
        <v>87</v>
      </c>
      <c r="J100">
        <f>I100-I101</f>
        <v>-4</v>
      </c>
      <c r="K100" t="str">
        <f t="shared" si="8"/>
        <v>L</v>
      </c>
      <c r="L100" t="str">
        <f t="shared" si="9"/>
        <v>Emily</v>
      </c>
      <c r="M100" t="str">
        <f>VLOOKUP(L100,References!$A$2:$B$16,2,FALSE)</f>
        <v>TEXAROK</v>
      </c>
      <c r="N100" s="19" t="str">
        <f>IF(M100=M101,"N","Y")</f>
        <v>Y</v>
      </c>
      <c r="O100">
        <f>SUM(I100:I101)</f>
        <v>178</v>
      </c>
      <c r="P100">
        <f t="shared" si="11"/>
        <v>91</v>
      </c>
    </row>
    <row r="101" spans="1:16" hidden="1" x14ac:dyDescent="0.3">
      <c r="A101" t="str">
        <f t="shared" si="10"/>
        <v>2013Abby10</v>
      </c>
      <c r="B101">
        <f t="shared" si="6"/>
        <v>917</v>
      </c>
      <c r="C101">
        <f t="shared" si="7"/>
        <v>992</v>
      </c>
      <c r="D101" t="s">
        <v>27</v>
      </c>
      <c r="E101" t="str">
        <f>D100</f>
        <v>Emily</v>
      </c>
      <c r="F101">
        <v>2013</v>
      </c>
      <c r="G101">
        <v>10</v>
      </c>
      <c r="H101">
        <v>5.2</v>
      </c>
      <c r="I101">
        <v>91</v>
      </c>
      <c r="J101">
        <f>I101-I100</f>
        <v>4</v>
      </c>
      <c r="K101" t="str">
        <f t="shared" si="8"/>
        <v>W</v>
      </c>
      <c r="L101" t="str">
        <f t="shared" si="9"/>
        <v>Abby</v>
      </c>
      <c r="M101" t="str">
        <f>VLOOKUP(L101,References!$A$2:$B$16,2,FALSE)</f>
        <v>AKCOVA</v>
      </c>
      <c r="N101" s="19" t="str">
        <f>IF(M101=M100,"N","Y")</f>
        <v>Y</v>
      </c>
      <c r="O101">
        <f>SUM(I100:I101)</f>
        <v>178</v>
      </c>
      <c r="P101">
        <f t="shared" si="11"/>
        <v>87</v>
      </c>
    </row>
    <row r="102" spans="1:16" hidden="1" x14ac:dyDescent="0.3">
      <c r="A102" t="str">
        <f t="shared" si="10"/>
        <v>2013Michael11</v>
      </c>
      <c r="B102">
        <f t="shared" si="6"/>
        <v>977</v>
      </c>
      <c r="C102">
        <f t="shared" si="7"/>
        <v>777</v>
      </c>
      <c r="D102" t="s">
        <v>23</v>
      </c>
      <c r="E102" t="str">
        <f>D103</f>
        <v>BR</v>
      </c>
      <c r="F102">
        <v>2013</v>
      </c>
      <c r="G102">
        <v>11</v>
      </c>
      <c r="H102">
        <v>1.1000000000000001</v>
      </c>
      <c r="I102">
        <v>97</v>
      </c>
      <c r="J102">
        <f>I102-I103</f>
        <v>2</v>
      </c>
      <c r="K102" t="str">
        <f t="shared" si="8"/>
        <v>W</v>
      </c>
      <c r="L102" t="str">
        <f t="shared" si="9"/>
        <v>Michael</v>
      </c>
      <c r="M102" t="str">
        <f>VLOOKUP(L102,References!$A$2:$B$16,2,FALSE)</f>
        <v>AKCOVA</v>
      </c>
      <c r="N102" s="19" t="str">
        <f>IF(M102=M103,"N","Y")</f>
        <v>N</v>
      </c>
      <c r="O102">
        <f>SUM(I102:I103)</f>
        <v>192</v>
      </c>
      <c r="P102">
        <f t="shared" si="11"/>
        <v>95</v>
      </c>
    </row>
    <row r="103" spans="1:16" hidden="1" x14ac:dyDescent="0.3">
      <c r="A103" t="str">
        <f t="shared" si="10"/>
        <v>2013BR11</v>
      </c>
      <c r="B103">
        <f t="shared" si="6"/>
        <v>1090</v>
      </c>
      <c r="C103">
        <f t="shared" si="7"/>
        <v>857</v>
      </c>
      <c r="D103" t="s">
        <v>25</v>
      </c>
      <c r="E103" t="str">
        <f>D102</f>
        <v>Michael</v>
      </c>
      <c r="F103">
        <v>2013</v>
      </c>
      <c r="G103">
        <v>11</v>
      </c>
      <c r="H103">
        <v>1.2</v>
      </c>
      <c r="I103">
        <v>95</v>
      </c>
      <c r="J103">
        <f>I103-I102</f>
        <v>-2</v>
      </c>
      <c r="K103" t="str">
        <f t="shared" si="8"/>
        <v>L</v>
      </c>
      <c r="L103" t="str">
        <f t="shared" si="9"/>
        <v>BR</v>
      </c>
      <c r="M103" t="str">
        <f>VLOOKUP(L103,References!$A$2:$B$16,2,FALSE)</f>
        <v>AKCOVA</v>
      </c>
      <c r="N103" s="19" t="str">
        <f>IF(M103=M102,"N","Y")</f>
        <v>N</v>
      </c>
      <c r="O103">
        <f>SUM(I102:I103)</f>
        <v>192</v>
      </c>
      <c r="P103">
        <f t="shared" si="11"/>
        <v>97</v>
      </c>
    </row>
    <row r="104" spans="1:16" hidden="1" x14ac:dyDescent="0.3">
      <c r="A104" t="str">
        <f t="shared" si="10"/>
        <v>2013Mark11</v>
      </c>
      <c r="B104">
        <f t="shared" si="6"/>
        <v>1145</v>
      </c>
      <c r="C104">
        <f t="shared" si="7"/>
        <v>1549</v>
      </c>
      <c r="D104" t="s">
        <v>22</v>
      </c>
      <c r="E104" t="str">
        <f>D105</f>
        <v>Russell</v>
      </c>
      <c r="F104">
        <v>2013</v>
      </c>
      <c r="G104">
        <v>11</v>
      </c>
      <c r="H104">
        <v>2.1</v>
      </c>
      <c r="I104">
        <v>76</v>
      </c>
      <c r="J104">
        <f>I104-I105</f>
        <v>-4</v>
      </c>
      <c r="K104" t="str">
        <f t="shared" si="8"/>
        <v>L</v>
      </c>
      <c r="L104" t="str">
        <f t="shared" si="9"/>
        <v>Mark</v>
      </c>
      <c r="M104" t="str">
        <f>VLOOKUP(L104,References!$A$2:$B$16,2,FALSE)</f>
        <v>AKCOVA</v>
      </c>
      <c r="N104" s="19" t="str">
        <f>IF(M104=M105,"N","Y")</f>
        <v>Y</v>
      </c>
      <c r="O104">
        <f>SUM(I104:I105)</f>
        <v>156</v>
      </c>
      <c r="P104">
        <f t="shared" si="11"/>
        <v>80</v>
      </c>
    </row>
    <row r="105" spans="1:16" hidden="1" x14ac:dyDescent="0.3">
      <c r="A105" t="str">
        <f t="shared" si="10"/>
        <v>2013Russell11</v>
      </c>
      <c r="B105">
        <f t="shared" si="6"/>
        <v>917</v>
      </c>
      <c r="C105">
        <f t="shared" si="7"/>
        <v>1406</v>
      </c>
      <c r="D105" t="s">
        <v>28</v>
      </c>
      <c r="E105" t="str">
        <f>D104</f>
        <v>Mark</v>
      </c>
      <c r="F105">
        <v>2013</v>
      </c>
      <c r="G105">
        <v>11</v>
      </c>
      <c r="H105">
        <v>2.2000000000000002</v>
      </c>
      <c r="I105">
        <v>80</v>
      </c>
      <c r="J105">
        <f>I105-I104</f>
        <v>4</v>
      </c>
      <c r="K105" t="str">
        <f t="shared" si="8"/>
        <v>W</v>
      </c>
      <c r="L105" t="str">
        <f t="shared" si="9"/>
        <v>Russell</v>
      </c>
      <c r="M105" t="str">
        <f>VLOOKUP(L105,References!$A$2:$B$16,2,FALSE)</f>
        <v>TEXAROK</v>
      </c>
      <c r="N105" s="19" t="str">
        <f>IF(M105=M104,"N","Y")</f>
        <v>Y</v>
      </c>
      <c r="O105">
        <f>SUM(I104:I105)</f>
        <v>156</v>
      </c>
      <c r="P105">
        <f t="shared" si="11"/>
        <v>76</v>
      </c>
    </row>
    <row r="106" spans="1:16" hidden="1" x14ac:dyDescent="0.3">
      <c r="A106" t="str">
        <f t="shared" si="10"/>
        <v>2013Abby11</v>
      </c>
      <c r="B106">
        <f t="shared" si="6"/>
        <v>1455</v>
      </c>
      <c r="C106">
        <f t="shared" si="7"/>
        <v>1055</v>
      </c>
      <c r="D106" t="s">
        <v>27</v>
      </c>
      <c r="E106" t="str">
        <f>D107</f>
        <v>Matt</v>
      </c>
      <c r="F106">
        <v>2013</v>
      </c>
      <c r="G106">
        <v>11</v>
      </c>
      <c r="H106">
        <v>3.1</v>
      </c>
      <c r="I106">
        <v>89</v>
      </c>
      <c r="J106">
        <f>I106-I107</f>
        <v>-16</v>
      </c>
      <c r="K106" t="str">
        <f t="shared" si="8"/>
        <v>L</v>
      </c>
      <c r="L106" t="str">
        <f t="shared" si="9"/>
        <v>Abby</v>
      </c>
      <c r="M106" t="str">
        <f>VLOOKUP(L106,References!$A$2:$B$16,2,FALSE)</f>
        <v>AKCOVA</v>
      </c>
      <c r="N106" s="19" t="str">
        <f>IF(M106=M107,"N","Y")</f>
        <v>Y</v>
      </c>
      <c r="O106">
        <f>SUM(I106:I107)</f>
        <v>194</v>
      </c>
      <c r="P106">
        <f t="shared" si="11"/>
        <v>105</v>
      </c>
    </row>
    <row r="107" spans="1:16" hidden="1" x14ac:dyDescent="0.3">
      <c r="A107" t="str">
        <f t="shared" si="10"/>
        <v>2013Matt11</v>
      </c>
      <c r="B107">
        <f t="shared" si="6"/>
        <v>619</v>
      </c>
      <c r="C107">
        <f t="shared" si="7"/>
        <v>540</v>
      </c>
      <c r="D107" t="s">
        <v>30</v>
      </c>
      <c r="E107" t="str">
        <f>D106</f>
        <v>Abby</v>
      </c>
      <c r="F107">
        <v>2013</v>
      </c>
      <c r="G107">
        <v>11</v>
      </c>
      <c r="H107">
        <v>3.2</v>
      </c>
      <c r="I107">
        <v>105</v>
      </c>
      <c r="J107">
        <f>I107-I106</f>
        <v>16</v>
      </c>
      <c r="K107" t="str">
        <f t="shared" si="8"/>
        <v>W</v>
      </c>
      <c r="L107" t="str">
        <f t="shared" si="9"/>
        <v>Matt</v>
      </c>
      <c r="M107" t="str">
        <f>VLOOKUP(L107,References!$A$2:$B$16,2,FALSE)</f>
        <v>TEXAROK</v>
      </c>
      <c r="N107" s="19" t="str">
        <f>IF(M107=M106,"N","Y")</f>
        <v>Y</v>
      </c>
      <c r="O107">
        <f>SUM(I106:I107)</f>
        <v>194</v>
      </c>
      <c r="P107">
        <f t="shared" si="11"/>
        <v>89</v>
      </c>
    </row>
    <row r="108" spans="1:16" hidden="1" x14ac:dyDescent="0.3">
      <c r="A108" t="str">
        <f t="shared" si="10"/>
        <v>2013Emily11</v>
      </c>
      <c r="B108">
        <f t="shared" si="6"/>
        <v>1475</v>
      </c>
      <c r="C108">
        <f t="shared" si="7"/>
        <v>1439</v>
      </c>
      <c r="D108" t="s">
        <v>43</v>
      </c>
      <c r="E108" t="str">
        <f>D109</f>
        <v>Watty</v>
      </c>
      <c r="F108">
        <v>2013</v>
      </c>
      <c r="G108">
        <v>11</v>
      </c>
      <c r="H108">
        <v>4.0999999999999996</v>
      </c>
      <c r="I108">
        <v>79</v>
      </c>
      <c r="J108">
        <f>I108-I109</f>
        <v>-17</v>
      </c>
      <c r="K108" t="str">
        <f t="shared" si="8"/>
        <v>L</v>
      </c>
      <c r="L108" t="str">
        <f t="shared" si="9"/>
        <v>Emily</v>
      </c>
      <c r="M108" t="str">
        <f>VLOOKUP(L108,References!$A$2:$B$16,2,FALSE)</f>
        <v>TEXAROK</v>
      </c>
      <c r="N108" s="19" t="str">
        <f>IF(M108=M109,"N","Y")</f>
        <v>Y</v>
      </c>
      <c r="O108">
        <f>SUM(I108:I109)</f>
        <v>175</v>
      </c>
      <c r="P108">
        <f t="shared" si="11"/>
        <v>96</v>
      </c>
    </row>
    <row r="109" spans="1:16" hidden="1" x14ac:dyDescent="0.3">
      <c r="A109" t="str">
        <f t="shared" si="10"/>
        <v>2013Watty11</v>
      </c>
      <c r="B109">
        <f t="shared" si="6"/>
        <v>597</v>
      </c>
      <c r="C109">
        <f t="shared" si="7"/>
        <v>822</v>
      </c>
      <c r="D109" t="s">
        <v>24</v>
      </c>
      <c r="E109" t="str">
        <f>D108</f>
        <v>Emily</v>
      </c>
      <c r="F109">
        <v>2013</v>
      </c>
      <c r="G109">
        <v>11</v>
      </c>
      <c r="H109">
        <v>4.2</v>
      </c>
      <c r="I109">
        <v>96</v>
      </c>
      <c r="J109">
        <f>I109-I108</f>
        <v>17</v>
      </c>
      <c r="K109" t="str">
        <f t="shared" si="8"/>
        <v>W</v>
      </c>
      <c r="L109" t="str">
        <f t="shared" si="9"/>
        <v>Watty</v>
      </c>
      <c r="M109" t="str">
        <f>VLOOKUP(L109,References!$A$2:$B$16,2,FALSE)</f>
        <v>AKCOVA</v>
      </c>
      <c r="N109" s="19" t="str">
        <f>IF(M109=M108,"N","Y")</f>
        <v>Y</v>
      </c>
      <c r="O109">
        <f>SUM(I108:I109)</f>
        <v>175</v>
      </c>
      <c r="P109">
        <f t="shared" si="11"/>
        <v>79</v>
      </c>
    </row>
    <row r="110" spans="1:16" hidden="1" x14ac:dyDescent="0.3">
      <c r="A110" t="str">
        <f t="shared" si="10"/>
        <v>2013David11</v>
      </c>
      <c r="B110">
        <f t="shared" si="6"/>
        <v>1409</v>
      </c>
      <c r="C110">
        <f t="shared" si="7"/>
        <v>777</v>
      </c>
      <c r="D110" t="s">
        <v>29</v>
      </c>
      <c r="E110" t="str">
        <f>D111</f>
        <v>Brian</v>
      </c>
      <c r="F110">
        <v>2013</v>
      </c>
      <c r="G110">
        <v>11</v>
      </c>
      <c r="H110">
        <v>5.0999999999999996</v>
      </c>
      <c r="I110">
        <v>97</v>
      </c>
      <c r="J110">
        <f>I110-I111</f>
        <v>-14</v>
      </c>
      <c r="K110" t="str">
        <f t="shared" si="8"/>
        <v>L</v>
      </c>
      <c r="L110" t="str">
        <f t="shared" si="9"/>
        <v>David</v>
      </c>
      <c r="M110" t="str">
        <f>VLOOKUP(L110,References!$A$2:$B$16,2,FALSE)</f>
        <v>TEXAROK</v>
      </c>
      <c r="N110" s="19" t="str">
        <f>IF(M110=M111,"N","Y")</f>
        <v>N</v>
      </c>
      <c r="O110">
        <f>SUM(I110:I111)</f>
        <v>208</v>
      </c>
      <c r="P110">
        <f t="shared" si="11"/>
        <v>111</v>
      </c>
    </row>
    <row r="111" spans="1:16" hidden="1" x14ac:dyDescent="0.3">
      <c r="A111" t="str">
        <f t="shared" si="10"/>
        <v>2013Brian11</v>
      </c>
      <c r="B111">
        <f t="shared" si="6"/>
        <v>660</v>
      </c>
      <c r="C111">
        <f t="shared" si="7"/>
        <v>383</v>
      </c>
      <c r="D111" t="s">
        <v>26</v>
      </c>
      <c r="E111" t="str">
        <f>D110</f>
        <v>David</v>
      </c>
      <c r="F111">
        <v>2013</v>
      </c>
      <c r="G111">
        <v>11</v>
      </c>
      <c r="H111">
        <v>5.2</v>
      </c>
      <c r="I111">
        <v>111</v>
      </c>
      <c r="J111">
        <f>I111-I110</f>
        <v>14</v>
      </c>
      <c r="K111" t="str">
        <f t="shared" si="8"/>
        <v>W</v>
      </c>
      <c r="L111" t="str">
        <f t="shared" si="9"/>
        <v>Brian</v>
      </c>
      <c r="M111" t="str">
        <f>VLOOKUP(L111,References!$A$2:$B$16,2,FALSE)</f>
        <v>TEXAROK</v>
      </c>
      <c r="N111" s="19" t="str">
        <f>IF(M111=M110,"N","Y")</f>
        <v>N</v>
      </c>
      <c r="O111">
        <f>SUM(I110:I111)</f>
        <v>208</v>
      </c>
      <c r="P111">
        <f t="shared" si="11"/>
        <v>97</v>
      </c>
    </row>
    <row r="112" spans="1:16" hidden="1" x14ac:dyDescent="0.3">
      <c r="A112" t="str">
        <f t="shared" si="10"/>
        <v>2013Watty12</v>
      </c>
      <c r="B112">
        <f t="shared" si="6"/>
        <v>489</v>
      </c>
      <c r="C112">
        <f t="shared" si="7"/>
        <v>893</v>
      </c>
      <c r="D112" t="s">
        <v>24</v>
      </c>
      <c r="E112" t="str">
        <f>D113</f>
        <v>Michael</v>
      </c>
      <c r="F112">
        <v>2013</v>
      </c>
      <c r="G112">
        <v>12</v>
      </c>
      <c r="H112">
        <v>1.1000000000000001</v>
      </c>
      <c r="I112">
        <v>94</v>
      </c>
      <c r="J112">
        <f>I112-I113</f>
        <v>21</v>
      </c>
      <c r="K112" t="str">
        <f t="shared" si="8"/>
        <v>W</v>
      </c>
      <c r="L112" t="str">
        <f t="shared" si="9"/>
        <v>Watty</v>
      </c>
      <c r="M112" t="str">
        <f>VLOOKUP(L112,References!$A$2:$B$16,2,FALSE)</f>
        <v>AKCOVA</v>
      </c>
      <c r="N112" s="19" t="str">
        <f>IF(M112=M113,"N","Y")</f>
        <v>N</v>
      </c>
      <c r="O112">
        <f>SUM(I112:I113)</f>
        <v>167</v>
      </c>
      <c r="P112">
        <f t="shared" si="11"/>
        <v>73</v>
      </c>
    </row>
    <row r="113" spans="1:16" hidden="1" x14ac:dyDescent="0.3">
      <c r="A113" t="str">
        <f t="shared" si="10"/>
        <v>2013Michael12</v>
      </c>
      <c r="B113">
        <f t="shared" si="6"/>
        <v>1577</v>
      </c>
      <c r="C113">
        <f t="shared" si="7"/>
        <v>1648</v>
      </c>
      <c r="D113" t="s">
        <v>23</v>
      </c>
      <c r="E113" t="str">
        <f>D112</f>
        <v>Watty</v>
      </c>
      <c r="F113">
        <v>2013</v>
      </c>
      <c r="G113">
        <v>12</v>
      </c>
      <c r="H113">
        <v>1.2</v>
      </c>
      <c r="I113">
        <v>73</v>
      </c>
      <c r="J113">
        <f>I113-I112</f>
        <v>-21</v>
      </c>
      <c r="K113" t="str">
        <f t="shared" si="8"/>
        <v>L</v>
      </c>
      <c r="L113" t="str">
        <f t="shared" si="9"/>
        <v>Michael</v>
      </c>
      <c r="M113" t="str">
        <f>VLOOKUP(L113,References!$A$2:$B$16,2,FALSE)</f>
        <v>AKCOVA</v>
      </c>
      <c r="N113" s="19" t="str">
        <f>IF(M113=M112,"N","Y")</f>
        <v>N</v>
      </c>
      <c r="O113">
        <f>SUM(I112:I113)</f>
        <v>167</v>
      </c>
      <c r="P113">
        <f t="shared" si="11"/>
        <v>94</v>
      </c>
    </row>
    <row r="114" spans="1:16" hidden="1" x14ac:dyDescent="0.3">
      <c r="A114" t="str">
        <f t="shared" si="10"/>
        <v>2013Matt12</v>
      </c>
      <c r="B114">
        <f t="shared" si="6"/>
        <v>319</v>
      </c>
      <c r="C114">
        <f t="shared" si="7"/>
        <v>1439</v>
      </c>
      <c r="D114" t="s">
        <v>30</v>
      </c>
      <c r="E114" t="str">
        <f>D115</f>
        <v>Emily</v>
      </c>
      <c r="F114">
        <v>2013</v>
      </c>
      <c r="G114">
        <v>12</v>
      </c>
      <c r="H114">
        <v>2.1</v>
      </c>
      <c r="I114">
        <v>79</v>
      </c>
      <c r="J114">
        <f>I114-I115</f>
        <v>30</v>
      </c>
      <c r="K114" t="str">
        <f t="shared" si="8"/>
        <v>W</v>
      </c>
      <c r="L114" t="str">
        <f t="shared" si="9"/>
        <v>Matt</v>
      </c>
      <c r="M114" t="str">
        <f>VLOOKUP(L114,References!$A$2:$B$16,2,FALSE)</f>
        <v>TEXAROK</v>
      </c>
      <c r="N114" s="19" t="str">
        <f>IF(M114=M115,"N","Y")</f>
        <v>N</v>
      </c>
      <c r="O114">
        <f>SUM(I114:I115)</f>
        <v>128</v>
      </c>
      <c r="P114">
        <f t="shared" si="11"/>
        <v>49</v>
      </c>
    </row>
    <row r="115" spans="1:16" hidden="1" x14ac:dyDescent="0.3">
      <c r="A115" t="str">
        <f t="shared" si="10"/>
        <v>2013Emily12</v>
      </c>
      <c r="B115">
        <f t="shared" si="6"/>
        <v>1753</v>
      </c>
      <c r="C115">
        <f t="shared" si="7"/>
        <v>2057</v>
      </c>
      <c r="D115" t="s">
        <v>43</v>
      </c>
      <c r="E115" t="str">
        <f>D114</f>
        <v>Matt</v>
      </c>
      <c r="F115">
        <v>2013</v>
      </c>
      <c r="G115">
        <v>12</v>
      </c>
      <c r="H115">
        <v>2.2000000000000002</v>
      </c>
      <c r="I115">
        <v>49</v>
      </c>
      <c r="J115">
        <f>I115-I114</f>
        <v>-30</v>
      </c>
      <c r="K115" t="str">
        <f t="shared" si="8"/>
        <v>L</v>
      </c>
      <c r="L115" t="str">
        <f t="shared" si="9"/>
        <v>Emily</v>
      </c>
      <c r="M115" t="str">
        <f>VLOOKUP(L115,References!$A$2:$B$16,2,FALSE)</f>
        <v>TEXAROK</v>
      </c>
      <c r="N115" s="19" t="str">
        <f>IF(M115=M114,"N","Y")</f>
        <v>N</v>
      </c>
      <c r="O115">
        <f>SUM(I114:I115)</f>
        <v>128</v>
      </c>
      <c r="P115">
        <f t="shared" si="11"/>
        <v>79</v>
      </c>
    </row>
    <row r="116" spans="1:16" hidden="1" x14ac:dyDescent="0.3">
      <c r="A116" t="str">
        <f t="shared" si="10"/>
        <v>2013Abby12</v>
      </c>
      <c r="B116">
        <f t="shared" si="6"/>
        <v>1197</v>
      </c>
      <c r="C116">
        <f t="shared" si="7"/>
        <v>1406</v>
      </c>
      <c r="D116" t="s">
        <v>27</v>
      </c>
      <c r="E116" t="str">
        <f>D117</f>
        <v>David</v>
      </c>
      <c r="F116">
        <v>2013</v>
      </c>
      <c r="G116">
        <v>12</v>
      </c>
      <c r="H116">
        <v>3.1</v>
      </c>
      <c r="I116">
        <v>80</v>
      </c>
      <c r="J116">
        <f>I116-I117</f>
        <v>-6</v>
      </c>
      <c r="K116" t="str">
        <f t="shared" si="8"/>
        <v>L</v>
      </c>
      <c r="L116" t="str">
        <f t="shared" si="9"/>
        <v>Abby</v>
      </c>
      <c r="M116" t="str">
        <f>VLOOKUP(L116,References!$A$2:$B$16,2,FALSE)</f>
        <v>AKCOVA</v>
      </c>
      <c r="N116" s="19" t="str">
        <f>IF(M116=M117,"N","Y")</f>
        <v>Y</v>
      </c>
      <c r="O116">
        <f>SUM(I116:I117)</f>
        <v>166</v>
      </c>
      <c r="P116">
        <f t="shared" si="11"/>
        <v>86</v>
      </c>
    </row>
    <row r="117" spans="1:16" hidden="1" x14ac:dyDescent="0.3">
      <c r="A117" t="str">
        <f t="shared" si="10"/>
        <v>2013David12</v>
      </c>
      <c r="B117">
        <f t="shared" si="6"/>
        <v>865</v>
      </c>
      <c r="C117">
        <f t="shared" si="7"/>
        <v>1173</v>
      </c>
      <c r="D117" t="s">
        <v>29</v>
      </c>
      <c r="E117" t="str">
        <f>D116</f>
        <v>Abby</v>
      </c>
      <c r="F117">
        <v>2013</v>
      </c>
      <c r="G117">
        <v>12</v>
      </c>
      <c r="H117">
        <v>3.2</v>
      </c>
      <c r="I117">
        <v>86</v>
      </c>
      <c r="J117">
        <f>I117-I116</f>
        <v>6</v>
      </c>
      <c r="K117" t="str">
        <f t="shared" si="8"/>
        <v>W</v>
      </c>
      <c r="L117" t="str">
        <f t="shared" si="9"/>
        <v>David</v>
      </c>
      <c r="M117" t="str">
        <f>VLOOKUP(L117,References!$A$2:$B$16,2,FALSE)</f>
        <v>TEXAROK</v>
      </c>
      <c r="N117" s="19" t="str">
        <f>IF(M117=M116,"N","Y")</f>
        <v>Y</v>
      </c>
      <c r="O117">
        <f>SUM(I116:I117)</f>
        <v>166</v>
      </c>
      <c r="P117">
        <f t="shared" si="11"/>
        <v>80</v>
      </c>
    </row>
    <row r="118" spans="1:16" hidden="1" x14ac:dyDescent="0.3">
      <c r="A118" t="str">
        <f t="shared" si="10"/>
        <v>2013Brian12</v>
      </c>
      <c r="B118">
        <f t="shared" si="6"/>
        <v>42</v>
      </c>
      <c r="C118">
        <f t="shared" si="7"/>
        <v>111</v>
      </c>
      <c r="D118" t="s">
        <v>26</v>
      </c>
      <c r="E118" t="str">
        <f>D119</f>
        <v>Mark</v>
      </c>
      <c r="F118">
        <v>2013</v>
      </c>
      <c r="G118">
        <v>12</v>
      </c>
      <c r="H118">
        <v>4.0999999999999996</v>
      </c>
      <c r="I118">
        <v>130</v>
      </c>
      <c r="J118">
        <f>I118-I119</f>
        <v>63</v>
      </c>
      <c r="K118" t="str">
        <f t="shared" si="8"/>
        <v>W</v>
      </c>
      <c r="L118" t="str">
        <f t="shared" si="9"/>
        <v>Brian</v>
      </c>
      <c r="M118" t="str">
        <f>VLOOKUP(L118,References!$A$2:$B$16,2,FALSE)</f>
        <v>TEXAROK</v>
      </c>
      <c r="N118" s="19" t="str">
        <f>IF(M118=M119,"N","Y")</f>
        <v>Y</v>
      </c>
      <c r="O118">
        <f>SUM(I118:I119)</f>
        <v>197</v>
      </c>
      <c r="P118">
        <f t="shared" si="11"/>
        <v>67</v>
      </c>
    </row>
    <row r="119" spans="1:16" hidden="1" x14ac:dyDescent="0.3">
      <c r="A119" t="str">
        <f t="shared" si="10"/>
        <v>2013Mark12</v>
      </c>
      <c r="B119">
        <f t="shared" si="6"/>
        <v>2049</v>
      </c>
      <c r="C119">
        <f t="shared" si="7"/>
        <v>1815</v>
      </c>
      <c r="D119" t="s">
        <v>22</v>
      </c>
      <c r="E119" t="str">
        <f>D118</f>
        <v>Brian</v>
      </c>
      <c r="F119">
        <v>2013</v>
      </c>
      <c r="G119">
        <v>12</v>
      </c>
      <c r="H119">
        <v>4.2</v>
      </c>
      <c r="I119">
        <v>67</v>
      </c>
      <c r="J119">
        <f>I119-I118</f>
        <v>-63</v>
      </c>
      <c r="K119" t="str">
        <f t="shared" si="8"/>
        <v>L</v>
      </c>
      <c r="L119" t="str">
        <f t="shared" si="9"/>
        <v>Mark</v>
      </c>
      <c r="M119" t="str">
        <f>VLOOKUP(L119,References!$A$2:$B$16,2,FALSE)</f>
        <v>AKCOVA</v>
      </c>
      <c r="N119" s="19" t="str">
        <f>IF(M119=M118,"N","Y")</f>
        <v>Y</v>
      </c>
      <c r="O119">
        <f>SUM(I118:I119)</f>
        <v>197</v>
      </c>
      <c r="P119">
        <f t="shared" si="11"/>
        <v>130</v>
      </c>
    </row>
    <row r="120" spans="1:16" hidden="1" x14ac:dyDescent="0.3">
      <c r="A120" t="str">
        <f t="shared" si="10"/>
        <v>2013Russell12</v>
      </c>
      <c r="B120">
        <f t="shared" si="6"/>
        <v>238</v>
      </c>
      <c r="C120">
        <f t="shared" si="7"/>
        <v>383</v>
      </c>
      <c r="D120" t="s">
        <v>28</v>
      </c>
      <c r="E120" t="str">
        <f>D121</f>
        <v>BR</v>
      </c>
      <c r="F120">
        <v>2013</v>
      </c>
      <c r="G120">
        <v>12</v>
      </c>
      <c r="H120">
        <v>5.0999999999999996</v>
      </c>
      <c r="I120">
        <v>111</v>
      </c>
      <c r="J120">
        <f>I120-I121</f>
        <v>36</v>
      </c>
      <c r="K120" t="str">
        <f t="shared" si="8"/>
        <v>W</v>
      </c>
      <c r="L120" t="str">
        <f t="shared" si="9"/>
        <v>Russell</v>
      </c>
      <c r="M120" t="str">
        <f>VLOOKUP(L120,References!$A$2:$B$16,2,FALSE)</f>
        <v>TEXAROK</v>
      </c>
      <c r="N120" s="19" t="str">
        <f>IF(M120=M121,"N","Y")</f>
        <v>Y</v>
      </c>
      <c r="O120">
        <f>SUM(I120:I121)</f>
        <v>186</v>
      </c>
      <c r="P120">
        <f t="shared" si="11"/>
        <v>75</v>
      </c>
    </row>
    <row r="121" spans="1:16" hidden="1" x14ac:dyDescent="0.3">
      <c r="A121" t="str">
        <f t="shared" si="10"/>
        <v>2013BR12</v>
      </c>
      <c r="B121">
        <f t="shared" si="6"/>
        <v>1840</v>
      </c>
      <c r="C121">
        <f t="shared" si="7"/>
        <v>1595</v>
      </c>
      <c r="D121" t="s">
        <v>25</v>
      </c>
      <c r="E121" t="str">
        <f>D120</f>
        <v>Russell</v>
      </c>
      <c r="F121">
        <v>2013</v>
      </c>
      <c r="G121">
        <v>12</v>
      </c>
      <c r="H121">
        <v>5.2</v>
      </c>
      <c r="I121">
        <v>75</v>
      </c>
      <c r="J121">
        <f>I121-I120</f>
        <v>-36</v>
      </c>
      <c r="K121" t="str">
        <f t="shared" si="8"/>
        <v>L</v>
      </c>
      <c r="L121" t="str">
        <f t="shared" si="9"/>
        <v>BR</v>
      </c>
      <c r="M121" t="str">
        <f>VLOOKUP(L121,References!$A$2:$B$16,2,FALSE)</f>
        <v>AKCOVA</v>
      </c>
      <c r="N121" s="19" t="str">
        <f>IF(M121=M120,"N","Y")</f>
        <v>Y</v>
      </c>
      <c r="O121">
        <f>SUM(I120:I121)</f>
        <v>186</v>
      </c>
      <c r="P121">
        <f t="shared" si="11"/>
        <v>111</v>
      </c>
    </row>
    <row r="122" spans="1:16" hidden="1" x14ac:dyDescent="0.3">
      <c r="A122" t="str">
        <f t="shared" si="10"/>
        <v>2013Matt13</v>
      </c>
      <c r="B122">
        <f t="shared" si="6"/>
        <v>1357</v>
      </c>
      <c r="C122">
        <f t="shared" si="7"/>
        <v>1549</v>
      </c>
      <c r="D122" t="s">
        <v>30</v>
      </c>
      <c r="E122" t="str">
        <f>D123</f>
        <v>Michael</v>
      </c>
      <c r="F122">
        <v>2013</v>
      </c>
      <c r="G122">
        <v>13</v>
      </c>
      <c r="H122">
        <v>1.1000000000000001</v>
      </c>
      <c r="I122">
        <v>76</v>
      </c>
      <c r="J122">
        <f>I122-I123</f>
        <v>-12</v>
      </c>
      <c r="K122" t="str">
        <f t="shared" si="8"/>
        <v>L</v>
      </c>
      <c r="L122" t="str">
        <f t="shared" si="9"/>
        <v>Matt</v>
      </c>
      <c r="M122" t="str">
        <f>VLOOKUP(L122,References!$A$2:$B$16,2,FALSE)</f>
        <v>TEXAROK</v>
      </c>
      <c r="N122" s="19" t="str">
        <f>IF(M122=M123,"N","Y")</f>
        <v>Y</v>
      </c>
      <c r="O122">
        <f>SUM(I122:I123)</f>
        <v>164</v>
      </c>
      <c r="P122">
        <f t="shared" si="11"/>
        <v>88</v>
      </c>
    </row>
    <row r="123" spans="1:16" hidden="1" x14ac:dyDescent="0.3">
      <c r="A123" t="str">
        <f t="shared" si="10"/>
        <v>2013Michael13</v>
      </c>
      <c r="B123">
        <f t="shared" si="6"/>
        <v>713</v>
      </c>
      <c r="C123">
        <f t="shared" si="7"/>
        <v>1100</v>
      </c>
      <c r="D123" t="s">
        <v>23</v>
      </c>
      <c r="E123" t="str">
        <f>D122</f>
        <v>Matt</v>
      </c>
      <c r="F123">
        <v>2013</v>
      </c>
      <c r="G123">
        <v>13</v>
      </c>
      <c r="H123">
        <v>1.2</v>
      </c>
      <c r="I123">
        <v>88</v>
      </c>
      <c r="J123">
        <f>I123-I122</f>
        <v>12</v>
      </c>
      <c r="K123" t="str">
        <f t="shared" si="8"/>
        <v>W</v>
      </c>
      <c r="L123" t="str">
        <f t="shared" si="9"/>
        <v>Michael</v>
      </c>
      <c r="M123" t="str">
        <f>VLOOKUP(L123,References!$A$2:$B$16,2,FALSE)</f>
        <v>AKCOVA</v>
      </c>
      <c r="N123" s="19" t="str">
        <f>IF(M123=M122,"N","Y")</f>
        <v>Y</v>
      </c>
      <c r="O123">
        <f>SUM(I122:I123)</f>
        <v>164</v>
      </c>
      <c r="P123">
        <f t="shared" si="11"/>
        <v>76</v>
      </c>
    </row>
    <row r="124" spans="1:16" hidden="1" x14ac:dyDescent="0.3">
      <c r="A124" t="str">
        <f t="shared" si="10"/>
        <v>2013Brian13</v>
      </c>
      <c r="B124">
        <f t="shared" si="6"/>
        <v>319</v>
      </c>
      <c r="C124">
        <f t="shared" si="7"/>
        <v>248</v>
      </c>
      <c r="D124" t="s">
        <v>26</v>
      </c>
      <c r="E124" t="str">
        <f>D125</f>
        <v>Abby</v>
      </c>
      <c r="F124">
        <v>2013</v>
      </c>
      <c r="G124">
        <v>13</v>
      </c>
      <c r="H124">
        <v>2.1</v>
      </c>
      <c r="I124">
        <v>119</v>
      </c>
      <c r="J124">
        <f>I124-I125</f>
        <v>30</v>
      </c>
      <c r="K124" t="str">
        <f t="shared" si="8"/>
        <v>W</v>
      </c>
      <c r="L124" t="str">
        <f t="shared" si="9"/>
        <v>Brian</v>
      </c>
      <c r="M124" t="str">
        <f>VLOOKUP(L124,References!$A$2:$B$16,2,FALSE)</f>
        <v>TEXAROK</v>
      </c>
      <c r="N124" s="19" t="str">
        <f>IF(M124=M125,"N","Y")</f>
        <v>Y</v>
      </c>
      <c r="O124">
        <f>SUM(I124:I125)</f>
        <v>208</v>
      </c>
      <c r="P124">
        <f t="shared" si="11"/>
        <v>89</v>
      </c>
    </row>
    <row r="125" spans="1:16" hidden="1" x14ac:dyDescent="0.3">
      <c r="A125" t="str">
        <f t="shared" si="10"/>
        <v>2013Abby13</v>
      </c>
      <c r="B125">
        <f t="shared" si="6"/>
        <v>1753</v>
      </c>
      <c r="C125">
        <f t="shared" si="7"/>
        <v>1055</v>
      </c>
      <c r="D125" t="s">
        <v>27</v>
      </c>
      <c r="E125" t="str">
        <f>D124</f>
        <v>Brian</v>
      </c>
      <c r="F125">
        <v>2013</v>
      </c>
      <c r="G125">
        <v>13</v>
      </c>
      <c r="H125">
        <v>2.2000000000000002</v>
      </c>
      <c r="I125">
        <v>89</v>
      </c>
      <c r="J125">
        <f>I125-I124</f>
        <v>-30</v>
      </c>
      <c r="K125" t="str">
        <f t="shared" si="8"/>
        <v>L</v>
      </c>
      <c r="L125" t="str">
        <f t="shared" si="9"/>
        <v>Abby</v>
      </c>
      <c r="M125" t="str">
        <f>VLOOKUP(L125,References!$A$2:$B$16,2,FALSE)</f>
        <v>AKCOVA</v>
      </c>
      <c r="N125" s="19" t="str">
        <f>IF(M125=M124,"N","Y")</f>
        <v>Y</v>
      </c>
      <c r="O125">
        <f>SUM(I124:I125)</f>
        <v>208</v>
      </c>
      <c r="P125">
        <f t="shared" si="11"/>
        <v>119</v>
      </c>
    </row>
    <row r="126" spans="1:16" hidden="1" x14ac:dyDescent="0.3">
      <c r="A126" t="str">
        <f t="shared" si="10"/>
        <v>2013Emily13</v>
      </c>
      <c r="B126">
        <f t="shared" si="6"/>
        <v>917</v>
      </c>
      <c r="C126">
        <f t="shared" si="7"/>
        <v>1867</v>
      </c>
      <c r="D126" t="s">
        <v>43</v>
      </c>
      <c r="E126" t="str">
        <f>D127</f>
        <v>David</v>
      </c>
      <c r="F126">
        <v>2013</v>
      </c>
      <c r="G126">
        <v>13</v>
      </c>
      <c r="H126">
        <v>3.1</v>
      </c>
      <c r="I126">
        <v>64</v>
      </c>
      <c r="J126">
        <f>I126-I127</f>
        <v>4</v>
      </c>
      <c r="K126" t="str">
        <f t="shared" si="8"/>
        <v>W</v>
      </c>
      <c r="L126" t="str">
        <f t="shared" si="9"/>
        <v>Emily</v>
      </c>
      <c r="M126" t="str">
        <f>VLOOKUP(L126,References!$A$2:$B$16,2,FALSE)</f>
        <v>TEXAROK</v>
      </c>
      <c r="N126" s="19" t="str">
        <f>IF(M126=M127,"N","Y")</f>
        <v>N</v>
      </c>
      <c r="O126">
        <f>SUM(I126:I127)</f>
        <v>124</v>
      </c>
      <c r="P126">
        <f t="shared" si="11"/>
        <v>60</v>
      </c>
    </row>
    <row r="127" spans="1:16" hidden="1" x14ac:dyDescent="0.3">
      <c r="A127" t="str">
        <f t="shared" si="10"/>
        <v>2013David13</v>
      </c>
      <c r="B127">
        <f t="shared" si="6"/>
        <v>1145</v>
      </c>
      <c r="C127">
        <f t="shared" si="7"/>
        <v>1936</v>
      </c>
      <c r="D127" t="s">
        <v>29</v>
      </c>
      <c r="E127" t="str">
        <f>D126</f>
        <v>Emily</v>
      </c>
      <c r="F127">
        <v>2013</v>
      </c>
      <c r="G127">
        <v>13</v>
      </c>
      <c r="H127">
        <v>3.2</v>
      </c>
      <c r="I127">
        <v>60</v>
      </c>
      <c r="J127">
        <f>I127-I126</f>
        <v>-4</v>
      </c>
      <c r="K127" t="str">
        <f t="shared" si="8"/>
        <v>L</v>
      </c>
      <c r="L127" t="str">
        <f t="shared" si="9"/>
        <v>David</v>
      </c>
      <c r="M127" t="str">
        <f>VLOOKUP(L127,References!$A$2:$B$16,2,FALSE)</f>
        <v>TEXAROK</v>
      </c>
      <c r="N127" s="19" t="str">
        <f>IF(M127=M126,"N","Y")</f>
        <v>N</v>
      </c>
      <c r="O127">
        <f>SUM(I126:I127)</f>
        <v>124</v>
      </c>
      <c r="P127">
        <f t="shared" si="11"/>
        <v>64</v>
      </c>
    </row>
    <row r="128" spans="1:16" hidden="1" x14ac:dyDescent="0.3">
      <c r="A128" t="str">
        <f t="shared" si="10"/>
        <v>2013BR13</v>
      </c>
      <c r="B128">
        <f t="shared" si="6"/>
        <v>489</v>
      </c>
      <c r="C128">
        <f t="shared" si="7"/>
        <v>1618</v>
      </c>
      <c r="D128" t="s">
        <v>25</v>
      </c>
      <c r="E128" t="str">
        <f>D129</f>
        <v>Mark</v>
      </c>
      <c r="F128">
        <v>2013</v>
      </c>
      <c r="G128">
        <v>13</v>
      </c>
      <c r="H128">
        <v>4.0999999999999996</v>
      </c>
      <c r="I128">
        <v>74</v>
      </c>
      <c r="J128">
        <f>I128-I129</f>
        <v>21</v>
      </c>
      <c r="K128" t="str">
        <f t="shared" si="8"/>
        <v>W</v>
      </c>
      <c r="L128" t="str">
        <f t="shared" si="9"/>
        <v>BR</v>
      </c>
      <c r="M128" t="str">
        <f>VLOOKUP(L128,References!$A$2:$B$16,2,FALSE)</f>
        <v>AKCOVA</v>
      </c>
      <c r="N128" s="19" t="str">
        <f>IF(M128=M129,"N","Y")</f>
        <v>N</v>
      </c>
      <c r="O128">
        <f>SUM(I128:I129)</f>
        <v>127</v>
      </c>
      <c r="P128">
        <f t="shared" si="11"/>
        <v>53</v>
      </c>
    </row>
    <row r="129" spans="1:16" hidden="1" x14ac:dyDescent="0.3">
      <c r="A129" t="str">
        <f t="shared" si="10"/>
        <v>2013Mark13</v>
      </c>
      <c r="B129">
        <f t="shared" si="6"/>
        <v>1577</v>
      </c>
      <c r="C129">
        <f t="shared" si="7"/>
        <v>2027</v>
      </c>
      <c r="D129" t="s">
        <v>22</v>
      </c>
      <c r="E129" t="str">
        <f>D128</f>
        <v>BR</v>
      </c>
      <c r="F129">
        <v>2013</v>
      </c>
      <c r="G129">
        <v>13</v>
      </c>
      <c r="H129">
        <v>4.2</v>
      </c>
      <c r="I129">
        <v>53</v>
      </c>
      <c r="J129">
        <f>I129-I128</f>
        <v>-21</v>
      </c>
      <c r="K129" t="str">
        <f t="shared" si="8"/>
        <v>L</v>
      </c>
      <c r="L129" t="str">
        <f t="shared" si="9"/>
        <v>Mark</v>
      </c>
      <c r="M129" t="str">
        <f>VLOOKUP(L129,References!$A$2:$B$16,2,FALSE)</f>
        <v>AKCOVA</v>
      </c>
      <c r="N129" s="19" t="str">
        <f>IF(M129=M128,"N","Y")</f>
        <v>N</v>
      </c>
      <c r="O129">
        <f>SUM(I128:I129)</f>
        <v>127</v>
      </c>
      <c r="P129">
        <f t="shared" si="11"/>
        <v>74</v>
      </c>
    </row>
    <row r="130" spans="1:16" hidden="1" x14ac:dyDescent="0.3">
      <c r="A130" t="str">
        <f t="shared" si="10"/>
        <v>2013Russell13</v>
      </c>
      <c r="B130">
        <f t="shared" ref="B130:B193" si="12">RANK(J130,diff)</f>
        <v>371</v>
      </c>
      <c r="C130">
        <f t="shared" ref="C130:C193" si="13">RANK(I130,points)</f>
        <v>136</v>
      </c>
      <c r="D130" t="s">
        <v>28</v>
      </c>
      <c r="E130" t="str">
        <f>D131</f>
        <v>Watty</v>
      </c>
      <c r="F130">
        <v>2013</v>
      </c>
      <c r="G130">
        <v>13</v>
      </c>
      <c r="H130">
        <v>5.0999999999999996</v>
      </c>
      <c r="I130">
        <v>127</v>
      </c>
      <c r="J130">
        <f>I130-I131</f>
        <v>27</v>
      </c>
      <c r="K130" t="str">
        <f t="shared" ref="K130:K193" si="14">IF(J130&gt;0,"W",IF(J130&lt;0,"L","T"))</f>
        <v>W</v>
      </c>
      <c r="L130" t="str">
        <f t="shared" ref="L130:L193" si="15">D130</f>
        <v>Russell</v>
      </c>
      <c r="M130" t="str">
        <f>VLOOKUP(L130,References!$A$2:$B$16,2,FALSE)</f>
        <v>TEXAROK</v>
      </c>
      <c r="N130" s="19" t="str">
        <f>IF(M130=M131,"N","Y")</f>
        <v>Y</v>
      </c>
      <c r="O130">
        <f>SUM(I130:I131)</f>
        <v>227</v>
      </c>
      <c r="P130">
        <f t="shared" si="11"/>
        <v>100</v>
      </c>
    </row>
    <row r="131" spans="1:16" hidden="1" x14ac:dyDescent="0.3">
      <c r="A131" t="str">
        <f t="shared" ref="A131:A194" si="16">F131&amp;D131&amp;G131</f>
        <v>2013Watty13</v>
      </c>
      <c r="B131">
        <f t="shared" si="12"/>
        <v>1702</v>
      </c>
      <c r="C131">
        <f t="shared" si="13"/>
        <v>678</v>
      </c>
      <c r="D131" t="s">
        <v>24</v>
      </c>
      <c r="E131" t="str">
        <f>D130</f>
        <v>Russell</v>
      </c>
      <c r="F131">
        <v>2013</v>
      </c>
      <c r="G131">
        <v>13</v>
      </c>
      <c r="H131">
        <v>5.2</v>
      </c>
      <c r="I131">
        <v>100</v>
      </c>
      <c r="J131">
        <f>I131-I130</f>
        <v>-27</v>
      </c>
      <c r="K131" t="str">
        <f t="shared" si="14"/>
        <v>L</v>
      </c>
      <c r="L131" t="str">
        <f t="shared" si="15"/>
        <v>Watty</v>
      </c>
      <c r="M131" t="str">
        <f>VLOOKUP(L131,References!$A$2:$B$16,2,FALSE)</f>
        <v>AKCOVA</v>
      </c>
      <c r="N131" s="19" t="str">
        <f>IF(M131=M130,"N","Y")</f>
        <v>Y</v>
      </c>
      <c r="O131">
        <f>SUM(I130:I131)</f>
        <v>227</v>
      </c>
      <c r="P131">
        <f t="shared" ref="P131:P194" si="17">I131-J131</f>
        <v>127</v>
      </c>
    </row>
    <row r="132" spans="1:16" hidden="1" x14ac:dyDescent="0.3">
      <c r="A132" t="str">
        <f t="shared" si="16"/>
        <v>2014Michael1</v>
      </c>
      <c r="B132">
        <f t="shared" si="12"/>
        <v>1357</v>
      </c>
      <c r="C132">
        <f t="shared" si="13"/>
        <v>1738</v>
      </c>
      <c r="D132" t="s">
        <v>23</v>
      </c>
      <c r="E132" t="str">
        <f>D133</f>
        <v>Matt</v>
      </c>
      <c r="F132">
        <v>2014</v>
      </c>
      <c r="G132">
        <v>1</v>
      </c>
      <c r="H132">
        <v>1.1000000000000001</v>
      </c>
      <c r="I132">
        <v>70</v>
      </c>
      <c r="J132">
        <f>I132-I133</f>
        <v>-12</v>
      </c>
      <c r="K132" t="str">
        <f t="shared" si="14"/>
        <v>L</v>
      </c>
      <c r="L132" t="str">
        <f t="shared" si="15"/>
        <v>Michael</v>
      </c>
      <c r="M132" t="str">
        <f>VLOOKUP(L132,References!$A$2:$B$16,2,FALSE)</f>
        <v>AKCOVA</v>
      </c>
      <c r="N132" s="19" t="str">
        <f>IF(M132=M133,"N","Y")</f>
        <v>Y</v>
      </c>
      <c r="O132">
        <f>SUM(I132:I133)</f>
        <v>152</v>
      </c>
      <c r="P132">
        <f t="shared" si="17"/>
        <v>82</v>
      </c>
    </row>
    <row r="133" spans="1:16" hidden="1" x14ac:dyDescent="0.3">
      <c r="A133" t="str">
        <f t="shared" si="16"/>
        <v>2014Matt1</v>
      </c>
      <c r="B133">
        <f t="shared" si="12"/>
        <v>713</v>
      </c>
      <c r="C133">
        <f t="shared" si="13"/>
        <v>1318</v>
      </c>
      <c r="D133" t="s">
        <v>30</v>
      </c>
      <c r="E133" t="str">
        <f>D132</f>
        <v>Michael</v>
      </c>
      <c r="F133">
        <v>2014</v>
      </c>
      <c r="G133">
        <v>1</v>
      </c>
      <c r="H133">
        <v>1.2</v>
      </c>
      <c r="I133">
        <v>82</v>
      </c>
      <c r="J133">
        <f>I133-I132</f>
        <v>12</v>
      </c>
      <c r="K133" t="str">
        <f t="shared" si="14"/>
        <v>W</v>
      </c>
      <c r="L133" t="str">
        <f t="shared" si="15"/>
        <v>Matt</v>
      </c>
      <c r="M133" t="str">
        <f>VLOOKUP(L133,References!$A$2:$B$16,2,FALSE)</f>
        <v>TEXAROK</v>
      </c>
      <c r="N133" s="19" t="str">
        <f>IF(M133=M132,"N","Y")</f>
        <v>Y</v>
      </c>
      <c r="O133">
        <f>SUM(I132:I133)</f>
        <v>152</v>
      </c>
      <c r="P133">
        <f t="shared" si="17"/>
        <v>70</v>
      </c>
    </row>
    <row r="134" spans="1:16" hidden="1" x14ac:dyDescent="0.3">
      <c r="A134" t="str">
        <f t="shared" si="16"/>
        <v>2014Mark1</v>
      </c>
      <c r="B134">
        <f t="shared" si="12"/>
        <v>758</v>
      </c>
      <c r="C134">
        <f t="shared" si="13"/>
        <v>540</v>
      </c>
      <c r="D134" t="s">
        <v>22</v>
      </c>
      <c r="E134" t="str">
        <f>D135</f>
        <v>Brian</v>
      </c>
      <c r="F134">
        <v>2014</v>
      </c>
      <c r="G134">
        <v>1</v>
      </c>
      <c r="H134">
        <v>2.1</v>
      </c>
      <c r="I134">
        <v>105</v>
      </c>
      <c r="J134">
        <f>I134-I135</f>
        <v>10</v>
      </c>
      <c r="K134" t="str">
        <f t="shared" si="14"/>
        <v>W</v>
      </c>
      <c r="L134" t="str">
        <f t="shared" si="15"/>
        <v>Mark</v>
      </c>
      <c r="M134" t="str">
        <f>VLOOKUP(L134,References!$A$2:$B$16,2,FALSE)</f>
        <v>AKCOVA</v>
      </c>
      <c r="N134" s="19" t="str">
        <f>IF(M134=M135,"N","Y")</f>
        <v>Y</v>
      </c>
      <c r="O134">
        <f>SUM(I134:I135)</f>
        <v>200</v>
      </c>
      <c r="P134">
        <f t="shared" si="17"/>
        <v>95</v>
      </c>
    </row>
    <row r="135" spans="1:16" hidden="1" x14ac:dyDescent="0.3">
      <c r="A135" t="str">
        <f t="shared" si="16"/>
        <v>2014Brian1</v>
      </c>
      <c r="B135">
        <f t="shared" si="12"/>
        <v>1312</v>
      </c>
      <c r="C135">
        <f t="shared" si="13"/>
        <v>857</v>
      </c>
      <c r="D135" t="s">
        <v>26</v>
      </c>
      <c r="E135" t="str">
        <f>D134</f>
        <v>Mark</v>
      </c>
      <c r="F135">
        <v>2014</v>
      </c>
      <c r="G135">
        <v>1</v>
      </c>
      <c r="H135">
        <v>2.2000000000000002</v>
      </c>
      <c r="I135">
        <v>95</v>
      </c>
      <c r="J135">
        <f>I135-I134</f>
        <v>-10</v>
      </c>
      <c r="K135" t="str">
        <f t="shared" si="14"/>
        <v>L</v>
      </c>
      <c r="L135" t="str">
        <f t="shared" si="15"/>
        <v>Brian</v>
      </c>
      <c r="M135" t="str">
        <f>VLOOKUP(L135,References!$A$2:$B$16,2,FALSE)</f>
        <v>TEXAROK</v>
      </c>
      <c r="N135" s="19" t="str">
        <f>IF(M135=M134,"N","Y")</f>
        <v>Y</v>
      </c>
      <c r="O135">
        <f>SUM(I134:I135)</f>
        <v>200</v>
      </c>
      <c r="P135">
        <f t="shared" si="17"/>
        <v>105</v>
      </c>
    </row>
    <row r="136" spans="1:16" hidden="1" x14ac:dyDescent="0.3">
      <c r="A136" t="str">
        <f t="shared" si="16"/>
        <v>2014BR1</v>
      </c>
      <c r="B136">
        <f t="shared" si="12"/>
        <v>469</v>
      </c>
      <c r="C136">
        <f t="shared" si="13"/>
        <v>714</v>
      </c>
      <c r="D136" t="s">
        <v>25</v>
      </c>
      <c r="E136" t="str">
        <f>D137</f>
        <v>Abby</v>
      </c>
      <c r="F136">
        <v>2014</v>
      </c>
      <c r="G136">
        <v>1</v>
      </c>
      <c r="H136">
        <v>3.1</v>
      </c>
      <c r="I136">
        <v>99</v>
      </c>
      <c r="J136">
        <f>I136-I137</f>
        <v>22</v>
      </c>
      <c r="K136" t="str">
        <f t="shared" si="14"/>
        <v>W</v>
      </c>
      <c r="L136" t="str">
        <f t="shared" si="15"/>
        <v>BR</v>
      </c>
      <c r="M136" t="str">
        <f>VLOOKUP(L136,References!$A$2:$B$16,2,FALSE)</f>
        <v>AKCOVA</v>
      </c>
      <c r="N136" s="19" t="str">
        <f>IF(M136=M137,"N","Y")</f>
        <v>N</v>
      </c>
      <c r="O136">
        <f>SUM(I136:I137)</f>
        <v>176</v>
      </c>
      <c r="P136">
        <f t="shared" si="17"/>
        <v>77</v>
      </c>
    </row>
    <row r="137" spans="1:16" hidden="1" x14ac:dyDescent="0.3">
      <c r="A137" t="str">
        <f t="shared" si="16"/>
        <v>2014Abby1</v>
      </c>
      <c r="B137">
        <f t="shared" si="12"/>
        <v>1605</v>
      </c>
      <c r="C137">
        <f t="shared" si="13"/>
        <v>1512</v>
      </c>
      <c r="D137" t="s">
        <v>27</v>
      </c>
      <c r="E137" t="str">
        <f>D136</f>
        <v>BR</v>
      </c>
      <c r="F137">
        <v>2014</v>
      </c>
      <c r="G137">
        <v>1</v>
      </c>
      <c r="H137">
        <v>3.2</v>
      </c>
      <c r="I137">
        <v>77</v>
      </c>
      <c r="J137">
        <f>I137-I136</f>
        <v>-22</v>
      </c>
      <c r="K137" t="str">
        <f t="shared" si="14"/>
        <v>L</v>
      </c>
      <c r="L137" t="str">
        <f t="shared" si="15"/>
        <v>Abby</v>
      </c>
      <c r="M137" t="str">
        <f>VLOOKUP(L137,References!$A$2:$B$16,2,FALSE)</f>
        <v>AKCOVA</v>
      </c>
      <c r="N137" s="19" t="str">
        <f>IF(M137=M136,"N","Y")</f>
        <v>N</v>
      </c>
      <c r="O137">
        <f>SUM(I136:I137)</f>
        <v>176</v>
      </c>
      <c r="P137">
        <f t="shared" si="17"/>
        <v>99</v>
      </c>
    </row>
    <row r="138" spans="1:16" hidden="1" x14ac:dyDescent="0.3">
      <c r="A138" t="str">
        <f t="shared" si="16"/>
        <v>2014Watty1</v>
      </c>
      <c r="B138">
        <f t="shared" si="12"/>
        <v>1090</v>
      </c>
      <c r="C138">
        <f t="shared" si="13"/>
        <v>1210</v>
      </c>
      <c r="D138" t="s">
        <v>24</v>
      </c>
      <c r="E138" t="str">
        <f>D139</f>
        <v>Russell</v>
      </c>
      <c r="F138">
        <v>2014</v>
      </c>
      <c r="G138">
        <v>1</v>
      </c>
      <c r="H138">
        <v>4.0999999999999996</v>
      </c>
      <c r="I138">
        <v>85</v>
      </c>
      <c r="J138">
        <f>I138-I139</f>
        <v>-2</v>
      </c>
      <c r="K138" t="str">
        <f t="shared" si="14"/>
        <v>L</v>
      </c>
      <c r="L138" t="str">
        <f t="shared" si="15"/>
        <v>Watty</v>
      </c>
      <c r="M138" t="str">
        <f>VLOOKUP(L138,References!$A$2:$B$16,2,FALSE)</f>
        <v>AKCOVA</v>
      </c>
      <c r="N138" s="19" t="str">
        <f>IF(M138=M139,"N","Y")</f>
        <v>Y</v>
      </c>
      <c r="O138">
        <f>SUM(I138:I139)</f>
        <v>172</v>
      </c>
      <c r="P138">
        <f t="shared" si="17"/>
        <v>87</v>
      </c>
    </row>
    <row r="139" spans="1:16" hidden="1" x14ac:dyDescent="0.3">
      <c r="A139" t="str">
        <f t="shared" si="16"/>
        <v>2014Russell1</v>
      </c>
      <c r="B139">
        <f t="shared" si="12"/>
        <v>977</v>
      </c>
      <c r="C139">
        <f t="shared" si="13"/>
        <v>1143</v>
      </c>
      <c r="D139" t="s">
        <v>28</v>
      </c>
      <c r="E139" t="str">
        <f>D138</f>
        <v>Watty</v>
      </c>
      <c r="F139">
        <v>2014</v>
      </c>
      <c r="G139">
        <v>1</v>
      </c>
      <c r="H139">
        <v>4.2</v>
      </c>
      <c r="I139">
        <v>87</v>
      </c>
      <c r="J139">
        <f>I139-I138</f>
        <v>2</v>
      </c>
      <c r="K139" t="str">
        <f t="shared" si="14"/>
        <v>W</v>
      </c>
      <c r="L139" t="str">
        <f t="shared" si="15"/>
        <v>Russell</v>
      </c>
      <c r="M139" t="str">
        <f>VLOOKUP(L139,References!$A$2:$B$16,2,FALSE)</f>
        <v>TEXAROK</v>
      </c>
      <c r="N139" s="19" t="str">
        <f>IF(M139=M138,"N","Y")</f>
        <v>Y</v>
      </c>
      <c r="O139">
        <f>SUM(I138:I139)</f>
        <v>172</v>
      </c>
      <c r="P139">
        <f t="shared" si="17"/>
        <v>85</v>
      </c>
    </row>
    <row r="140" spans="1:16" hidden="1" x14ac:dyDescent="0.3">
      <c r="A140" t="str">
        <f t="shared" si="16"/>
        <v>2014David1</v>
      </c>
      <c r="B140">
        <f t="shared" si="12"/>
        <v>1312</v>
      </c>
      <c r="C140">
        <f t="shared" si="13"/>
        <v>462</v>
      </c>
      <c r="D140" t="s">
        <v>29</v>
      </c>
      <c r="E140" t="str">
        <f>D141</f>
        <v>Emily</v>
      </c>
      <c r="F140">
        <v>2014</v>
      </c>
      <c r="G140">
        <v>1</v>
      </c>
      <c r="H140">
        <v>5.0999999999999996</v>
      </c>
      <c r="I140">
        <v>108</v>
      </c>
      <c r="J140">
        <f>I140-I141</f>
        <v>-10</v>
      </c>
      <c r="K140" t="str">
        <f t="shared" si="14"/>
        <v>L</v>
      </c>
      <c r="L140" t="str">
        <f t="shared" si="15"/>
        <v>David</v>
      </c>
      <c r="M140" t="str">
        <f>VLOOKUP(L140,References!$A$2:$B$16,2,FALSE)</f>
        <v>TEXAROK</v>
      </c>
      <c r="N140" s="19" t="str">
        <f>IF(M140=M141,"N","Y")</f>
        <v>N</v>
      </c>
      <c r="O140">
        <f>SUM(I140:I141)</f>
        <v>226</v>
      </c>
      <c r="P140">
        <f t="shared" si="17"/>
        <v>118</v>
      </c>
    </row>
    <row r="141" spans="1:16" hidden="1" x14ac:dyDescent="0.3">
      <c r="A141" t="str">
        <f t="shared" si="16"/>
        <v>2014Emily1</v>
      </c>
      <c r="B141">
        <f t="shared" si="12"/>
        <v>758</v>
      </c>
      <c r="C141">
        <f t="shared" si="13"/>
        <v>267</v>
      </c>
      <c r="D141" t="s">
        <v>43</v>
      </c>
      <c r="E141" t="str">
        <f>D140</f>
        <v>David</v>
      </c>
      <c r="F141">
        <v>2014</v>
      </c>
      <c r="G141">
        <v>1</v>
      </c>
      <c r="H141">
        <v>5.2</v>
      </c>
      <c r="I141">
        <v>118</v>
      </c>
      <c r="J141">
        <f>I141-I140</f>
        <v>10</v>
      </c>
      <c r="K141" t="str">
        <f t="shared" si="14"/>
        <v>W</v>
      </c>
      <c r="L141" t="str">
        <f t="shared" si="15"/>
        <v>Emily</v>
      </c>
      <c r="M141" t="str">
        <f>VLOOKUP(L141,References!$A$2:$B$16,2,FALSE)</f>
        <v>TEXAROK</v>
      </c>
      <c r="N141" s="19" t="str">
        <f>IF(M141=M140,"N","Y")</f>
        <v>N</v>
      </c>
      <c r="O141">
        <f>SUM(I140:I141)</f>
        <v>226</v>
      </c>
      <c r="P141">
        <f t="shared" si="17"/>
        <v>108</v>
      </c>
    </row>
    <row r="142" spans="1:16" hidden="1" x14ac:dyDescent="0.3">
      <c r="A142" t="str">
        <f t="shared" si="16"/>
        <v>2014Mark2</v>
      </c>
      <c r="B142">
        <f t="shared" si="12"/>
        <v>371</v>
      </c>
      <c r="C142">
        <f t="shared" si="13"/>
        <v>1173</v>
      </c>
      <c r="D142" t="s">
        <v>22</v>
      </c>
      <c r="E142" t="str">
        <f>D143</f>
        <v>Michael</v>
      </c>
      <c r="F142">
        <v>2014</v>
      </c>
      <c r="G142">
        <v>2</v>
      </c>
      <c r="H142">
        <v>1.1000000000000001</v>
      </c>
      <c r="I142">
        <v>86</v>
      </c>
      <c r="J142">
        <f>I142-I143</f>
        <v>27</v>
      </c>
      <c r="K142" t="str">
        <f t="shared" si="14"/>
        <v>W</v>
      </c>
      <c r="L142" t="str">
        <f t="shared" si="15"/>
        <v>Mark</v>
      </c>
      <c r="M142" t="str">
        <f>VLOOKUP(L142,References!$A$2:$B$16,2,FALSE)</f>
        <v>AKCOVA</v>
      </c>
      <c r="N142" s="19" t="str">
        <f>IF(M142=M143,"N","Y")</f>
        <v>N</v>
      </c>
      <c r="O142">
        <f>SUM(I142:I143)</f>
        <v>145</v>
      </c>
      <c r="P142">
        <f t="shared" si="17"/>
        <v>59</v>
      </c>
    </row>
    <row r="143" spans="1:16" hidden="1" x14ac:dyDescent="0.3">
      <c r="A143" t="str">
        <f t="shared" si="16"/>
        <v>2014Michael2</v>
      </c>
      <c r="B143">
        <f t="shared" si="12"/>
        <v>1702</v>
      </c>
      <c r="C143">
        <f t="shared" si="13"/>
        <v>1951</v>
      </c>
      <c r="D143" t="s">
        <v>23</v>
      </c>
      <c r="E143" t="str">
        <f>D142</f>
        <v>Mark</v>
      </c>
      <c r="F143">
        <v>2014</v>
      </c>
      <c r="G143">
        <v>2</v>
      </c>
      <c r="H143">
        <v>1.2</v>
      </c>
      <c r="I143">
        <v>59</v>
      </c>
      <c r="J143">
        <f>I143-I142</f>
        <v>-27</v>
      </c>
      <c r="K143" t="str">
        <f t="shared" si="14"/>
        <v>L</v>
      </c>
      <c r="L143" t="str">
        <f t="shared" si="15"/>
        <v>Michael</v>
      </c>
      <c r="M143" t="str">
        <f>VLOOKUP(L143,References!$A$2:$B$16,2,FALSE)</f>
        <v>AKCOVA</v>
      </c>
      <c r="N143" s="19" t="str">
        <f>IF(M143=M142,"N","Y")</f>
        <v>N</v>
      </c>
      <c r="O143">
        <f>SUM(I142:I143)</f>
        <v>145</v>
      </c>
      <c r="P143">
        <f t="shared" si="17"/>
        <v>86</v>
      </c>
    </row>
    <row r="144" spans="1:16" hidden="1" x14ac:dyDescent="0.3">
      <c r="A144" t="str">
        <f t="shared" si="16"/>
        <v>2014Russell2</v>
      </c>
      <c r="B144">
        <f t="shared" si="12"/>
        <v>1258</v>
      </c>
      <c r="C144">
        <f t="shared" si="13"/>
        <v>1406</v>
      </c>
      <c r="D144" t="s">
        <v>28</v>
      </c>
      <c r="E144" t="str">
        <f>D145</f>
        <v>BR</v>
      </c>
      <c r="F144">
        <v>2014</v>
      </c>
      <c r="G144">
        <v>2</v>
      </c>
      <c r="H144">
        <v>2.1</v>
      </c>
      <c r="I144">
        <v>80</v>
      </c>
      <c r="J144">
        <f>I144-I145</f>
        <v>-8</v>
      </c>
      <c r="K144" t="str">
        <f t="shared" si="14"/>
        <v>L</v>
      </c>
      <c r="L144" t="str">
        <f t="shared" si="15"/>
        <v>Russell</v>
      </c>
      <c r="M144" t="str">
        <f>VLOOKUP(L144,References!$A$2:$B$16,2,FALSE)</f>
        <v>TEXAROK</v>
      </c>
      <c r="N144" s="19" t="str">
        <f>IF(M144=M145,"N","Y")</f>
        <v>Y</v>
      </c>
      <c r="O144">
        <f>SUM(I144:I145)</f>
        <v>168</v>
      </c>
      <c r="P144">
        <f t="shared" si="17"/>
        <v>88</v>
      </c>
    </row>
    <row r="145" spans="1:16" hidden="1" x14ac:dyDescent="0.3">
      <c r="A145" t="str">
        <f t="shared" si="16"/>
        <v>2014BR2</v>
      </c>
      <c r="B145">
        <f t="shared" si="12"/>
        <v>803</v>
      </c>
      <c r="C145">
        <f t="shared" si="13"/>
        <v>1100</v>
      </c>
      <c r="D145" t="s">
        <v>25</v>
      </c>
      <c r="E145" t="str">
        <f>D144</f>
        <v>Russell</v>
      </c>
      <c r="F145">
        <v>2014</v>
      </c>
      <c r="G145">
        <v>2</v>
      </c>
      <c r="H145">
        <v>2.2000000000000002</v>
      </c>
      <c r="I145">
        <v>88</v>
      </c>
      <c r="J145">
        <f>I145-I144</f>
        <v>8</v>
      </c>
      <c r="K145" t="str">
        <f t="shared" si="14"/>
        <v>W</v>
      </c>
      <c r="L145" t="str">
        <f t="shared" si="15"/>
        <v>BR</v>
      </c>
      <c r="M145" t="str">
        <f>VLOOKUP(L145,References!$A$2:$B$16,2,FALSE)</f>
        <v>AKCOVA</v>
      </c>
      <c r="N145" s="19" t="str">
        <f>IF(M145=M144,"N","Y")</f>
        <v>Y</v>
      </c>
      <c r="O145">
        <f>SUM(I144:I145)</f>
        <v>168</v>
      </c>
      <c r="P145">
        <f t="shared" si="17"/>
        <v>80</v>
      </c>
    </row>
    <row r="146" spans="1:16" hidden="1" x14ac:dyDescent="0.3">
      <c r="A146" t="str">
        <f t="shared" si="16"/>
        <v>2014Watty2</v>
      </c>
      <c r="B146">
        <f t="shared" si="12"/>
        <v>1684</v>
      </c>
      <c r="C146">
        <f t="shared" si="13"/>
        <v>1951</v>
      </c>
      <c r="D146" t="s">
        <v>24</v>
      </c>
      <c r="E146" t="str">
        <f>D147</f>
        <v>Abby</v>
      </c>
      <c r="F146">
        <v>2014</v>
      </c>
      <c r="G146">
        <v>2</v>
      </c>
      <c r="H146">
        <v>3.1</v>
      </c>
      <c r="I146">
        <v>59</v>
      </c>
      <c r="J146">
        <f>I146-I147</f>
        <v>-26</v>
      </c>
      <c r="K146" t="str">
        <f t="shared" si="14"/>
        <v>L</v>
      </c>
      <c r="L146" t="str">
        <f t="shared" si="15"/>
        <v>Watty</v>
      </c>
      <c r="M146" t="str">
        <f>VLOOKUP(L146,References!$A$2:$B$16,2,FALSE)</f>
        <v>AKCOVA</v>
      </c>
      <c r="N146" s="19" t="str">
        <f>IF(M146=M147,"N","Y")</f>
        <v>N</v>
      </c>
      <c r="O146">
        <f>SUM(I146:I147)</f>
        <v>144</v>
      </c>
      <c r="P146">
        <f t="shared" si="17"/>
        <v>85</v>
      </c>
    </row>
    <row r="147" spans="1:16" hidden="1" x14ac:dyDescent="0.3">
      <c r="A147" t="str">
        <f t="shared" si="16"/>
        <v>2014Abby2</v>
      </c>
      <c r="B147">
        <f t="shared" si="12"/>
        <v>392</v>
      </c>
      <c r="C147">
        <f t="shared" si="13"/>
        <v>1210</v>
      </c>
      <c r="D147" t="s">
        <v>27</v>
      </c>
      <c r="E147" t="str">
        <f>D146</f>
        <v>Watty</v>
      </c>
      <c r="F147">
        <v>2014</v>
      </c>
      <c r="G147">
        <v>2</v>
      </c>
      <c r="H147">
        <v>3.2</v>
      </c>
      <c r="I147">
        <v>85</v>
      </c>
      <c r="J147">
        <f>I147-I146</f>
        <v>26</v>
      </c>
      <c r="K147" t="str">
        <f t="shared" si="14"/>
        <v>W</v>
      </c>
      <c r="L147" t="str">
        <f t="shared" si="15"/>
        <v>Abby</v>
      </c>
      <c r="M147" t="str">
        <f>VLOOKUP(L147,References!$A$2:$B$16,2,FALSE)</f>
        <v>AKCOVA</v>
      </c>
      <c r="N147" s="19" t="str">
        <f>IF(M147=M146,"N","Y")</f>
        <v>N</v>
      </c>
      <c r="O147">
        <f>SUM(I146:I147)</f>
        <v>144</v>
      </c>
      <c r="P147">
        <f t="shared" si="17"/>
        <v>59</v>
      </c>
    </row>
    <row r="148" spans="1:16" hidden="1" x14ac:dyDescent="0.3">
      <c r="A148" t="str">
        <f t="shared" si="16"/>
        <v>2014Brian2</v>
      </c>
      <c r="B148">
        <f t="shared" si="12"/>
        <v>517</v>
      </c>
      <c r="C148">
        <f t="shared" si="13"/>
        <v>435</v>
      </c>
      <c r="D148" t="s">
        <v>26</v>
      </c>
      <c r="E148" t="str">
        <f>D149</f>
        <v>David</v>
      </c>
      <c r="F148">
        <v>2014</v>
      </c>
      <c r="G148">
        <v>2</v>
      </c>
      <c r="H148">
        <v>4.0999999999999996</v>
      </c>
      <c r="I148">
        <v>109</v>
      </c>
      <c r="J148">
        <f>I148-I149</f>
        <v>20</v>
      </c>
      <c r="K148" t="str">
        <f t="shared" si="14"/>
        <v>W</v>
      </c>
      <c r="L148" t="str">
        <f t="shared" si="15"/>
        <v>Brian</v>
      </c>
      <c r="M148" t="str">
        <f>VLOOKUP(L148,References!$A$2:$B$16,2,FALSE)</f>
        <v>TEXAROK</v>
      </c>
      <c r="N148" s="19" t="str">
        <f>IF(M148=M149,"N","Y")</f>
        <v>N</v>
      </c>
      <c r="O148">
        <f>SUM(I148:I149)</f>
        <v>198</v>
      </c>
      <c r="P148">
        <f t="shared" si="17"/>
        <v>89</v>
      </c>
    </row>
    <row r="149" spans="1:16" hidden="1" x14ac:dyDescent="0.3">
      <c r="A149" t="str">
        <f t="shared" si="16"/>
        <v>2014David2</v>
      </c>
      <c r="B149">
        <f t="shared" si="12"/>
        <v>1546</v>
      </c>
      <c r="C149">
        <f t="shared" si="13"/>
        <v>1055</v>
      </c>
      <c r="D149" t="s">
        <v>29</v>
      </c>
      <c r="E149" t="str">
        <f>D148</f>
        <v>Brian</v>
      </c>
      <c r="F149">
        <v>2014</v>
      </c>
      <c r="G149">
        <v>2</v>
      </c>
      <c r="H149">
        <v>4.2</v>
      </c>
      <c r="I149">
        <v>89</v>
      </c>
      <c r="J149">
        <f>I149-I148</f>
        <v>-20</v>
      </c>
      <c r="K149" t="str">
        <f t="shared" si="14"/>
        <v>L</v>
      </c>
      <c r="L149" t="str">
        <f t="shared" si="15"/>
        <v>David</v>
      </c>
      <c r="M149" t="str">
        <f>VLOOKUP(L149,References!$A$2:$B$16,2,FALSE)</f>
        <v>TEXAROK</v>
      </c>
      <c r="N149" s="19" t="str">
        <f>IF(M149=M148,"N","Y")</f>
        <v>N</v>
      </c>
      <c r="O149">
        <f>SUM(I148:I149)</f>
        <v>198</v>
      </c>
      <c r="P149">
        <f t="shared" si="17"/>
        <v>109</v>
      </c>
    </row>
    <row r="150" spans="1:16" hidden="1" x14ac:dyDescent="0.3">
      <c r="A150" t="str">
        <f t="shared" si="16"/>
        <v>2014Matt2</v>
      </c>
      <c r="B150">
        <f t="shared" si="12"/>
        <v>433</v>
      </c>
      <c r="C150">
        <f t="shared" si="13"/>
        <v>926</v>
      </c>
      <c r="D150" t="s">
        <v>30</v>
      </c>
      <c r="E150" t="str">
        <f>D151</f>
        <v>Emily</v>
      </c>
      <c r="F150">
        <v>2014</v>
      </c>
      <c r="G150">
        <v>2</v>
      </c>
      <c r="H150">
        <v>5.0999999999999996</v>
      </c>
      <c r="I150">
        <v>93</v>
      </c>
      <c r="J150">
        <f>I150-I151</f>
        <v>24</v>
      </c>
      <c r="K150" t="str">
        <f t="shared" si="14"/>
        <v>W</v>
      </c>
      <c r="L150" t="str">
        <f t="shared" si="15"/>
        <v>Matt</v>
      </c>
      <c r="M150" t="str">
        <f>VLOOKUP(L150,References!$A$2:$B$16,2,FALSE)</f>
        <v>TEXAROK</v>
      </c>
      <c r="N150" s="19" t="str">
        <f>IF(M150=M151,"N","Y")</f>
        <v>N</v>
      </c>
      <c r="O150">
        <f>SUM(I150:I151)</f>
        <v>162</v>
      </c>
      <c r="P150">
        <f t="shared" si="17"/>
        <v>69</v>
      </c>
    </row>
    <row r="151" spans="1:16" hidden="1" x14ac:dyDescent="0.3">
      <c r="A151" t="str">
        <f t="shared" si="16"/>
        <v>2014Emily2</v>
      </c>
      <c r="B151">
        <f t="shared" si="12"/>
        <v>1644</v>
      </c>
      <c r="C151">
        <f t="shared" si="13"/>
        <v>1767</v>
      </c>
      <c r="D151" t="s">
        <v>43</v>
      </c>
      <c r="E151" t="str">
        <f>D150</f>
        <v>Matt</v>
      </c>
      <c r="F151">
        <v>2014</v>
      </c>
      <c r="G151">
        <v>2</v>
      </c>
      <c r="H151">
        <v>5.2</v>
      </c>
      <c r="I151">
        <v>69</v>
      </c>
      <c r="J151">
        <f>I151-I150</f>
        <v>-24</v>
      </c>
      <c r="K151" t="str">
        <f t="shared" si="14"/>
        <v>L</v>
      </c>
      <c r="L151" t="str">
        <f t="shared" si="15"/>
        <v>Emily</v>
      </c>
      <c r="M151" t="str">
        <f>VLOOKUP(L151,References!$A$2:$B$16,2,FALSE)</f>
        <v>TEXAROK</v>
      </c>
      <c r="N151" s="19" t="str">
        <f>IF(M151=M150,"N","Y")</f>
        <v>N</v>
      </c>
      <c r="O151">
        <f>SUM(I150:I151)</f>
        <v>162</v>
      </c>
      <c r="P151">
        <f t="shared" si="17"/>
        <v>93</v>
      </c>
    </row>
    <row r="152" spans="1:16" hidden="1" x14ac:dyDescent="0.3">
      <c r="A152" t="str">
        <f t="shared" si="16"/>
        <v>2014Emily3</v>
      </c>
      <c r="B152">
        <f t="shared" si="12"/>
        <v>1229</v>
      </c>
      <c r="C152">
        <f t="shared" si="13"/>
        <v>1595</v>
      </c>
      <c r="D152" t="s">
        <v>43</v>
      </c>
      <c r="E152" t="str">
        <f>D153</f>
        <v>Michael</v>
      </c>
      <c r="F152">
        <v>2014</v>
      </c>
      <c r="G152">
        <v>3</v>
      </c>
      <c r="H152">
        <v>1.1000000000000001</v>
      </c>
      <c r="I152">
        <v>75</v>
      </c>
      <c r="J152">
        <f>I152-I153</f>
        <v>-7</v>
      </c>
      <c r="K152" t="str">
        <f t="shared" si="14"/>
        <v>L</v>
      </c>
      <c r="L152" t="str">
        <f t="shared" si="15"/>
        <v>Emily</v>
      </c>
      <c r="M152" t="str">
        <f>VLOOKUP(L152,References!$A$2:$B$16,2,FALSE)</f>
        <v>TEXAROK</v>
      </c>
      <c r="N152" s="19" t="str">
        <f>IF(M152=M153,"N","Y")</f>
        <v>Y</v>
      </c>
      <c r="O152">
        <f>SUM(I152:I153)</f>
        <v>157</v>
      </c>
      <c r="P152">
        <f t="shared" si="17"/>
        <v>82</v>
      </c>
    </row>
    <row r="153" spans="1:16" hidden="1" x14ac:dyDescent="0.3">
      <c r="A153" t="str">
        <f t="shared" si="16"/>
        <v>2014Michael3</v>
      </c>
      <c r="B153">
        <f t="shared" si="12"/>
        <v>836</v>
      </c>
      <c r="C153">
        <f t="shared" si="13"/>
        <v>1318</v>
      </c>
      <c r="D153" t="s">
        <v>23</v>
      </c>
      <c r="E153" t="str">
        <f>D152</f>
        <v>Emily</v>
      </c>
      <c r="F153">
        <v>2014</v>
      </c>
      <c r="G153">
        <v>3</v>
      </c>
      <c r="H153">
        <v>1.2</v>
      </c>
      <c r="I153">
        <v>82</v>
      </c>
      <c r="J153">
        <f>I153-I152</f>
        <v>7</v>
      </c>
      <c r="K153" t="str">
        <f t="shared" si="14"/>
        <v>W</v>
      </c>
      <c r="L153" t="str">
        <f t="shared" si="15"/>
        <v>Michael</v>
      </c>
      <c r="M153" t="str">
        <f>VLOOKUP(L153,References!$A$2:$B$16,2,FALSE)</f>
        <v>AKCOVA</v>
      </c>
      <c r="N153" s="19" t="str">
        <f>IF(M153=M152,"N","Y")</f>
        <v>Y</v>
      </c>
      <c r="O153">
        <f>SUM(I152:I153)</f>
        <v>157</v>
      </c>
      <c r="P153">
        <f t="shared" si="17"/>
        <v>75</v>
      </c>
    </row>
    <row r="154" spans="1:16" hidden="1" x14ac:dyDescent="0.3">
      <c r="A154" t="str">
        <f t="shared" si="16"/>
        <v>2014Abby3</v>
      </c>
      <c r="B154">
        <f t="shared" si="12"/>
        <v>1933</v>
      </c>
      <c r="C154">
        <f t="shared" si="13"/>
        <v>2017</v>
      </c>
      <c r="D154" t="s">
        <v>27</v>
      </c>
      <c r="E154" t="str">
        <f>D155</f>
        <v>Mark</v>
      </c>
      <c r="F154">
        <v>2014</v>
      </c>
      <c r="G154">
        <v>3</v>
      </c>
      <c r="H154">
        <v>2.1</v>
      </c>
      <c r="I154">
        <v>54</v>
      </c>
      <c r="J154">
        <f>I154-I155</f>
        <v>-44</v>
      </c>
      <c r="K154" t="str">
        <f t="shared" si="14"/>
        <v>L</v>
      </c>
      <c r="L154" t="str">
        <f t="shared" si="15"/>
        <v>Abby</v>
      </c>
      <c r="M154" t="str">
        <f>VLOOKUP(L154,References!$A$2:$B$16,2,FALSE)</f>
        <v>AKCOVA</v>
      </c>
      <c r="N154" s="19" t="str">
        <f>IF(M154=M155,"N","Y")</f>
        <v>N</v>
      </c>
      <c r="O154">
        <f>SUM(I154:I155)</f>
        <v>152</v>
      </c>
      <c r="P154">
        <f t="shared" si="17"/>
        <v>98</v>
      </c>
    </row>
    <row r="155" spans="1:16" hidden="1" x14ac:dyDescent="0.3">
      <c r="A155" t="str">
        <f t="shared" si="16"/>
        <v>2014Mark3</v>
      </c>
      <c r="B155">
        <f t="shared" si="12"/>
        <v>150</v>
      </c>
      <c r="C155">
        <f t="shared" si="13"/>
        <v>746</v>
      </c>
      <c r="D155" t="s">
        <v>22</v>
      </c>
      <c r="E155" t="str">
        <f>D154</f>
        <v>Abby</v>
      </c>
      <c r="F155">
        <v>2014</v>
      </c>
      <c r="G155">
        <v>3</v>
      </c>
      <c r="H155">
        <v>2.2000000000000002</v>
      </c>
      <c r="I155">
        <v>98</v>
      </c>
      <c r="J155">
        <f>I155-I154</f>
        <v>44</v>
      </c>
      <c r="K155" t="str">
        <f t="shared" si="14"/>
        <v>W</v>
      </c>
      <c r="L155" t="str">
        <f t="shared" si="15"/>
        <v>Mark</v>
      </c>
      <c r="M155" t="str">
        <f>VLOOKUP(L155,References!$A$2:$B$16,2,FALSE)</f>
        <v>AKCOVA</v>
      </c>
      <c r="N155" s="19" t="str">
        <f>IF(M155=M154,"N","Y")</f>
        <v>N</v>
      </c>
      <c r="O155">
        <f>SUM(I154:I155)</f>
        <v>152</v>
      </c>
      <c r="P155">
        <f t="shared" si="17"/>
        <v>54</v>
      </c>
    </row>
    <row r="156" spans="1:16" hidden="1" x14ac:dyDescent="0.3">
      <c r="A156" t="str">
        <f t="shared" si="16"/>
        <v>2014Brian3</v>
      </c>
      <c r="B156">
        <f t="shared" si="12"/>
        <v>1723</v>
      </c>
      <c r="C156">
        <f t="shared" si="13"/>
        <v>1738</v>
      </c>
      <c r="D156" t="s">
        <v>26</v>
      </c>
      <c r="E156" t="str">
        <f>D157</f>
        <v>Watty</v>
      </c>
      <c r="F156">
        <v>2014</v>
      </c>
      <c r="G156">
        <v>3</v>
      </c>
      <c r="H156">
        <v>3.1</v>
      </c>
      <c r="I156">
        <v>70</v>
      </c>
      <c r="J156">
        <f>I156-I157</f>
        <v>-28</v>
      </c>
      <c r="K156" t="str">
        <f t="shared" si="14"/>
        <v>L</v>
      </c>
      <c r="L156" t="str">
        <f t="shared" si="15"/>
        <v>Brian</v>
      </c>
      <c r="M156" t="str">
        <f>VLOOKUP(L156,References!$A$2:$B$16,2,FALSE)</f>
        <v>TEXAROK</v>
      </c>
      <c r="N156" s="19" t="str">
        <f>IF(M156=M157,"N","Y")</f>
        <v>Y</v>
      </c>
      <c r="O156">
        <f>SUM(I156:I157)</f>
        <v>168</v>
      </c>
      <c r="P156">
        <f t="shared" si="17"/>
        <v>98</v>
      </c>
    </row>
    <row r="157" spans="1:16" hidden="1" x14ac:dyDescent="0.3">
      <c r="A157" t="str">
        <f t="shared" si="16"/>
        <v>2014Watty3</v>
      </c>
      <c r="B157">
        <f t="shared" si="12"/>
        <v>356</v>
      </c>
      <c r="C157">
        <f t="shared" si="13"/>
        <v>746</v>
      </c>
      <c r="D157" t="s">
        <v>24</v>
      </c>
      <c r="E157" t="str">
        <f>D156</f>
        <v>Brian</v>
      </c>
      <c r="F157">
        <v>2014</v>
      </c>
      <c r="G157">
        <v>3</v>
      </c>
      <c r="H157">
        <v>3.2</v>
      </c>
      <c r="I157">
        <v>98</v>
      </c>
      <c r="J157">
        <f>I157-I156</f>
        <v>28</v>
      </c>
      <c r="K157" t="str">
        <f t="shared" si="14"/>
        <v>W</v>
      </c>
      <c r="L157" t="str">
        <f t="shared" si="15"/>
        <v>Watty</v>
      </c>
      <c r="M157" t="str">
        <f>VLOOKUP(L157,References!$A$2:$B$16,2,FALSE)</f>
        <v>AKCOVA</v>
      </c>
      <c r="N157" s="19" t="str">
        <f>IF(M157=M156,"N","Y")</f>
        <v>Y</v>
      </c>
      <c r="O157">
        <f>SUM(I156:I157)</f>
        <v>168</v>
      </c>
      <c r="P157">
        <f t="shared" si="17"/>
        <v>70</v>
      </c>
    </row>
    <row r="158" spans="1:16" hidden="1" x14ac:dyDescent="0.3">
      <c r="A158" t="str">
        <f t="shared" si="16"/>
        <v>2014BR3</v>
      </c>
      <c r="B158">
        <f t="shared" si="12"/>
        <v>1090</v>
      </c>
      <c r="C158">
        <f t="shared" si="13"/>
        <v>1241</v>
      </c>
      <c r="D158" t="s">
        <v>25</v>
      </c>
      <c r="E158" t="str">
        <f>D159</f>
        <v>David</v>
      </c>
      <c r="F158">
        <v>2014</v>
      </c>
      <c r="G158">
        <v>3</v>
      </c>
      <c r="H158">
        <v>4.0999999999999996</v>
      </c>
      <c r="I158">
        <v>84</v>
      </c>
      <c r="J158">
        <f>I158-I159</f>
        <v>-2</v>
      </c>
      <c r="K158" t="str">
        <f t="shared" si="14"/>
        <v>L</v>
      </c>
      <c r="L158" t="str">
        <f t="shared" si="15"/>
        <v>BR</v>
      </c>
      <c r="M158" t="str">
        <f>VLOOKUP(L158,References!$A$2:$B$16,2,FALSE)</f>
        <v>AKCOVA</v>
      </c>
      <c r="N158" s="19" t="str">
        <f>IF(M158=M159,"N","Y")</f>
        <v>Y</v>
      </c>
      <c r="O158">
        <f>SUM(I158:I159)</f>
        <v>170</v>
      </c>
      <c r="P158">
        <f t="shared" si="17"/>
        <v>86</v>
      </c>
    </row>
    <row r="159" spans="1:16" hidden="1" x14ac:dyDescent="0.3">
      <c r="A159" t="str">
        <f t="shared" si="16"/>
        <v>2014David3</v>
      </c>
      <c r="B159">
        <f t="shared" si="12"/>
        <v>977</v>
      </c>
      <c r="C159">
        <f t="shared" si="13"/>
        <v>1173</v>
      </c>
      <c r="D159" t="s">
        <v>29</v>
      </c>
      <c r="E159" t="str">
        <f>D158</f>
        <v>BR</v>
      </c>
      <c r="F159">
        <v>2014</v>
      </c>
      <c r="G159">
        <v>3</v>
      </c>
      <c r="H159">
        <v>4.2</v>
      </c>
      <c r="I159">
        <v>86</v>
      </c>
      <c r="J159">
        <f>I159-I158</f>
        <v>2</v>
      </c>
      <c r="K159" t="str">
        <f t="shared" si="14"/>
        <v>W</v>
      </c>
      <c r="L159" t="str">
        <f t="shared" si="15"/>
        <v>David</v>
      </c>
      <c r="M159" t="str">
        <f>VLOOKUP(L159,References!$A$2:$B$16,2,FALSE)</f>
        <v>TEXAROK</v>
      </c>
      <c r="N159" s="19" t="str">
        <f>IF(M159=M158,"N","Y")</f>
        <v>Y</v>
      </c>
      <c r="O159">
        <f>SUM(I158:I159)</f>
        <v>170</v>
      </c>
      <c r="P159">
        <f t="shared" si="17"/>
        <v>84</v>
      </c>
    </row>
    <row r="160" spans="1:16" hidden="1" x14ac:dyDescent="0.3">
      <c r="A160" t="str">
        <f t="shared" si="16"/>
        <v>2014Matt3</v>
      </c>
      <c r="B160">
        <f t="shared" si="12"/>
        <v>1381</v>
      </c>
      <c r="C160">
        <f t="shared" si="13"/>
        <v>1936</v>
      </c>
      <c r="D160" t="s">
        <v>30</v>
      </c>
      <c r="E160" t="str">
        <f>D161</f>
        <v>Russell</v>
      </c>
      <c r="F160">
        <v>2014</v>
      </c>
      <c r="G160">
        <v>3</v>
      </c>
      <c r="H160">
        <v>5.0999999999999996</v>
      </c>
      <c r="I160">
        <v>60</v>
      </c>
      <c r="J160">
        <f>I160-I161</f>
        <v>-13</v>
      </c>
      <c r="K160" t="str">
        <f t="shared" si="14"/>
        <v>L</v>
      </c>
      <c r="L160" t="str">
        <f t="shared" si="15"/>
        <v>Matt</v>
      </c>
      <c r="M160" t="str">
        <f>VLOOKUP(L160,References!$A$2:$B$16,2,FALSE)</f>
        <v>TEXAROK</v>
      </c>
      <c r="N160" s="19" t="str">
        <f>IF(M160=M161,"N","Y")</f>
        <v>N</v>
      </c>
      <c r="O160">
        <f>SUM(I160:I161)</f>
        <v>133</v>
      </c>
      <c r="P160">
        <f t="shared" si="17"/>
        <v>73</v>
      </c>
    </row>
    <row r="161" spans="1:16" hidden="1" x14ac:dyDescent="0.3">
      <c r="A161" t="str">
        <f t="shared" si="16"/>
        <v>2014Russell3</v>
      </c>
      <c r="B161">
        <f t="shared" si="12"/>
        <v>685</v>
      </c>
      <c r="C161">
        <f t="shared" si="13"/>
        <v>1648</v>
      </c>
      <c r="D161" t="s">
        <v>28</v>
      </c>
      <c r="E161" t="str">
        <f>D160</f>
        <v>Matt</v>
      </c>
      <c r="F161">
        <v>2014</v>
      </c>
      <c r="G161">
        <v>3</v>
      </c>
      <c r="H161">
        <v>5.2</v>
      </c>
      <c r="I161">
        <v>73</v>
      </c>
      <c r="J161">
        <f>I161-I160</f>
        <v>13</v>
      </c>
      <c r="K161" t="str">
        <f t="shared" si="14"/>
        <v>W</v>
      </c>
      <c r="L161" t="str">
        <f t="shared" si="15"/>
        <v>Russell</v>
      </c>
      <c r="M161" t="str">
        <f>VLOOKUP(L161,References!$A$2:$B$16,2,FALSE)</f>
        <v>TEXAROK</v>
      </c>
      <c r="N161" s="19" t="str">
        <f>IF(M161=M160,"N","Y")</f>
        <v>N</v>
      </c>
      <c r="O161">
        <f>SUM(I160:I161)</f>
        <v>133</v>
      </c>
      <c r="P161">
        <f t="shared" si="17"/>
        <v>60</v>
      </c>
    </row>
    <row r="162" spans="1:16" x14ac:dyDescent="0.3">
      <c r="A162" t="str">
        <f t="shared" si="16"/>
        <v>2014Michael4</v>
      </c>
      <c r="B162">
        <f t="shared" si="12"/>
        <v>949</v>
      </c>
      <c r="C162">
        <f t="shared" si="13"/>
        <v>822</v>
      </c>
      <c r="D162" t="s">
        <v>23</v>
      </c>
      <c r="E162" t="str">
        <f>D163</f>
        <v>Russell</v>
      </c>
      <c r="F162">
        <v>2014</v>
      </c>
      <c r="G162">
        <v>4</v>
      </c>
      <c r="H162">
        <v>1.1000000000000001</v>
      </c>
      <c r="I162">
        <v>96</v>
      </c>
      <c r="J162">
        <f>I162-I163</f>
        <v>3</v>
      </c>
      <c r="K162" t="str">
        <f t="shared" si="14"/>
        <v>W</v>
      </c>
      <c r="L162" t="str">
        <f t="shared" si="15"/>
        <v>Michael</v>
      </c>
      <c r="M162" t="str">
        <f>VLOOKUP(L162,References!$A$2:$B$16,2,FALSE)</f>
        <v>AKCOVA</v>
      </c>
      <c r="N162" s="19" t="str">
        <f>IF(M162=M163,"N","Y")</f>
        <v>Y</v>
      </c>
      <c r="O162">
        <f>SUM(I162:I163)</f>
        <v>189</v>
      </c>
      <c r="P162">
        <f t="shared" si="17"/>
        <v>93</v>
      </c>
    </row>
    <row r="163" spans="1:16" hidden="1" x14ac:dyDescent="0.3">
      <c r="A163" t="str">
        <f t="shared" si="16"/>
        <v>2014Russell4</v>
      </c>
      <c r="B163">
        <f t="shared" si="12"/>
        <v>1117</v>
      </c>
      <c r="C163">
        <f t="shared" si="13"/>
        <v>926</v>
      </c>
      <c r="D163" t="s">
        <v>28</v>
      </c>
      <c r="E163" t="str">
        <f>D162</f>
        <v>Michael</v>
      </c>
      <c r="F163">
        <v>2014</v>
      </c>
      <c r="G163">
        <v>4</v>
      </c>
      <c r="H163">
        <v>1.2</v>
      </c>
      <c r="I163">
        <v>93</v>
      </c>
      <c r="J163">
        <f>I163-I162</f>
        <v>-3</v>
      </c>
      <c r="K163" t="str">
        <f t="shared" si="14"/>
        <v>L</v>
      </c>
      <c r="L163" t="str">
        <f t="shared" si="15"/>
        <v>Russell</v>
      </c>
      <c r="M163" t="str">
        <f>VLOOKUP(L163,References!$A$2:$B$16,2,FALSE)</f>
        <v>TEXAROK</v>
      </c>
      <c r="N163" s="19" t="str">
        <f>IF(M163=M162,"N","Y")</f>
        <v>Y</v>
      </c>
      <c r="O163">
        <f>SUM(I162:I163)</f>
        <v>189</v>
      </c>
      <c r="P163">
        <f t="shared" si="17"/>
        <v>96</v>
      </c>
    </row>
    <row r="164" spans="1:16" hidden="1" x14ac:dyDescent="0.3">
      <c r="A164" t="str">
        <f t="shared" si="16"/>
        <v>2014David4</v>
      </c>
      <c r="B164">
        <f t="shared" si="12"/>
        <v>37</v>
      </c>
      <c r="C164">
        <f t="shared" si="13"/>
        <v>150</v>
      </c>
      <c r="D164" t="s">
        <v>29</v>
      </c>
      <c r="E164" t="str">
        <f>D165</f>
        <v>Matt</v>
      </c>
      <c r="F164">
        <v>2014</v>
      </c>
      <c r="G164">
        <v>4</v>
      </c>
      <c r="H164">
        <v>2.1</v>
      </c>
      <c r="I164">
        <v>126</v>
      </c>
      <c r="J164">
        <f>I164-I165</f>
        <v>64</v>
      </c>
      <c r="K164" t="str">
        <f t="shared" si="14"/>
        <v>W</v>
      </c>
      <c r="L164" t="str">
        <f t="shared" si="15"/>
        <v>David</v>
      </c>
      <c r="M164" t="str">
        <f>VLOOKUP(L164,References!$A$2:$B$16,2,FALSE)</f>
        <v>TEXAROK</v>
      </c>
      <c r="N164" s="19" t="str">
        <f>IF(M164=M165,"N","Y")</f>
        <v>N</v>
      </c>
      <c r="O164">
        <f>SUM(I164:I165)</f>
        <v>188</v>
      </c>
      <c r="P164">
        <f t="shared" si="17"/>
        <v>62</v>
      </c>
    </row>
    <row r="165" spans="1:16" hidden="1" x14ac:dyDescent="0.3">
      <c r="A165" t="str">
        <f t="shared" si="16"/>
        <v>2014Matt4</v>
      </c>
      <c r="B165">
        <f t="shared" si="12"/>
        <v>2052</v>
      </c>
      <c r="C165">
        <f t="shared" si="13"/>
        <v>1910</v>
      </c>
      <c r="D165" t="s">
        <v>30</v>
      </c>
      <c r="E165" t="str">
        <f>D164</f>
        <v>David</v>
      </c>
      <c r="F165">
        <v>2014</v>
      </c>
      <c r="G165">
        <v>4</v>
      </c>
      <c r="H165">
        <v>2.2000000000000002</v>
      </c>
      <c r="I165">
        <v>62</v>
      </c>
      <c r="J165">
        <f>I165-I164</f>
        <v>-64</v>
      </c>
      <c r="K165" t="str">
        <f t="shared" si="14"/>
        <v>L</v>
      </c>
      <c r="L165" t="str">
        <f t="shared" si="15"/>
        <v>Matt</v>
      </c>
      <c r="M165" t="str">
        <f>VLOOKUP(L165,References!$A$2:$B$16,2,FALSE)</f>
        <v>TEXAROK</v>
      </c>
      <c r="N165" s="19" t="str">
        <f>IF(M165=M164,"N","Y")</f>
        <v>N</v>
      </c>
      <c r="O165">
        <f>SUM(I164:I165)</f>
        <v>188</v>
      </c>
      <c r="P165">
        <f t="shared" si="17"/>
        <v>126</v>
      </c>
    </row>
    <row r="166" spans="1:16" hidden="1" x14ac:dyDescent="0.3">
      <c r="A166" t="str">
        <f t="shared" si="16"/>
        <v>2014Mark4</v>
      </c>
      <c r="B166">
        <f t="shared" si="12"/>
        <v>597</v>
      </c>
      <c r="C166">
        <f t="shared" si="13"/>
        <v>305</v>
      </c>
      <c r="D166" t="s">
        <v>22</v>
      </c>
      <c r="E166" t="str">
        <f>D167</f>
        <v>Watty</v>
      </c>
      <c r="F166">
        <v>2014</v>
      </c>
      <c r="G166">
        <v>4</v>
      </c>
      <c r="H166">
        <v>3.1</v>
      </c>
      <c r="I166">
        <v>115</v>
      </c>
      <c r="J166">
        <f>I166-I167</f>
        <v>17</v>
      </c>
      <c r="K166" t="str">
        <f t="shared" si="14"/>
        <v>W</v>
      </c>
      <c r="L166" t="str">
        <f t="shared" si="15"/>
        <v>Mark</v>
      </c>
      <c r="M166" t="str">
        <f>VLOOKUP(L166,References!$A$2:$B$16,2,FALSE)</f>
        <v>AKCOVA</v>
      </c>
      <c r="N166" s="19" t="str">
        <f>IF(M166=M167,"N","Y")</f>
        <v>N</v>
      </c>
      <c r="O166">
        <f>SUM(I166:I167)</f>
        <v>213</v>
      </c>
      <c r="P166">
        <f t="shared" si="17"/>
        <v>98</v>
      </c>
    </row>
    <row r="167" spans="1:16" hidden="1" x14ac:dyDescent="0.3">
      <c r="A167" t="str">
        <f t="shared" si="16"/>
        <v>2014Watty4</v>
      </c>
      <c r="B167">
        <f t="shared" si="12"/>
        <v>1475</v>
      </c>
      <c r="C167">
        <f t="shared" si="13"/>
        <v>746</v>
      </c>
      <c r="D167" t="s">
        <v>24</v>
      </c>
      <c r="E167" t="str">
        <f>D166</f>
        <v>Mark</v>
      </c>
      <c r="F167">
        <v>2014</v>
      </c>
      <c r="G167">
        <v>4</v>
      </c>
      <c r="H167">
        <v>3.2</v>
      </c>
      <c r="I167">
        <v>98</v>
      </c>
      <c r="J167">
        <f>I167-I166</f>
        <v>-17</v>
      </c>
      <c r="K167" t="str">
        <f t="shared" si="14"/>
        <v>L</v>
      </c>
      <c r="L167" t="str">
        <f t="shared" si="15"/>
        <v>Watty</v>
      </c>
      <c r="M167" t="str">
        <f>VLOOKUP(L167,References!$A$2:$B$16,2,FALSE)</f>
        <v>AKCOVA</v>
      </c>
      <c r="N167" s="19" t="str">
        <f>IF(M167=M166,"N","Y")</f>
        <v>N</v>
      </c>
      <c r="O167">
        <f>SUM(I166:I167)</f>
        <v>213</v>
      </c>
      <c r="P167">
        <f t="shared" si="17"/>
        <v>115</v>
      </c>
    </row>
    <row r="168" spans="1:16" hidden="1" x14ac:dyDescent="0.3">
      <c r="A168" t="str">
        <f t="shared" si="16"/>
        <v>2014Abby4</v>
      </c>
      <c r="B168">
        <f t="shared" si="12"/>
        <v>1775</v>
      </c>
      <c r="C168">
        <f t="shared" si="13"/>
        <v>2078</v>
      </c>
      <c r="D168" t="s">
        <v>27</v>
      </c>
      <c r="E168" t="str">
        <f>D169</f>
        <v>Emily</v>
      </c>
      <c r="F168">
        <v>2014</v>
      </c>
      <c r="G168">
        <v>4</v>
      </c>
      <c r="H168">
        <v>4.0999999999999996</v>
      </c>
      <c r="I168">
        <v>43</v>
      </c>
      <c r="J168">
        <f>I168-I169</f>
        <v>-31</v>
      </c>
      <c r="K168" t="str">
        <f t="shared" si="14"/>
        <v>L</v>
      </c>
      <c r="L168" t="str">
        <f t="shared" si="15"/>
        <v>Abby</v>
      </c>
      <c r="M168" t="str">
        <f>VLOOKUP(L168,References!$A$2:$B$16,2,FALSE)</f>
        <v>AKCOVA</v>
      </c>
      <c r="N168" s="19" t="str">
        <f>IF(M168=M169,"N","Y")</f>
        <v>Y</v>
      </c>
      <c r="O168">
        <f>SUM(I168:I169)</f>
        <v>117</v>
      </c>
      <c r="P168">
        <f t="shared" si="17"/>
        <v>74</v>
      </c>
    </row>
    <row r="169" spans="1:16" hidden="1" x14ac:dyDescent="0.3">
      <c r="A169" t="str">
        <f t="shared" si="16"/>
        <v>2014Emily4</v>
      </c>
      <c r="B169">
        <f t="shared" si="12"/>
        <v>297</v>
      </c>
      <c r="C169">
        <f t="shared" si="13"/>
        <v>1618</v>
      </c>
      <c r="D169" t="s">
        <v>43</v>
      </c>
      <c r="E169" t="str">
        <f>D168</f>
        <v>Abby</v>
      </c>
      <c r="F169">
        <v>2014</v>
      </c>
      <c r="G169">
        <v>4</v>
      </c>
      <c r="H169">
        <v>4.2</v>
      </c>
      <c r="I169">
        <v>74</v>
      </c>
      <c r="J169">
        <f>I169-I168</f>
        <v>31</v>
      </c>
      <c r="K169" t="str">
        <f t="shared" si="14"/>
        <v>W</v>
      </c>
      <c r="L169" t="str">
        <f t="shared" si="15"/>
        <v>Emily</v>
      </c>
      <c r="M169" t="str">
        <f>VLOOKUP(L169,References!$A$2:$B$16,2,FALSE)</f>
        <v>TEXAROK</v>
      </c>
      <c r="N169" s="19" t="str">
        <f>IF(M169=M168,"N","Y")</f>
        <v>Y</v>
      </c>
      <c r="O169">
        <f>SUM(I168:I169)</f>
        <v>117</v>
      </c>
      <c r="P169">
        <f t="shared" si="17"/>
        <v>43</v>
      </c>
    </row>
    <row r="170" spans="1:16" hidden="1" x14ac:dyDescent="0.3">
      <c r="A170" t="str">
        <f t="shared" si="16"/>
        <v>2014BR4</v>
      </c>
      <c r="B170">
        <f t="shared" si="12"/>
        <v>489</v>
      </c>
      <c r="C170">
        <f t="shared" si="13"/>
        <v>1055</v>
      </c>
      <c r="D170" t="s">
        <v>25</v>
      </c>
      <c r="E170" t="str">
        <f>D171</f>
        <v>Brian</v>
      </c>
      <c r="F170">
        <v>2014</v>
      </c>
      <c r="G170">
        <v>4</v>
      </c>
      <c r="H170">
        <v>5.0999999999999996</v>
      </c>
      <c r="I170">
        <v>89</v>
      </c>
      <c r="J170">
        <f>I170-I171</f>
        <v>21</v>
      </c>
      <c r="K170" t="str">
        <f t="shared" si="14"/>
        <v>W</v>
      </c>
      <c r="L170" t="str">
        <f t="shared" si="15"/>
        <v>BR</v>
      </c>
      <c r="M170" t="str">
        <f>VLOOKUP(L170,References!$A$2:$B$16,2,FALSE)</f>
        <v>AKCOVA</v>
      </c>
      <c r="N170" s="19" t="str">
        <f>IF(M170=M171,"N","Y")</f>
        <v>Y</v>
      </c>
      <c r="O170">
        <f>SUM(I170:I171)</f>
        <v>157</v>
      </c>
      <c r="P170">
        <f t="shared" si="17"/>
        <v>68</v>
      </c>
    </row>
    <row r="171" spans="1:16" hidden="1" x14ac:dyDescent="0.3">
      <c r="A171" t="str">
        <f t="shared" si="16"/>
        <v>2014Brian4</v>
      </c>
      <c r="B171">
        <f t="shared" si="12"/>
        <v>1577</v>
      </c>
      <c r="C171">
        <f t="shared" si="13"/>
        <v>1793</v>
      </c>
      <c r="D171" t="s">
        <v>26</v>
      </c>
      <c r="E171" t="str">
        <f>D170</f>
        <v>BR</v>
      </c>
      <c r="F171">
        <v>2014</v>
      </c>
      <c r="G171">
        <v>4</v>
      </c>
      <c r="H171">
        <v>5.2</v>
      </c>
      <c r="I171">
        <v>68</v>
      </c>
      <c r="J171">
        <f>I171-I170</f>
        <v>-21</v>
      </c>
      <c r="K171" t="str">
        <f t="shared" si="14"/>
        <v>L</v>
      </c>
      <c r="L171" t="str">
        <f t="shared" si="15"/>
        <v>Brian</v>
      </c>
      <c r="M171" t="str">
        <f>VLOOKUP(L171,References!$A$2:$B$16,2,FALSE)</f>
        <v>TEXAROK</v>
      </c>
      <c r="N171" s="19" t="str">
        <f>IF(M171=M170,"N","Y")</f>
        <v>Y</v>
      </c>
      <c r="O171">
        <f>SUM(I170:I171)</f>
        <v>157</v>
      </c>
      <c r="P171">
        <f t="shared" si="17"/>
        <v>89</v>
      </c>
    </row>
    <row r="172" spans="1:16" hidden="1" x14ac:dyDescent="0.3">
      <c r="A172" t="str">
        <f t="shared" si="16"/>
        <v>2014Michael5</v>
      </c>
      <c r="B172">
        <f t="shared" si="12"/>
        <v>1702</v>
      </c>
      <c r="C172">
        <f t="shared" si="13"/>
        <v>1717</v>
      </c>
      <c r="D172" t="s">
        <v>23</v>
      </c>
      <c r="E172" t="str">
        <f>D173</f>
        <v>David</v>
      </c>
      <c r="F172">
        <v>2014</v>
      </c>
      <c r="G172">
        <v>5</v>
      </c>
      <c r="H172">
        <v>1.1000000000000001</v>
      </c>
      <c r="I172">
        <v>71</v>
      </c>
      <c r="J172">
        <f>I172-I173</f>
        <v>-27</v>
      </c>
      <c r="K172" t="str">
        <f t="shared" si="14"/>
        <v>L</v>
      </c>
      <c r="L172" t="str">
        <f t="shared" si="15"/>
        <v>Michael</v>
      </c>
      <c r="M172" t="str">
        <f>VLOOKUP(L172,References!$A$2:$B$16,2,FALSE)</f>
        <v>AKCOVA</v>
      </c>
      <c r="N172" s="19" t="str">
        <f>IF(M172=M173,"N","Y")</f>
        <v>Y</v>
      </c>
      <c r="O172">
        <f>SUM(I172:I173)</f>
        <v>169</v>
      </c>
      <c r="P172">
        <f t="shared" si="17"/>
        <v>98</v>
      </c>
    </row>
    <row r="173" spans="1:16" hidden="1" x14ac:dyDescent="0.3">
      <c r="A173" t="str">
        <f t="shared" si="16"/>
        <v>2014David5</v>
      </c>
      <c r="B173">
        <f t="shared" si="12"/>
        <v>371</v>
      </c>
      <c r="C173">
        <f t="shared" si="13"/>
        <v>746</v>
      </c>
      <c r="D173" t="s">
        <v>29</v>
      </c>
      <c r="E173" t="str">
        <f>D172</f>
        <v>Michael</v>
      </c>
      <c r="F173">
        <v>2014</v>
      </c>
      <c r="G173">
        <v>5</v>
      </c>
      <c r="H173">
        <v>1.2</v>
      </c>
      <c r="I173">
        <v>98</v>
      </c>
      <c r="J173">
        <f>I173-I172</f>
        <v>27</v>
      </c>
      <c r="K173" t="str">
        <f t="shared" si="14"/>
        <v>W</v>
      </c>
      <c r="L173" t="str">
        <f t="shared" si="15"/>
        <v>David</v>
      </c>
      <c r="M173" t="str">
        <f>VLOOKUP(L173,References!$A$2:$B$16,2,FALSE)</f>
        <v>TEXAROK</v>
      </c>
      <c r="N173" s="19" t="str">
        <f>IF(M173=M172,"N","Y")</f>
        <v>Y</v>
      </c>
      <c r="O173">
        <f>SUM(I172:I173)</f>
        <v>169</v>
      </c>
      <c r="P173">
        <f t="shared" si="17"/>
        <v>71</v>
      </c>
    </row>
    <row r="174" spans="1:16" hidden="1" x14ac:dyDescent="0.3">
      <c r="A174" t="str">
        <f t="shared" si="16"/>
        <v>2014Russell5</v>
      </c>
      <c r="B174">
        <f t="shared" si="12"/>
        <v>187</v>
      </c>
      <c r="C174">
        <f t="shared" si="13"/>
        <v>678</v>
      </c>
      <c r="D174" t="s">
        <v>28</v>
      </c>
      <c r="E174" t="str">
        <f>D175</f>
        <v>Emily</v>
      </c>
      <c r="F174">
        <v>2014</v>
      </c>
      <c r="G174">
        <v>5</v>
      </c>
      <c r="H174">
        <v>2.1</v>
      </c>
      <c r="I174">
        <v>100</v>
      </c>
      <c r="J174">
        <f>I174-I175</f>
        <v>40</v>
      </c>
      <c r="K174" t="str">
        <f t="shared" si="14"/>
        <v>W</v>
      </c>
      <c r="L174" t="str">
        <f t="shared" si="15"/>
        <v>Russell</v>
      </c>
      <c r="M174" t="str">
        <f>VLOOKUP(L174,References!$A$2:$B$16,2,FALSE)</f>
        <v>TEXAROK</v>
      </c>
      <c r="N174" s="19" t="str">
        <f>IF(M174=M175,"N","Y")</f>
        <v>N</v>
      </c>
      <c r="O174">
        <f>SUM(I174:I175)</f>
        <v>160</v>
      </c>
      <c r="P174">
        <f t="shared" si="17"/>
        <v>60</v>
      </c>
    </row>
    <row r="175" spans="1:16" hidden="1" x14ac:dyDescent="0.3">
      <c r="A175" t="str">
        <f t="shared" si="16"/>
        <v>2014Emily5</v>
      </c>
      <c r="B175">
        <f t="shared" si="12"/>
        <v>1895</v>
      </c>
      <c r="C175">
        <f t="shared" si="13"/>
        <v>1936</v>
      </c>
      <c r="D175" t="s">
        <v>43</v>
      </c>
      <c r="E175" t="str">
        <f>D174</f>
        <v>Russell</v>
      </c>
      <c r="F175">
        <v>2014</v>
      </c>
      <c r="G175">
        <v>5</v>
      </c>
      <c r="H175">
        <v>2.2000000000000002</v>
      </c>
      <c r="I175">
        <v>60</v>
      </c>
      <c r="J175">
        <f>I175-I174</f>
        <v>-40</v>
      </c>
      <c r="K175" t="str">
        <f t="shared" si="14"/>
        <v>L</v>
      </c>
      <c r="L175" t="str">
        <f t="shared" si="15"/>
        <v>Emily</v>
      </c>
      <c r="M175" t="str">
        <f>VLOOKUP(L175,References!$A$2:$B$16,2,FALSE)</f>
        <v>TEXAROK</v>
      </c>
      <c r="N175" s="19" t="str">
        <f>IF(M175=M174,"N","Y")</f>
        <v>N</v>
      </c>
      <c r="O175">
        <f>SUM(I174:I175)</f>
        <v>160</v>
      </c>
      <c r="P175">
        <f t="shared" si="17"/>
        <v>100</v>
      </c>
    </row>
    <row r="176" spans="1:16" hidden="1" x14ac:dyDescent="0.3">
      <c r="A176" t="str">
        <f t="shared" si="16"/>
        <v>2014Mark5</v>
      </c>
      <c r="B176">
        <f t="shared" si="12"/>
        <v>685</v>
      </c>
      <c r="C176">
        <f t="shared" si="13"/>
        <v>1365</v>
      </c>
      <c r="D176" t="s">
        <v>22</v>
      </c>
      <c r="E176" t="str">
        <f>D177</f>
        <v>BR</v>
      </c>
      <c r="F176">
        <v>2014</v>
      </c>
      <c r="G176">
        <v>5</v>
      </c>
      <c r="H176">
        <v>3.1</v>
      </c>
      <c r="I176">
        <v>81</v>
      </c>
      <c r="J176">
        <f>I176-I177</f>
        <v>13</v>
      </c>
      <c r="K176" t="str">
        <f t="shared" si="14"/>
        <v>W</v>
      </c>
      <c r="L176" t="str">
        <f t="shared" si="15"/>
        <v>Mark</v>
      </c>
      <c r="M176" t="str">
        <f>VLOOKUP(L176,References!$A$2:$B$16,2,FALSE)</f>
        <v>AKCOVA</v>
      </c>
      <c r="N176" s="19" t="str">
        <f>IF(M176=M177,"N","Y")</f>
        <v>N</v>
      </c>
      <c r="O176">
        <f>SUM(I176:I177)</f>
        <v>149</v>
      </c>
      <c r="P176">
        <f t="shared" si="17"/>
        <v>68</v>
      </c>
    </row>
    <row r="177" spans="1:16" hidden="1" x14ac:dyDescent="0.3">
      <c r="A177" t="str">
        <f t="shared" si="16"/>
        <v>2014BR5</v>
      </c>
      <c r="B177">
        <f t="shared" si="12"/>
        <v>1381</v>
      </c>
      <c r="C177">
        <f t="shared" si="13"/>
        <v>1793</v>
      </c>
      <c r="D177" t="s">
        <v>25</v>
      </c>
      <c r="E177" t="str">
        <f>D176</f>
        <v>Mark</v>
      </c>
      <c r="F177">
        <v>2014</v>
      </c>
      <c r="G177">
        <v>5</v>
      </c>
      <c r="H177">
        <v>3.2</v>
      </c>
      <c r="I177">
        <v>68</v>
      </c>
      <c r="J177">
        <f>I177-I176</f>
        <v>-13</v>
      </c>
      <c r="K177" t="str">
        <f t="shared" si="14"/>
        <v>L</v>
      </c>
      <c r="L177" t="str">
        <f t="shared" si="15"/>
        <v>BR</v>
      </c>
      <c r="M177" t="str">
        <f>VLOOKUP(L177,References!$A$2:$B$16,2,FALSE)</f>
        <v>AKCOVA</v>
      </c>
      <c r="N177" s="19" t="str">
        <f>IF(M177=M176,"N","Y")</f>
        <v>N</v>
      </c>
      <c r="O177">
        <f>SUM(I176:I177)</f>
        <v>149</v>
      </c>
      <c r="P177">
        <f t="shared" si="17"/>
        <v>81</v>
      </c>
    </row>
    <row r="178" spans="1:16" hidden="1" x14ac:dyDescent="0.3">
      <c r="A178" t="str">
        <f t="shared" si="16"/>
        <v>2014Brian5</v>
      </c>
      <c r="B178">
        <f t="shared" si="12"/>
        <v>297</v>
      </c>
      <c r="C178">
        <f t="shared" si="13"/>
        <v>227</v>
      </c>
      <c r="D178" t="s">
        <v>26</v>
      </c>
      <c r="E178" t="str">
        <f>D179</f>
        <v>Matt</v>
      </c>
      <c r="F178">
        <v>2014</v>
      </c>
      <c r="G178">
        <v>5</v>
      </c>
      <c r="H178">
        <v>4.0999999999999996</v>
      </c>
      <c r="I178">
        <v>120</v>
      </c>
      <c r="J178">
        <f>I178-I179</f>
        <v>31</v>
      </c>
      <c r="K178" t="str">
        <f t="shared" si="14"/>
        <v>W</v>
      </c>
      <c r="L178" t="str">
        <f t="shared" si="15"/>
        <v>Brian</v>
      </c>
      <c r="M178" t="str">
        <f>VLOOKUP(L178,References!$A$2:$B$16,2,FALSE)</f>
        <v>TEXAROK</v>
      </c>
      <c r="N178" s="19" t="str">
        <f>IF(M178=M179,"N","Y")</f>
        <v>N</v>
      </c>
      <c r="O178">
        <f>SUM(I178:I179)</f>
        <v>209</v>
      </c>
      <c r="P178">
        <f t="shared" si="17"/>
        <v>89</v>
      </c>
    </row>
    <row r="179" spans="1:16" hidden="1" x14ac:dyDescent="0.3">
      <c r="A179" t="str">
        <f t="shared" si="16"/>
        <v>2014Matt5</v>
      </c>
      <c r="B179">
        <f t="shared" si="12"/>
        <v>1775</v>
      </c>
      <c r="C179">
        <f t="shared" si="13"/>
        <v>1055</v>
      </c>
      <c r="D179" t="s">
        <v>30</v>
      </c>
      <c r="E179" t="str">
        <f>D178</f>
        <v>Brian</v>
      </c>
      <c r="F179">
        <v>2014</v>
      </c>
      <c r="G179">
        <v>5</v>
      </c>
      <c r="H179">
        <v>4.2</v>
      </c>
      <c r="I179">
        <v>89</v>
      </c>
      <c r="J179">
        <f>I179-I178</f>
        <v>-31</v>
      </c>
      <c r="K179" t="str">
        <f t="shared" si="14"/>
        <v>L</v>
      </c>
      <c r="L179" t="str">
        <f t="shared" si="15"/>
        <v>Matt</v>
      </c>
      <c r="M179" t="str">
        <f>VLOOKUP(L179,References!$A$2:$B$16,2,FALSE)</f>
        <v>TEXAROK</v>
      </c>
      <c r="N179" s="19" t="str">
        <f>IF(M179=M178,"N","Y")</f>
        <v>N</v>
      </c>
      <c r="O179">
        <f>SUM(I178:I179)</f>
        <v>209</v>
      </c>
      <c r="P179">
        <f t="shared" si="17"/>
        <v>120</v>
      </c>
    </row>
    <row r="180" spans="1:16" hidden="1" x14ac:dyDescent="0.3">
      <c r="A180" t="str">
        <f t="shared" si="16"/>
        <v>2014Watty5</v>
      </c>
      <c r="B180">
        <f t="shared" si="12"/>
        <v>571</v>
      </c>
      <c r="C180">
        <f t="shared" si="13"/>
        <v>714</v>
      </c>
      <c r="D180" t="s">
        <v>24</v>
      </c>
      <c r="E180" t="str">
        <f>D181</f>
        <v>Abby</v>
      </c>
      <c r="F180">
        <v>2014</v>
      </c>
      <c r="G180">
        <v>5</v>
      </c>
      <c r="H180">
        <v>5.0999999999999996</v>
      </c>
      <c r="I180">
        <v>99</v>
      </c>
      <c r="J180">
        <f>I180-I181</f>
        <v>18</v>
      </c>
      <c r="K180" t="str">
        <f t="shared" si="14"/>
        <v>W</v>
      </c>
      <c r="L180" t="str">
        <f t="shared" si="15"/>
        <v>Watty</v>
      </c>
      <c r="M180" t="str">
        <f>VLOOKUP(L180,References!$A$2:$B$16,2,FALSE)</f>
        <v>AKCOVA</v>
      </c>
      <c r="N180" s="19" t="str">
        <f>IF(M180=M181,"N","Y")</f>
        <v>N</v>
      </c>
      <c r="O180">
        <f>SUM(I180:I181)</f>
        <v>180</v>
      </c>
      <c r="P180">
        <f t="shared" si="17"/>
        <v>81</v>
      </c>
    </row>
    <row r="181" spans="1:16" hidden="1" x14ac:dyDescent="0.3">
      <c r="A181" t="str">
        <f t="shared" si="16"/>
        <v>2014Abby5</v>
      </c>
      <c r="B181">
        <f t="shared" si="12"/>
        <v>1497</v>
      </c>
      <c r="C181">
        <f t="shared" si="13"/>
        <v>1365</v>
      </c>
      <c r="D181" t="s">
        <v>27</v>
      </c>
      <c r="E181" t="str">
        <f>D180</f>
        <v>Watty</v>
      </c>
      <c r="F181">
        <v>2014</v>
      </c>
      <c r="G181">
        <v>5</v>
      </c>
      <c r="H181">
        <v>5.2</v>
      </c>
      <c r="I181">
        <v>81</v>
      </c>
      <c r="J181">
        <f>I181-I180</f>
        <v>-18</v>
      </c>
      <c r="K181" t="str">
        <f t="shared" si="14"/>
        <v>L</v>
      </c>
      <c r="L181" t="str">
        <f t="shared" si="15"/>
        <v>Abby</v>
      </c>
      <c r="M181" t="str">
        <f>VLOOKUP(L181,References!$A$2:$B$16,2,FALSE)</f>
        <v>AKCOVA</v>
      </c>
      <c r="N181" s="19" t="str">
        <f>IF(M181=M180,"N","Y")</f>
        <v>N</v>
      </c>
      <c r="O181">
        <f>SUM(I180:I181)</f>
        <v>180</v>
      </c>
      <c r="P181">
        <f t="shared" si="17"/>
        <v>99</v>
      </c>
    </row>
    <row r="182" spans="1:16" hidden="1" x14ac:dyDescent="0.3">
      <c r="A182" t="str">
        <f t="shared" si="16"/>
        <v>2014Michael6</v>
      </c>
      <c r="B182">
        <f t="shared" si="12"/>
        <v>1145</v>
      </c>
      <c r="C182">
        <f t="shared" si="13"/>
        <v>1512</v>
      </c>
      <c r="D182" t="s">
        <v>23</v>
      </c>
      <c r="E182" t="str">
        <f>D183</f>
        <v>Watty</v>
      </c>
      <c r="F182">
        <v>2014</v>
      </c>
      <c r="G182">
        <v>6</v>
      </c>
      <c r="H182">
        <v>1.1000000000000001</v>
      </c>
      <c r="I182">
        <v>77</v>
      </c>
      <c r="J182">
        <f>I182-I183</f>
        <v>-4</v>
      </c>
      <c r="K182" t="str">
        <f t="shared" si="14"/>
        <v>L</v>
      </c>
      <c r="L182" t="str">
        <f t="shared" si="15"/>
        <v>Michael</v>
      </c>
      <c r="M182" t="str">
        <f>VLOOKUP(L182,References!$A$2:$B$16,2,FALSE)</f>
        <v>AKCOVA</v>
      </c>
      <c r="N182" s="19" t="str">
        <f>IF(M182=M183,"N","Y")</f>
        <v>N</v>
      </c>
      <c r="O182">
        <f>SUM(I182:I183)</f>
        <v>158</v>
      </c>
      <c r="P182">
        <f t="shared" si="17"/>
        <v>81</v>
      </c>
    </row>
    <row r="183" spans="1:16" hidden="1" x14ac:dyDescent="0.3">
      <c r="A183" t="str">
        <f t="shared" si="16"/>
        <v>2014Watty6</v>
      </c>
      <c r="B183">
        <f t="shared" si="12"/>
        <v>917</v>
      </c>
      <c r="C183">
        <f t="shared" si="13"/>
        <v>1365</v>
      </c>
      <c r="D183" t="s">
        <v>24</v>
      </c>
      <c r="E183" t="str">
        <f>D182</f>
        <v>Michael</v>
      </c>
      <c r="F183">
        <v>2014</v>
      </c>
      <c r="G183">
        <v>6</v>
      </c>
      <c r="H183">
        <v>1.2</v>
      </c>
      <c r="I183">
        <v>81</v>
      </c>
      <c r="J183">
        <f>I183-I182</f>
        <v>4</v>
      </c>
      <c r="K183" t="str">
        <f t="shared" si="14"/>
        <v>W</v>
      </c>
      <c r="L183" t="str">
        <f t="shared" si="15"/>
        <v>Watty</v>
      </c>
      <c r="M183" t="str">
        <f>VLOOKUP(L183,References!$A$2:$B$16,2,FALSE)</f>
        <v>AKCOVA</v>
      </c>
      <c r="N183" s="19" t="str">
        <f>IF(M183=M182,"N","Y")</f>
        <v>N</v>
      </c>
      <c r="O183">
        <f>SUM(I182:I183)</f>
        <v>158</v>
      </c>
      <c r="P183">
        <f t="shared" si="17"/>
        <v>77</v>
      </c>
    </row>
    <row r="184" spans="1:16" hidden="1" x14ac:dyDescent="0.3">
      <c r="A184" t="str">
        <f t="shared" si="16"/>
        <v>2014Emily6</v>
      </c>
      <c r="B184">
        <f t="shared" si="12"/>
        <v>1040</v>
      </c>
      <c r="C184">
        <f t="shared" si="13"/>
        <v>1439</v>
      </c>
      <c r="D184" t="s">
        <v>43</v>
      </c>
      <c r="E184" t="str">
        <f>D185</f>
        <v>BR</v>
      </c>
      <c r="F184">
        <v>2014</v>
      </c>
      <c r="G184">
        <v>6</v>
      </c>
      <c r="H184">
        <v>2.1</v>
      </c>
      <c r="I184">
        <v>79</v>
      </c>
      <c r="J184">
        <f>I184-I185</f>
        <v>0</v>
      </c>
      <c r="K184" t="str">
        <f t="shared" si="14"/>
        <v>T</v>
      </c>
      <c r="L184" t="str">
        <f t="shared" si="15"/>
        <v>Emily</v>
      </c>
      <c r="M184" t="str">
        <f>VLOOKUP(L184,References!$A$2:$B$16,2,FALSE)</f>
        <v>TEXAROK</v>
      </c>
      <c r="N184" s="19" t="str">
        <f>IF(M184=M185,"N","Y")</f>
        <v>Y</v>
      </c>
      <c r="O184">
        <f>SUM(I184:I185)</f>
        <v>158</v>
      </c>
      <c r="P184">
        <f t="shared" si="17"/>
        <v>79</v>
      </c>
    </row>
    <row r="185" spans="1:16" hidden="1" x14ac:dyDescent="0.3">
      <c r="A185" t="str">
        <f t="shared" si="16"/>
        <v>2014BR6</v>
      </c>
      <c r="B185">
        <f t="shared" si="12"/>
        <v>1040</v>
      </c>
      <c r="C185">
        <f t="shared" si="13"/>
        <v>1439</v>
      </c>
      <c r="D185" t="s">
        <v>25</v>
      </c>
      <c r="E185" t="str">
        <f>D184</f>
        <v>Emily</v>
      </c>
      <c r="F185">
        <v>2014</v>
      </c>
      <c r="G185">
        <v>6</v>
      </c>
      <c r="H185">
        <v>2.2000000000000002</v>
      </c>
      <c r="I185">
        <v>79</v>
      </c>
      <c r="J185">
        <f>I185-I184</f>
        <v>0</v>
      </c>
      <c r="K185" t="str">
        <f t="shared" si="14"/>
        <v>T</v>
      </c>
      <c r="L185" t="str">
        <f t="shared" si="15"/>
        <v>BR</v>
      </c>
      <c r="M185" t="str">
        <f>VLOOKUP(L185,References!$A$2:$B$16,2,FALSE)</f>
        <v>AKCOVA</v>
      </c>
      <c r="N185" s="19" t="str">
        <f>IF(M185=M184,"N","Y")</f>
        <v>Y</v>
      </c>
      <c r="O185">
        <f>SUM(I184:I185)</f>
        <v>158</v>
      </c>
      <c r="P185">
        <f t="shared" si="17"/>
        <v>79</v>
      </c>
    </row>
    <row r="186" spans="1:16" hidden="1" x14ac:dyDescent="0.3">
      <c r="A186" t="str">
        <f t="shared" si="16"/>
        <v>2014Russell6</v>
      </c>
      <c r="B186">
        <f t="shared" si="12"/>
        <v>1546</v>
      </c>
      <c r="C186">
        <f t="shared" si="13"/>
        <v>119</v>
      </c>
      <c r="D186" t="s">
        <v>28</v>
      </c>
      <c r="E186" t="str">
        <f>D187</f>
        <v>Brian</v>
      </c>
      <c r="F186">
        <v>2014</v>
      </c>
      <c r="G186">
        <v>6</v>
      </c>
      <c r="H186">
        <v>3.1</v>
      </c>
      <c r="I186">
        <v>129</v>
      </c>
      <c r="J186">
        <f>I186-I187</f>
        <v>-20</v>
      </c>
      <c r="K186" t="str">
        <f t="shared" si="14"/>
        <v>L</v>
      </c>
      <c r="L186" t="str">
        <f t="shared" si="15"/>
        <v>Russell</v>
      </c>
      <c r="M186" t="str">
        <f>VLOOKUP(L186,References!$A$2:$B$16,2,FALSE)</f>
        <v>TEXAROK</v>
      </c>
      <c r="N186" s="19" t="str">
        <f>IF(M186=M187,"N","Y")</f>
        <v>N</v>
      </c>
      <c r="O186">
        <f>SUM(I186:I187)</f>
        <v>278</v>
      </c>
      <c r="P186">
        <f t="shared" si="17"/>
        <v>149</v>
      </c>
    </row>
    <row r="187" spans="1:16" hidden="1" x14ac:dyDescent="0.3">
      <c r="A187" t="str">
        <f t="shared" si="16"/>
        <v>2014Brian6</v>
      </c>
      <c r="B187">
        <f t="shared" si="12"/>
        <v>517</v>
      </c>
      <c r="C187">
        <f t="shared" si="13"/>
        <v>28</v>
      </c>
      <c r="D187" t="s">
        <v>26</v>
      </c>
      <c r="E187" t="str">
        <f>D186</f>
        <v>Russell</v>
      </c>
      <c r="F187">
        <v>2014</v>
      </c>
      <c r="G187">
        <v>6</v>
      </c>
      <c r="H187">
        <v>3.2</v>
      </c>
      <c r="I187" s="35">
        <v>149</v>
      </c>
      <c r="J187">
        <f>I187-I186</f>
        <v>20</v>
      </c>
      <c r="K187" t="str">
        <f t="shared" si="14"/>
        <v>W</v>
      </c>
      <c r="L187" t="str">
        <f t="shared" si="15"/>
        <v>Brian</v>
      </c>
      <c r="M187" t="str">
        <f>VLOOKUP(L187,References!$A$2:$B$16,2,FALSE)</f>
        <v>TEXAROK</v>
      </c>
      <c r="N187" s="19" t="str">
        <f>IF(M187=M186,"N","Y")</f>
        <v>N</v>
      </c>
      <c r="O187">
        <f>SUM(I186:I187)</f>
        <v>278</v>
      </c>
      <c r="P187">
        <f t="shared" si="17"/>
        <v>129</v>
      </c>
    </row>
    <row r="188" spans="1:16" hidden="1" x14ac:dyDescent="0.3">
      <c r="A188" t="str">
        <f t="shared" si="16"/>
        <v>2014David6</v>
      </c>
      <c r="B188">
        <f t="shared" si="12"/>
        <v>410</v>
      </c>
      <c r="C188">
        <f t="shared" si="13"/>
        <v>248</v>
      </c>
      <c r="D188" t="s">
        <v>29</v>
      </c>
      <c r="E188" t="str">
        <f>D189</f>
        <v>Mark</v>
      </c>
      <c r="F188">
        <v>2014</v>
      </c>
      <c r="G188">
        <v>6</v>
      </c>
      <c r="H188">
        <v>4.0999999999999996</v>
      </c>
      <c r="I188">
        <v>119</v>
      </c>
      <c r="J188">
        <f>I188-I189</f>
        <v>25</v>
      </c>
      <c r="K188" t="str">
        <f t="shared" si="14"/>
        <v>W</v>
      </c>
      <c r="L188" t="str">
        <f t="shared" si="15"/>
        <v>David</v>
      </c>
      <c r="M188" t="str">
        <f>VLOOKUP(L188,References!$A$2:$B$16,2,FALSE)</f>
        <v>TEXAROK</v>
      </c>
      <c r="N188" s="19" t="str">
        <f>IF(M188=M189,"N","Y")</f>
        <v>Y</v>
      </c>
      <c r="O188">
        <f>SUM(I188:I189)</f>
        <v>213</v>
      </c>
      <c r="P188">
        <f t="shared" si="17"/>
        <v>94</v>
      </c>
    </row>
    <row r="189" spans="1:16" hidden="1" x14ac:dyDescent="0.3">
      <c r="A189" t="str">
        <f t="shared" si="16"/>
        <v>2014Mark6</v>
      </c>
      <c r="B189">
        <f t="shared" si="12"/>
        <v>1661</v>
      </c>
      <c r="C189">
        <f t="shared" si="13"/>
        <v>893</v>
      </c>
      <c r="D189" t="s">
        <v>22</v>
      </c>
      <c r="E189" t="str">
        <f>D188</f>
        <v>David</v>
      </c>
      <c r="F189">
        <v>2014</v>
      </c>
      <c r="G189">
        <v>6</v>
      </c>
      <c r="H189">
        <v>4.2</v>
      </c>
      <c r="I189">
        <v>94</v>
      </c>
      <c r="J189">
        <f>I189-I188</f>
        <v>-25</v>
      </c>
      <c r="K189" t="str">
        <f t="shared" si="14"/>
        <v>L</v>
      </c>
      <c r="L189" t="str">
        <f t="shared" si="15"/>
        <v>Mark</v>
      </c>
      <c r="M189" t="str">
        <f>VLOOKUP(L189,References!$A$2:$B$16,2,FALSE)</f>
        <v>AKCOVA</v>
      </c>
      <c r="N189" s="19" t="str">
        <f>IF(M189=M188,"N","Y")</f>
        <v>Y</v>
      </c>
      <c r="O189">
        <f>SUM(I188:I189)</f>
        <v>213</v>
      </c>
      <c r="P189">
        <f t="shared" si="17"/>
        <v>119</v>
      </c>
    </row>
    <row r="190" spans="1:16" hidden="1" x14ac:dyDescent="0.3">
      <c r="A190" t="str">
        <f t="shared" si="16"/>
        <v>2014Matt6</v>
      </c>
      <c r="B190">
        <f t="shared" si="12"/>
        <v>865</v>
      </c>
      <c r="C190">
        <f t="shared" si="13"/>
        <v>1439</v>
      </c>
      <c r="D190" t="s">
        <v>30</v>
      </c>
      <c r="E190" t="str">
        <f>D191</f>
        <v>Abby</v>
      </c>
      <c r="F190">
        <v>2014</v>
      </c>
      <c r="G190">
        <v>6</v>
      </c>
      <c r="H190">
        <v>5.0999999999999996</v>
      </c>
      <c r="I190">
        <v>79</v>
      </c>
      <c r="J190">
        <f>I190-I191</f>
        <v>6</v>
      </c>
      <c r="K190" t="str">
        <f t="shared" si="14"/>
        <v>W</v>
      </c>
      <c r="L190" t="str">
        <f t="shared" si="15"/>
        <v>Matt</v>
      </c>
      <c r="M190" t="str">
        <f>VLOOKUP(L190,References!$A$2:$B$16,2,FALSE)</f>
        <v>TEXAROK</v>
      </c>
      <c r="N190" s="19" t="str">
        <f>IF(M190=M191,"N","Y")</f>
        <v>Y</v>
      </c>
      <c r="O190">
        <f>SUM(I190:I191)</f>
        <v>152</v>
      </c>
      <c r="P190">
        <f t="shared" si="17"/>
        <v>73</v>
      </c>
    </row>
    <row r="191" spans="1:16" hidden="1" x14ac:dyDescent="0.3">
      <c r="A191" t="str">
        <f t="shared" si="16"/>
        <v>2014Abby6</v>
      </c>
      <c r="B191">
        <f t="shared" si="12"/>
        <v>1197</v>
      </c>
      <c r="C191">
        <f t="shared" si="13"/>
        <v>1648</v>
      </c>
      <c r="D191" t="s">
        <v>27</v>
      </c>
      <c r="E191" t="str">
        <f>D190</f>
        <v>Matt</v>
      </c>
      <c r="F191">
        <v>2014</v>
      </c>
      <c r="G191">
        <v>6</v>
      </c>
      <c r="H191">
        <v>5.2</v>
      </c>
      <c r="I191">
        <v>73</v>
      </c>
      <c r="J191">
        <f>I191-I190</f>
        <v>-6</v>
      </c>
      <c r="K191" t="str">
        <f t="shared" si="14"/>
        <v>L</v>
      </c>
      <c r="L191" t="str">
        <f t="shared" si="15"/>
        <v>Abby</v>
      </c>
      <c r="M191" t="str">
        <f>VLOOKUP(L191,References!$A$2:$B$16,2,FALSE)</f>
        <v>AKCOVA</v>
      </c>
      <c r="N191" s="19" t="str">
        <f>IF(M191=M190,"N","Y")</f>
        <v>Y</v>
      </c>
      <c r="O191">
        <f>SUM(I190:I191)</f>
        <v>152</v>
      </c>
      <c r="P191">
        <f t="shared" si="17"/>
        <v>79</v>
      </c>
    </row>
    <row r="192" spans="1:16" hidden="1" x14ac:dyDescent="0.3">
      <c r="A192" t="str">
        <f t="shared" si="16"/>
        <v>2014Brian7</v>
      </c>
      <c r="B192">
        <f t="shared" si="12"/>
        <v>1004</v>
      </c>
      <c r="C192">
        <f t="shared" si="13"/>
        <v>1512</v>
      </c>
      <c r="D192" t="s">
        <v>26</v>
      </c>
      <c r="E192" t="str">
        <f>D193</f>
        <v>Michael</v>
      </c>
      <c r="F192">
        <v>2014</v>
      </c>
      <c r="G192">
        <v>7</v>
      </c>
      <c r="H192">
        <v>1.1000000000000001</v>
      </c>
      <c r="I192">
        <v>77</v>
      </c>
      <c r="J192">
        <f>I192-I193</f>
        <v>1</v>
      </c>
      <c r="K192" t="str">
        <f t="shared" si="14"/>
        <v>W</v>
      </c>
      <c r="L192" t="str">
        <f t="shared" si="15"/>
        <v>Brian</v>
      </c>
      <c r="M192" t="str">
        <f>VLOOKUP(L192,References!$A$2:$B$16,2,FALSE)</f>
        <v>TEXAROK</v>
      </c>
      <c r="N192" s="19" t="str">
        <f>IF(M192=M193,"N","Y")</f>
        <v>Y</v>
      </c>
      <c r="O192">
        <f>SUM(I192:I193)</f>
        <v>153</v>
      </c>
      <c r="P192">
        <f t="shared" si="17"/>
        <v>76</v>
      </c>
    </row>
    <row r="193" spans="1:16" hidden="1" x14ac:dyDescent="0.3">
      <c r="A193" t="str">
        <f t="shared" si="16"/>
        <v>2014Michael7</v>
      </c>
      <c r="B193">
        <f t="shared" si="12"/>
        <v>1055</v>
      </c>
      <c r="C193">
        <f t="shared" si="13"/>
        <v>1549</v>
      </c>
      <c r="D193" t="s">
        <v>23</v>
      </c>
      <c r="E193" t="str">
        <f>D192</f>
        <v>Brian</v>
      </c>
      <c r="F193">
        <v>2014</v>
      </c>
      <c r="G193">
        <v>7</v>
      </c>
      <c r="H193">
        <v>1.2</v>
      </c>
      <c r="I193">
        <v>76</v>
      </c>
      <c r="J193">
        <f>I193-I192</f>
        <v>-1</v>
      </c>
      <c r="K193" t="str">
        <f t="shared" si="14"/>
        <v>L</v>
      </c>
      <c r="L193" t="str">
        <f t="shared" si="15"/>
        <v>Michael</v>
      </c>
      <c r="M193" t="str">
        <f>VLOOKUP(L193,References!$A$2:$B$16,2,FALSE)</f>
        <v>AKCOVA</v>
      </c>
      <c r="N193" s="19" t="str">
        <f>IF(M193=M192,"N","Y")</f>
        <v>Y</v>
      </c>
      <c r="O193">
        <f>SUM(I192:I193)</f>
        <v>153</v>
      </c>
      <c r="P193">
        <f t="shared" si="17"/>
        <v>77</v>
      </c>
    </row>
    <row r="194" spans="1:16" hidden="1" x14ac:dyDescent="0.3">
      <c r="A194" t="str">
        <f t="shared" si="16"/>
        <v>2014Mark7</v>
      </c>
      <c r="B194">
        <f t="shared" ref="B194:B257" si="18">RANK(J194,diff)</f>
        <v>238</v>
      </c>
      <c r="C194">
        <f t="shared" ref="C194:C257" si="19">RANK(I194,points)</f>
        <v>1173</v>
      </c>
      <c r="D194" t="s">
        <v>22</v>
      </c>
      <c r="E194" t="str">
        <f>D195</f>
        <v>Emily</v>
      </c>
      <c r="F194">
        <v>2014</v>
      </c>
      <c r="G194">
        <v>7</v>
      </c>
      <c r="H194">
        <v>2.1</v>
      </c>
      <c r="I194">
        <v>86</v>
      </c>
      <c r="J194">
        <f>I194-I195</f>
        <v>36</v>
      </c>
      <c r="K194" t="str">
        <f t="shared" ref="K194:K257" si="20">IF(J194&gt;0,"W",IF(J194&lt;0,"L","T"))</f>
        <v>W</v>
      </c>
      <c r="L194" t="str">
        <f t="shared" ref="L194:L257" si="21">D194</f>
        <v>Mark</v>
      </c>
      <c r="M194" t="str">
        <f>VLOOKUP(L194,References!$A$2:$B$16,2,FALSE)</f>
        <v>AKCOVA</v>
      </c>
      <c r="N194" s="19" t="str">
        <f>IF(M194=M195,"N","Y")</f>
        <v>Y</v>
      </c>
      <c r="O194">
        <f>SUM(I194:I195)</f>
        <v>136</v>
      </c>
      <c r="P194">
        <f t="shared" si="17"/>
        <v>50</v>
      </c>
    </row>
    <row r="195" spans="1:16" hidden="1" x14ac:dyDescent="0.3">
      <c r="A195" t="str">
        <f t="shared" ref="A195:A258" si="22">F195&amp;D195&amp;G195</f>
        <v>2014Emily7</v>
      </c>
      <c r="B195">
        <f t="shared" si="18"/>
        <v>1840</v>
      </c>
      <c r="C195">
        <f t="shared" si="19"/>
        <v>2049</v>
      </c>
      <c r="D195" t="s">
        <v>43</v>
      </c>
      <c r="E195" t="str">
        <f>D194</f>
        <v>Mark</v>
      </c>
      <c r="F195">
        <v>2014</v>
      </c>
      <c r="G195">
        <v>7</v>
      </c>
      <c r="H195">
        <v>2.2000000000000002</v>
      </c>
      <c r="I195">
        <v>50</v>
      </c>
      <c r="J195">
        <f>I195-I194</f>
        <v>-36</v>
      </c>
      <c r="K195" t="str">
        <f t="shared" si="20"/>
        <v>L</v>
      </c>
      <c r="L195" t="str">
        <f t="shared" si="21"/>
        <v>Emily</v>
      </c>
      <c r="M195" t="str">
        <f>VLOOKUP(L195,References!$A$2:$B$16,2,FALSE)</f>
        <v>TEXAROK</v>
      </c>
      <c r="N195" s="19" t="str">
        <f>IF(M195=M194,"N","Y")</f>
        <v>Y</v>
      </c>
      <c r="O195">
        <f>SUM(I194:I195)</f>
        <v>136</v>
      </c>
      <c r="P195">
        <f t="shared" ref="P195:P258" si="23">I195-J195</f>
        <v>86</v>
      </c>
    </row>
    <row r="196" spans="1:16" hidden="1" x14ac:dyDescent="0.3">
      <c r="A196" t="str">
        <f t="shared" si="22"/>
        <v>2014Abby7</v>
      </c>
      <c r="B196">
        <f t="shared" si="18"/>
        <v>685</v>
      </c>
      <c r="C196">
        <f t="shared" si="19"/>
        <v>1318</v>
      </c>
      <c r="D196" t="s">
        <v>27</v>
      </c>
      <c r="E196" t="str">
        <f>D197</f>
        <v>Russell</v>
      </c>
      <c r="F196">
        <v>2014</v>
      </c>
      <c r="G196">
        <v>7</v>
      </c>
      <c r="H196">
        <v>3.1</v>
      </c>
      <c r="I196">
        <v>82</v>
      </c>
      <c r="J196">
        <f>I196-I197</f>
        <v>13</v>
      </c>
      <c r="K196" t="str">
        <f t="shared" si="20"/>
        <v>W</v>
      </c>
      <c r="L196" t="str">
        <f t="shared" si="21"/>
        <v>Abby</v>
      </c>
      <c r="M196" t="str">
        <f>VLOOKUP(L196,References!$A$2:$B$16,2,FALSE)</f>
        <v>AKCOVA</v>
      </c>
      <c r="N196" s="19" t="str">
        <f>IF(M196=M197,"N","Y")</f>
        <v>Y</v>
      </c>
      <c r="O196">
        <f>SUM(I196:I197)</f>
        <v>151</v>
      </c>
      <c r="P196">
        <f t="shared" si="23"/>
        <v>69</v>
      </c>
    </row>
    <row r="197" spans="1:16" hidden="1" x14ac:dyDescent="0.3">
      <c r="A197" t="str">
        <f t="shared" si="22"/>
        <v>2014Russell7</v>
      </c>
      <c r="B197">
        <f t="shared" si="18"/>
        <v>1381</v>
      </c>
      <c r="C197">
        <f t="shared" si="19"/>
        <v>1767</v>
      </c>
      <c r="D197" t="s">
        <v>28</v>
      </c>
      <c r="E197" t="str">
        <f>D196</f>
        <v>Abby</v>
      </c>
      <c r="F197">
        <v>2014</v>
      </c>
      <c r="G197">
        <v>7</v>
      </c>
      <c r="H197">
        <v>3.2</v>
      </c>
      <c r="I197">
        <v>69</v>
      </c>
      <c r="J197">
        <f>I197-I196</f>
        <v>-13</v>
      </c>
      <c r="K197" t="str">
        <f t="shared" si="20"/>
        <v>L</v>
      </c>
      <c r="L197" t="str">
        <f t="shared" si="21"/>
        <v>Russell</v>
      </c>
      <c r="M197" t="str">
        <f>VLOOKUP(L197,References!$A$2:$B$16,2,FALSE)</f>
        <v>TEXAROK</v>
      </c>
      <c r="N197" s="19" t="str">
        <f>IF(M197=M196,"N","Y")</f>
        <v>Y</v>
      </c>
      <c r="O197">
        <f>SUM(I196:I197)</f>
        <v>151</v>
      </c>
      <c r="P197">
        <f t="shared" si="23"/>
        <v>82</v>
      </c>
    </row>
    <row r="198" spans="1:16" hidden="1" x14ac:dyDescent="0.3">
      <c r="A198" t="str">
        <f t="shared" si="22"/>
        <v>2014Watty7</v>
      </c>
      <c r="B198">
        <f t="shared" si="18"/>
        <v>1177</v>
      </c>
      <c r="C198">
        <f t="shared" si="19"/>
        <v>412</v>
      </c>
      <c r="D198" t="s">
        <v>24</v>
      </c>
      <c r="E198" t="str">
        <f>D199</f>
        <v>David</v>
      </c>
      <c r="F198">
        <v>2014</v>
      </c>
      <c r="G198">
        <v>7</v>
      </c>
      <c r="H198">
        <v>4.0999999999999996</v>
      </c>
      <c r="I198">
        <v>110</v>
      </c>
      <c r="J198">
        <f>I198-I199</f>
        <v>-5</v>
      </c>
      <c r="K198" t="str">
        <f t="shared" si="20"/>
        <v>L</v>
      </c>
      <c r="L198" t="str">
        <f t="shared" si="21"/>
        <v>Watty</v>
      </c>
      <c r="M198" t="str">
        <f>VLOOKUP(L198,References!$A$2:$B$16,2,FALSE)</f>
        <v>AKCOVA</v>
      </c>
      <c r="N198" s="19" t="str">
        <f>IF(M198=M199,"N","Y")</f>
        <v>Y</v>
      </c>
      <c r="O198">
        <f>SUM(I198:I199)</f>
        <v>225</v>
      </c>
      <c r="P198">
        <f t="shared" si="23"/>
        <v>115</v>
      </c>
    </row>
    <row r="199" spans="1:16" hidden="1" x14ac:dyDescent="0.3">
      <c r="A199" t="str">
        <f t="shared" si="22"/>
        <v>2014David7</v>
      </c>
      <c r="B199">
        <f t="shared" si="18"/>
        <v>897</v>
      </c>
      <c r="C199">
        <f t="shared" si="19"/>
        <v>305</v>
      </c>
      <c r="D199" t="s">
        <v>29</v>
      </c>
      <c r="E199" t="str">
        <f>D198</f>
        <v>Watty</v>
      </c>
      <c r="F199">
        <v>2014</v>
      </c>
      <c r="G199">
        <v>7</v>
      </c>
      <c r="H199">
        <v>4.2</v>
      </c>
      <c r="I199">
        <v>115</v>
      </c>
      <c r="J199">
        <f>I199-I198</f>
        <v>5</v>
      </c>
      <c r="K199" t="str">
        <f t="shared" si="20"/>
        <v>W</v>
      </c>
      <c r="L199" t="str">
        <f t="shared" si="21"/>
        <v>David</v>
      </c>
      <c r="M199" t="str">
        <f>VLOOKUP(L199,References!$A$2:$B$16,2,FALSE)</f>
        <v>TEXAROK</v>
      </c>
      <c r="N199" s="19" t="str">
        <f>IF(M199=M198,"N","Y")</f>
        <v>Y</v>
      </c>
      <c r="O199">
        <f>SUM(I198:I199)</f>
        <v>225</v>
      </c>
      <c r="P199">
        <f t="shared" si="23"/>
        <v>110</v>
      </c>
    </row>
    <row r="200" spans="1:16" hidden="1" x14ac:dyDescent="0.3">
      <c r="A200" t="str">
        <f t="shared" si="22"/>
        <v>2014BR7</v>
      </c>
      <c r="B200">
        <f t="shared" si="18"/>
        <v>1869</v>
      </c>
      <c r="C200">
        <f t="shared" si="19"/>
        <v>1988</v>
      </c>
      <c r="D200" t="s">
        <v>25</v>
      </c>
      <c r="E200" t="str">
        <f>D201</f>
        <v>Matt</v>
      </c>
      <c r="F200">
        <v>2014</v>
      </c>
      <c r="G200">
        <v>7</v>
      </c>
      <c r="H200">
        <v>5.0999999999999996</v>
      </c>
      <c r="I200">
        <v>57</v>
      </c>
      <c r="J200">
        <f>I200-I201</f>
        <v>-38</v>
      </c>
      <c r="K200" t="str">
        <f t="shared" si="20"/>
        <v>L</v>
      </c>
      <c r="L200" t="str">
        <f t="shared" si="21"/>
        <v>BR</v>
      </c>
      <c r="M200" t="str">
        <f>VLOOKUP(L200,References!$A$2:$B$16,2,FALSE)</f>
        <v>AKCOVA</v>
      </c>
      <c r="N200" s="19" t="str">
        <f>IF(M200=M201,"N","Y")</f>
        <v>Y</v>
      </c>
      <c r="O200">
        <f>SUM(I200:I201)</f>
        <v>152</v>
      </c>
      <c r="P200">
        <f t="shared" si="23"/>
        <v>95</v>
      </c>
    </row>
    <row r="201" spans="1:16" hidden="1" x14ac:dyDescent="0.3">
      <c r="A201" t="str">
        <f t="shared" si="22"/>
        <v>2014Matt7</v>
      </c>
      <c r="B201">
        <f t="shared" si="18"/>
        <v>210</v>
      </c>
      <c r="C201">
        <f t="shared" si="19"/>
        <v>857</v>
      </c>
      <c r="D201" t="s">
        <v>30</v>
      </c>
      <c r="E201" t="str">
        <f>D200</f>
        <v>BR</v>
      </c>
      <c r="F201">
        <v>2014</v>
      </c>
      <c r="G201">
        <v>7</v>
      </c>
      <c r="H201">
        <v>5.2</v>
      </c>
      <c r="I201">
        <v>95</v>
      </c>
      <c r="J201">
        <f>I201-I200</f>
        <v>38</v>
      </c>
      <c r="K201" t="str">
        <f t="shared" si="20"/>
        <v>W</v>
      </c>
      <c r="L201" t="str">
        <f t="shared" si="21"/>
        <v>Matt</v>
      </c>
      <c r="M201" t="str">
        <f>VLOOKUP(L201,References!$A$2:$B$16,2,FALSE)</f>
        <v>TEXAROK</v>
      </c>
      <c r="N201" s="19" t="str">
        <f>IF(M201=M200,"N","Y")</f>
        <v>Y</v>
      </c>
      <c r="O201">
        <f>SUM(I200:I201)</f>
        <v>152</v>
      </c>
      <c r="P201">
        <f t="shared" si="23"/>
        <v>57</v>
      </c>
    </row>
    <row r="202" spans="1:16" hidden="1" x14ac:dyDescent="0.3">
      <c r="A202" t="str">
        <f t="shared" si="22"/>
        <v>2014Michael8</v>
      </c>
      <c r="B202">
        <f t="shared" si="18"/>
        <v>2052</v>
      </c>
      <c r="C202">
        <f t="shared" si="19"/>
        <v>1853</v>
      </c>
      <c r="D202" t="s">
        <v>23</v>
      </c>
      <c r="E202" t="str">
        <f>D203</f>
        <v>Abby</v>
      </c>
      <c r="F202">
        <v>2014</v>
      </c>
      <c r="G202">
        <v>8</v>
      </c>
      <c r="H202">
        <v>1.1000000000000001</v>
      </c>
      <c r="I202">
        <v>65</v>
      </c>
      <c r="J202">
        <f>I202-I203</f>
        <v>-64</v>
      </c>
      <c r="K202" t="str">
        <f t="shared" si="20"/>
        <v>L</v>
      </c>
      <c r="L202" t="str">
        <f t="shared" si="21"/>
        <v>Michael</v>
      </c>
      <c r="M202" t="str">
        <f>VLOOKUP(L202,References!$A$2:$B$16,2,FALSE)</f>
        <v>AKCOVA</v>
      </c>
      <c r="N202" s="19" t="str">
        <f>IF(M202=M203,"N","Y")</f>
        <v>N</v>
      </c>
      <c r="O202">
        <f>SUM(I202:I203)</f>
        <v>194</v>
      </c>
      <c r="P202">
        <f t="shared" si="23"/>
        <v>129</v>
      </c>
    </row>
    <row r="203" spans="1:16" hidden="1" x14ac:dyDescent="0.3">
      <c r="A203" t="str">
        <f t="shared" si="22"/>
        <v>2014Abby8</v>
      </c>
      <c r="B203">
        <f t="shared" si="18"/>
        <v>37</v>
      </c>
      <c r="C203">
        <f t="shared" si="19"/>
        <v>119</v>
      </c>
      <c r="D203" t="s">
        <v>27</v>
      </c>
      <c r="E203" t="str">
        <f>D202</f>
        <v>Michael</v>
      </c>
      <c r="F203">
        <v>2014</v>
      </c>
      <c r="G203">
        <v>8</v>
      </c>
      <c r="H203">
        <v>1.2</v>
      </c>
      <c r="I203">
        <v>129</v>
      </c>
      <c r="J203">
        <f>I203-I202</f>
        <v>64</v>
      </c>
      <c r="K203" t="str">
        <f t="shared" si="20"/>
        <v>W</v>
      </c>
      <c r="L203" t="str">
        <f t="shared" si="21"/>
        <v>Abby</v>
      </c>
      <c r="M203" t="str">
        <f>VLOOKUP(L203,References!$A$2:$B$16,2,FALSE)</f>
        <v>AKCOVA</v>
      </c>
      <c r="N203" s="19" t="str">
        <f>IF(M203=M202,"N","Y")</f>
        <v>N</v>
      </c>
      <c r="O203">
        <f>SUM(I202:I203)</f>
        <v>194</v>
      </c>
      <c r="P203">
        <f t="shared" si="23"/>
        <v>65</v>
      </c>
    </row>
    <row r="204" spans="1:16" hidden="1" x14ac:dyDescent="0.3">
      <c r="A204" t="str">
        <f t="shared" si="22"/>
        <v>2014Matt8</v>
      </c>
      <c r="B204">
        <f t="shared" si="18"/>
        <v>1738</v>
      </c>
      <c r="C204">
        <f t="shared" si="19"/>
        <v>1241</v>
      </c>
      <c r="D204" t="s">
        <v>30</v>
      </c>
      <c r="E204" t="str">
        <f>D205</f>
        <v>Mark</v>
      </c>
      <c r="F204">
        <v>2014</v>
      </c>
      <c r="G204">
        <v>8</v>
      </c>
      <c r="H204">
        <v>2.1</v>
      </c>
      <c r="I204">
        <v>84</v>
      </c>
      <c r="J204">
        <f>I204-I205</f>
        <v>-29</v>
      </c>
      <c r="K204" t="str">
        <f t="shared" si="20"/>
        <v>L</v>
      </c>
      <c r="L204" t="str">
        <f t="shared" si="21"/>
        <v>Matt</v>
      </c>
      <c r="M204" t="str">
        <f>VLOOKUP(L204,References!$A$2:$B$16,2,FALSE)</f>
        <v>TEXAROK</v>
      </c>
      <c r="N204" s="19" t="str">
        <f>IF(M204=M205,"N","Y")</f>
        <v>Y</v>
      </c>
      <c r="O204">
        <f>SUM(I204:I205)</f>
        <v>197</v>
      </c>
      <c r="P204">
        <f t="shared" si="23"/>
        <v>113</v>
      </c>
    </row>
    <row r="205" spans="1:16" hidden="1" x14ac:dyDescent="0.3">
      <c r="A205" t="str">
        <f t="shared" si="22"/>
        <v>2014Mark8</v>
      </c>
      <c r="B205">
        <f t="shared" si="18"/>
        <v>341</v>
      </c>
      <c r="C205">
        <f t="shared" si="19"/>
        <v>339</v>
      </c>
      <c r="D205" t="s">
        <v>22</v>
      </c>
      <c r="E205" t="str">
        <f>D204</f>
        <v>Matt</v>
      </c>
      <c r="F205">
        <v>2014</v>
      </c>
      <c r="G205">
        <v>8</v>
      </c>
      <c r="H205">
        <v>2.2000000000000002</v>
      </c>
      <c r="I205">
        <v>113</v>
      </c>
      <c r="J205">
        <f>I205-I204</f>
        <v>29</v>
      </c>
      <c r="K205" t="str">
        <f t="shared" si="20"/>
        <v>W</v>
      </c>
      <c r="L205" t="str">
        <f t="shared" si="21"/>
        <v>Mark</v>
      </c>
      <c r="M205" t="str">
        <f>VLOOKUP(L205,References!$A$2:$B$16,2,FALSE)</f>
        <v>AKCOVA</v>
      </c>
      <c r="N205" s="19" t="str">
        <f>IF(M205=M204,"N","Y")</f>
        <v>Y</v>
      </c>
      <c r="O205">
        <f>SUM(I204:I205)</f>
        <v>197</v>
      </c>
      <c r="P205">
        <f t="shared" si="23"/>
        <v>84</v>
      </c>
    </row>
    <row r="206" spans="1:16" hidden="1" x14ac:dyDescent="0.3">
      <c r="A206" t="str">
        <f t="shared" si="22"/>
        <v>2014David8</v>
      </c>
      <c r="B206">
        <f t="shared" si="18"/>
        <v>685</v>
      </c>
      <c r="C206">
        <f t="shared" si="19"/>
        <v>566</v>
      </c>
      <c r="D206" t="s">
        <v>29</v>
      </c>
      <c r="E206" t="str">
        <f>D207</f>
        <v>Brian</v>
      </c>
      <c r="F206">
        <v>2014</v>
      </c>
      <c r="G206">
        <v>8</v>
      </c>
      <c r="H206">
        <v>3.1</v>
      </c>
      <c r="I206">
        <v>104</v>
      </c>
      <c r="J206">
        <f>I206-I207</f>
        <v>13</v>
      </c>
      <c r="K206" t="str">
        <f t="shared" si="20"/>
        <v>W</v>
      </c>
      <c r="L206" t="str">
        <f t="shared" si="21"/>
        <v>David</v>
      </c>
      <c r="M206" t="str">
        <f>VLOOKUP(L206,References!$A$2:$B$16,2,FALSE)</f>
        <v>TEXAROK</v>
      </c>
      <c r="N206" s="19" t="str">
        <f>IF(M206=M207,"N","Y")</f>
        <v>N</v>
      </c>
      <c r="O206">
        <f>SUM(I206:I207)</f>
        <v>195</v>
      </c>
      <c r="P206">
        <f t="shared" si="23"/>
        <v>91</v>
      </c>
    </row>
    <row r="207" spans="1:16" hidden="1" x14ac:dyDescent="0.3">
      <c r="A207" t="str">
        <f t="shared" si="22"/>
        <v>2014Brian8</v>
      </c>
      <c r="B207">
        <f t="shared" si="18"/>
        <v>1381</v>
      </c>
      <c r="C207">
        <f t="shared" si="19"/>
        <v>992</v>
      </c>
      <c r="D207" t="s">
        <v>26</v>
      </c>
      <c r="E207" t="str">
        <f>D206</f>
        <v>David</v>
      </c>
      <c r="F207">
        <v>2014</v>
      </c>
      <c r="G207">
        <v>8</v>
      </c>
      <c r="H207">
        <v>3.2</v>
      </c>
      <c r="I207">
        <v>91</v>
      </c>
      <c r="J207">
        <f>I207-I206</f>
        <v>-13</v>
      </c>
      <c r="K207" t="str">
        <f t="shared" si="20"/>
        <v>L</v>
      </c>
      <c r="L207" t="str">
        <f t="shared" si="21"/>
        <v>Brian</v>
      </c>
      <c r="M207" t="str">
        <f>VLOOKUP(L207,References!$A$2:$B$16,2,FALSE)</f>
        <v>TEXAROK</v>
      </c>
      <c r="N207" s="19" t="str">
        <f>IF(M207=M206,"N","Y")</f>
        <v>N</v>
      </c>
      <c r="O207">
        <f>SUM(I206:I207)</f>
        <v>195</v>
      </c>
      <c r="P207">
        <f t="shared" si="23"/>
        <v>104</v>
      </c>
    </row>
    <row r="208" spans="1:16" hidden="1" x14ac:dyDescent="0.3">
      <c r="A208" t="str">
        <f t="shared" si="22"/>
        <v>2014Emily8</v>
      </c>
      <c r="B208">
        <f t="shared" si="18"/>
        <v>2072</v>
      </c>
      <c r="C208">
        <f t="shared" si="19"/>
        <v>1210</v>
      </c>
      <c r="D208" t="s">
        <v>43</v>
      </c>
      <c r="E208" t="str">
        <f>D209</f>
        <v>Watty</v>
      </c>
      <c r="F208">
        <v>2014</v>
      </c>
      <c r="G208">
        <v>8</v>
      </c>
      <c r="H208">
        <v>4.0999999999999996</v>
      </c>
      <c r="I208">
        <v>85</v>
      </c>
      <c r="J208">
        <f>I208-I209</f>
        <v>-72</v>
      </c>
      <c r="K208" t="str">
        <f t="shared" si="20"/>
        <v>L</v>
      </c>
      <c r="L208" t="str">
        <f t="shared" si="21"/>
        <v>Emily</v>
      </c>
      <c r="M208" t="str">
        <f>VLOOKUP(L208,References!$A$2:$B$16,2,FALSE)</f>
        <v>TEXAROK</v>
      </c>
      <c r="N208" s="19" t="str">
        <f>IF(M208=M209,"N","Y")</f>
        <v>Y</v>
      </c>
      <c r="O208">
        <f>SUM(I208:I209)</f>
        <v>242</v>
      </c>
      <c r="P208">
        <f t="shared" si="23"/>
        <v>157</v>
      </c>
    </row>
    <row r="209" spans="1:16" hidden="1" x14ac:dyDescent="0.3">
      <c r="A209" t="str">
        <f t="shared" si="22"/>
        <v>2014Watty8</v>
      </c>
      <c r="B209">
        <f t="shared" si="18"/>
        <v>18</v>
      </c>
      <c r="C209">
        <f t="shared" si="19"/>
        <v>13</v>
      </c>
      <c r="D209" t="s">
        <v>24</v>
      </c>
      <c r="E209" t="str">
        <f>D208</f>
        <v>Emily</v>
      </c>
      <c r="F209">
        <v>2014</v>
      </c>
      <c r="G209">
        <v>8</v>
      </c>
      <c r="H209">
        <v>4.2</v>
      </c>
      <c r="I209" s="35">
        <v>157</v>
      </c>
      <c r="J209">
        <f>I209-I208</f>
        <v>72</v>
      </c>
      <c r="K209" t="str">
        <f t="shared" si="20"/>
        <v>W</v>
      </c>
      <c r="L209" t="str">
        <f t="shared" si="21"/>
        <v>Watty</v>
      </c>
      <c r="M209" t="str">
        <f>VLOOKUP(L209,References!$A$2:$B$16,2,FALSE)</f>
        <v>AKCOVA</v>
      </c>
      <c r="N209" s="19" t="str">
        <f>IF(M209=M208,"N","Y")</f>
        <v>Y</v>
      </c>
      <c r="O209">
        <f>SUM(I208:I209)</f>
        <v>242</v>
      </c>
      <c r="P209">
        <f t="shared" si="23"/>
        <v>85</v>
      </c>
    </row>
    <row r="210" spans="1:16" hidden="1" x14ac:dyDescent="0.3">
      <c r="A210" t="str">
        <f t="shared" si="22"/>
        <v>2014Russell8</v>
      </c>
      <c r="B210">
        <f t="shared" si="18"/>
        <v>187</v>
      </c>
      <c r="C210">
        <f t="shared" si="19"/>
        <v>746</v>
      </c>
      <c r="D210" t="s">
        <v>28</v>
      </c>
      <c r="E210" t="str">
        <f>D211</f>
        <v>BR</v>
      </c>
      <c r="F210">
        <v>2014</v>
      </c>
      <c r="G210">
        <v>8</v>
      </c>
      <c r="H210">
        <v>5.0999999999999996</v>
      </c>
      <c r="I210">
        <v>98</v>
      </c>
      <c r="J210">
        <f>I210-I211</f>
        <v>40</v>
      </c>
      <c r="K210" t="str">
        <f t="shared" si="20"/>
        <v>W</v>
      </c>
      <c r="L210" t="str">
        <f t="shared" si="21"/>
        <v>Russell</v>
      </c>
      <c r="M210" t="str">
        <f>VLOOKUP(L210,References!$A$2:$B$16,2,FALSE)</f>
        <v>TEXAROK</v>
      </c>
      <c r="N210" s="19" t="str">
        <f>IF(M210=M211,"N","Y")</f>
        <v>Y</v>
      </c>
      <c r="O210">
        <f>SUM(I210:I211)</f>
        <v>156</v>
      </c>
      <c r="P210">
        <f t="shared" si="23"/>
        <v>58</v>
      </c>
    </row>
    <row r="211" spans="1:16" hidden="1" x14ac:dyDescent="0.3">
      <c r="A211" t="str">
        <f t="shared" si="22"/>
        <v>2014BR8</v>
      </c>
      <c r="B211">
        <f t="shared" si="18"/>
        <v>1895</v>
      </c>
      <c r="C211">
        <f t="shared" si="19"/>
        <v>1974</v>
      </c>
      <c r="D211" t="s">
        <v>25</v>
      </c>
      <c r="E211" t="str">
        <f>D210</f>
        <v>Russell</v>
      </c>
      <c r="F211">
        <v>2014</v>
      </c>
      <c r="G211">
        <v>8</v>
      </c>
      <c r="H211">
        <v>5.2</v>
      </c>
      <c r="I211">
        <v>58</v>
      </c>
      <c r="J211">
        <f>I211-I210</f>
        <v>-40</v>
      </c>
      <c r="K211" t="str">
        <f t="shared" si="20"/>
        <v>L</v>
      </c>
      <c r="L211" t="str">
        <f t="shared" si="21"/>
        <v>BR</v>
      </c>
      <c r="M211" t="str">
        <f>VLOOKUP(L211,References!$A$2:$B$16,2,FALSE)</f>
        <v>AKCOVA</v>
      </c>
      <c r="N211" s="19" t="str">
        <f>IF(M211=M210,"N","Y")</f>
        <v>Y</v>
      </c>
      <c r="O211">
        <f>SUM(I210:I211)</f>
        <v>156</v>
      </c>
      <c r="P211">
        <f t="shared" si="23"/>
        <v>98</v>
      </c>
    </row>
    <row r="212" spans="1:16" hidden="1" x14ac:dyDescent="0.3">
      <c r="A212" t="str">
        <f t="shared" si="22"/>
        <v>2014David9</v>
      </c>
      <c r="B212">
        <f t="shared" si="18"/>
        <v>548</v>
      </c>
      <c r="C212">
        <f t="shared" si="19"/>
        <v>746</v>
      </c>
      <c r="D212" t="s">
        <v>29</v>
      </c>
      <c r="E212" t="str">
        <f>D213</f>
        <v>Michael</v>
      </c>
      <c r="F212">
        <v>2014</v>
      </c>
      <c r="G212">
        <v>9</v>
      </c>
      <c r="H212">
        <v>1.1000000000000001</v>
      </c>
      <c r="I212">
        <v>98</v>
      </c>
      <c r="J212">
        <f>I212-I213</f>
        <v>19</v>
      </c>
      <c r="K212" t="str">
        <f t="shared" si="20"/>
        <v>W</v>
      </c>
      <c r="L212" t="str">
        <f t="shared" si="21"/>
        <v>David</v>
      </c>
      <c r="M212" t="str">
        <f>VLOOKUP(L212,References!$A$2:$B$16,2,FALSE)</f>
        <v>TEXAROK</v>
      </c>
      <c r="N212" s="19" t="str">
        <f>IF(M212=M213,"N","Y")</f>
        <v>Y</v>
      </c>
      <c r="O212">
        <f>SUM(I212:I213)</f>
        <v>177</v>
      </c>
      <c r="P212">
        <f t="shared" si="23"/>
        <v>79</v>
      </c>
    </row>
    <row r="213" spans="1:16" hidden="1" x14ac:dyDescent="0.3">
      <c r="A213" t="str">
        <f t="shared" si="22"/>
        <v>2014Michael9</v>
      </c>
      <c r="B213">
        <f t="shared" si="18"/>
        <v>1523</v>
      </c>
      <c r="C213">
        <f t="shared" si="19"/>
        <v>1439</v>
      </c>
      <c r="D213" t="s">
        <v>23</v>
      </c>
      <c r="E213" t="str">
        <f>D212</f>
        <v>David</v>
      </c>
      <c r="F213">
        <v>2014</v>
      </c>
      <c r="G213">
        <v>9</v>
      </c>
      <c r="H213">
        <v>1.2</v>
      </c>
      <c r="I213">
        <v>79</v>
      </c>
      <c r="J213">
        <f>I213-I212</f>
        <v>-19</v>
      </c>
      <c r="K213" t="str">
        <f t="shared" si="20"/>
        <v>L</v>
      </c>
      <c r="L213" t="str">
        <f t="shared" si="21"/>
        <v>Michael</v>
      </c>
      <c r="M213" t="str">
        <f>VLOOKUP(L213,References!$A$2:$B$16,2,FALSE)</f>
        <v>AKCOVA</v>
      </c>
      <c r="N213" s="19" t="str">
        <f>IF(M213=M212,"N","Y")</f>
        <v>Y</v>
      </c>
      <c r="O213">
        <f>SUM(I212:I213)</f>
        <v>177</v>
      </c>
      <c r="P213">
        <f t="shared" si="23"/>
        <v>98</v>
      </c>
    </row>
    <row r="214" spans="1:16" hidden="1" x14ac:dyDescent="0.3">
      <c r="A214" t="str">
        <f t="shared" si="22"/>
        <v>2014Emily9</v>
      </c>
      <c r="B214">
        <f t="shared" si="18"/>
        <v>548</v>
      </c>
      <c r="C214">
        <f t="shared" si="19"/>
        <v>1595</v>
      </c>
      <c r="D214" t="s">
        <v>43</v>
      </c>
      <c r="E214" t="str">
        <f>D215</f>
        <v>Russell</v>
      </c>
      <c r="F214">
        <v>2014</v>
      </c>
      <c r="G214">
        <v>9</v>
      </c>
      <c r="H214">
        <v>2.1</v>
      </c>
      <c r="I214">
        <v>75</v>
      </c>
      <c r="J214">
        <f>I214-I215</f>
        <v>19</v>
      </c>
      <c r="K214" t="str">
        <f t="shared" si="20"/>
        <v>W</v>
      </c>
      <c r="L214" t="str">
        <f t="shared" si="21"/>
        <v>Emily</v>
      </c>
      <c r="M214" t="str">
        <f>VLOOKUP(L214,References!$A$2:$B$16,2,FALSE)</f>
        <v>TEXAROK</v>
      </c>
      <c r="N214" s="19" t="str">
        <f>IF(M214=M215,"N","Y")</f>
        <v>N</v>
      </c>
      <c r="O214">
        <f>SUM(I214:I215)</f>
        <v>131</v>
      </c>
      <c r="P214">
        <f t="shared" si="23"/>
        <v>56</v>
      </c>
    </row>
    <row r="215" spans="1:16" hidden="1" x14ac:dyDescent="0.3">
      <c r="A215" t="str">
        <f t="shared" si="22"/>
        <v>2014Russell9</v>
      </c>
      <c r="B215">
        <f t="shared" si="18"/>
        <v>1523</v>
      </c>
      <c r="C215">
        <f t="shared" si="19"/>
        <v>2001</v>
      </c>
      <c r="D215" t="s">
        <v>28</v>
      </c>
      <c r="E215" t="str">
        <f>D214</f>
        <v>Emily</v>
      </c>
      <c r="F215">
        <v>2014</v>
      </c>
      <c r="G215">
        <v>9</v>
      </c>
      <c r="H215">
        <v>2.2000000000000002</v>
      </c>
      <c r="I215">
        <v>56</v>
      </c>
      <c r="J215">
        <f>I215-I214</f>
        <v>-19</v>
      </c>
      <c r="K215" t="str">
        <f t="shared" si="20"/>
        <v>L</v>
      </c>
      <c r="L215" t="str">
        <f t="shared" si="21"/>
        <v>Russell</v>
      </c>
      <c r="M215" t="str">
        <f>VLOOKUP(L215,References!$A$2:$B$16,2,FALSE)</f>
        <v>TEXAROK</v>
      </c>
      <c r="N215" s="19" t="str">
        <f>IF(M215=M214,"N","Y")</f>
        <v>N</v>
      </c>
      <c r="O215">
        <f>SUM(I214:I215)</f>
        <v>131</v>
      </c>
      <c r="P215">
        <f t="shared" si="23"/>
        <v>75</v>
      </c>
    </row>
    <row r="216" spans="1:16" hidden="1" x14ac:dyDescent="0.3">
      <c r="A216" t="str">
        <f t="shared" si="22"/>
        <v>2014Abby9</v>
      </c>
      <c r="B216">
        <f t="shared" si="18"/>
        <v>150</v>
      </c>
      <c r="C216">
        <f t="shared" si="19"/>
        <v>678</v>
      </c>
      <c r="D216" t="s">
        <v>27</v>
      </c>
      <c r="E216" t="str">
        <f>D217</f>
        <v>BR</v>
      </c>
      <c r="F216">
        <v>2014</v>
      </c>
      <c r="G216">
        <v>9</v>
      </c>
      <c r="H216">
        <v>3.1</v>
      </c>
      <c r="I216">
        <v>100</v>
      </c>
      <c r="J216">
        <f>I216-I217</f>
        <v>44</v>
      </c>
      <c r="K216" t="str">
        <f t="shared" si="20"/>
        <v>W</v>
      </c>
      <c r="L216" t="str">
        <f t="shared" si="21"/>
        <v>Abby</v>
      </c>
      <c r="M216" t="str">
        <f>VLOOKUP(L216,References!$A$2:$B$16,2,FALSE)</f>
        <v>AKCOVA</v>
      </c>
      <c r="N216" s="19" t="str">
        <f>IF(M216=M217,"N","Y")</f>
        <v>N</v>
      </c>
      <c r="O216">
        <f>SUM(I216:I217)</f>
        <v>156</v>
      </c>
      <c r="P216">
        <f t="shared" si="23"/>
        <v>56</v>
      </c>
    </row>
    <row r="217" spans="1:16" hidden="1" x14ac:dyDescent="0.3">
      <c r="A217" t="str">
        <f t="shared" si="22"/>
        <v>2014BR9</v>
      </c>
      <c r="B217">
        <f t="shared" si="18"/>
        <v>1933</v>
      </c>
      <c r="C217">
        <f t="shared" si="19"/>
        <v>2001</v>
      </c>
      <c r="D217" t="s">
        <v>25</v>
      </c>
      <c r="E217" t="str">
        <f>D216</f>
        <v>Abby</v>
      </c>
      <c r="F217">
        <v>2014</v>
      </c>
      <c r="G217">
        <v>9</v>
      </c>
      <c r="H217">
        <v>3.2</v>
      </c>
      <c r="I217">
        <v>56</v>
      </c>
      <c r="J217">
        <f>I217-I216</f>
        <v>-44</v>
      </c>
      <c r="K217" t="str">
        <f t="shared" si="20"/>
        <v>L</v>
      </c>
      <c r="L217" t="str">
        <f t="shared" si="21"/>
        <v>BR</v>
      </c>
      <c r="M217" t="str">
        <f>VLOOKUP(L217,References!$A$2:$B$16,2,FALSE)</f>
        <v>AKCOVA</v>
      </c>
      <c r="N217" s="19" t="str">
        <f>IF(M217=M216,"N","Y")</f>
        <v>N</v>
      </c>
      <c r="O217">
        <f>SUM(I216:I217)</f>
        <v>156</v>
      </c>
      <c r="P217">
        <f t="shared" si="23"/>
        <v>100</v>
      </c>
    </row>
    <row r="218" spans="1:16" hidden="1" x14ac:dyDescent="0.3">
      <c r="A218" t="str">
        <f t="shared" si="22"/>
        <v>2014Watty9</v>
      </c>
      <c r="B218">
        <f t="shared" si="18"/>
        <v>685</v>
      </c>
      <c r="C218">
        <f t="shared" si="19"/>
        <v>248</v>
      </c>
      <c r="D218" t="s">
        <v>24</v>
      </c>
      <c r="E218" t="str">
        <f>D219</f>
        <v>Matt</v>
      </c>
      <c r="F218">
        <v>2014</v>
      </c>
      <c r="G218">
        <v>9</v>
      </c>
      <c r="H218">
        <v>4.0999999999999996</v>
      </c>
      <c r="I218">
        <v>119</v>
      </c>
      <c r="J218">
        <f>I218-I219</f>
        <v>13</v>
      </c>
      <c r="K218" t="str">
        <f t="shared" si="20"/>
        <v>W</v>
      </c>
      <c r="L218" t="str">
        <f t="shared" si="21"/>
        <v>Watty</v>
      </c>
      <c r="M218" t="str">
        <f>VLOOKUP(L218,References!$A$2:$B$16,2,FALSE)</f>
        <v>AKCOVA</v>
      </c>
      <c r="N218" s="19" t="str">
        <f>IF(M218=M219,"N","Y")</f>
        <v>Y</v>
      </c>
      <c r="O218">
        <f>SUM(I218:I219)</f>
        <v>225</v>
      </c>
      <c r="P218">
        <f t="shared" si="23"/>
        <v>106</v>
      </c>
    </row>
    <row r="219" spans="1:16" hidden="1" x14ac:dyDescent="0.3">
      <c r="A219" t="str">
        <f t="shared" si="22"/>
        <v>2014Matt9</v>
      </c>
      <c r="B219">
        <f t="shared" si="18"/>
        <v>1381</v>
      </c>
      <c r="C219">
        <f t="shared" si="19"/>
        <v>509</v>
      </c>
      <c r="D219" t="s">
        <v>30</v>
      </c>
      <c r="E219" t="str">
        <f>D218</f>
        <v>Watty</v>
      </c>
      <c r="F219">
        <v>2014</v>
      </c>
      <c r="G219">
        <v>9</v>
      </c>
      <c r="H219">
        <v>4.2</v>
      </c>
      <c r="I219">
        <v>106</v>
      </c>
      <c r="J219">
        <f>I219-I218</f>
        <v>-13</v>
      </c>
      <c r="K219" t="str">
        <f t="shared" si="20"/>
        <v>L</v>
      </c>
      <c r="L219" t="str">
        <f t="shared" si="21"/>
        <v>Matt</v>
      </c>
      <c r="M219" t="str">
        <f>VLOOKUP(L219,References!$A$2:$B$16,2,FALSE)</f>
        <v>TEXAROK</v>
      </c>
      <c r="N219" s="19" t="str">
        <f>IF(M219=M218,"N","Y")</f>
        <v>Y</v>
      </c>
      <c r="O219">
        <f>SUM(I218:I219)</f>
        <v>225</v>
      </c>
      <c r="P219">
        <f t="shared" si="23"/>
        <v>119</v>
      </c>
    </row>
    <row r="220" spans="1:16" hidden="1" x14ac:dyDescent="0.3">
      <c r="A220" t="str">
        <f t="shared" si="22"/>
        <v>2014Brian9</v>
      </c>
      <c r="B220">
        <f t="shared" si="18"/>
        <v>1336</v>
      </c>
      <c r="C220">
        <f t="shared" si="19"/>
        <v>857</v>
      </c>
      <c r="D220" t="s">
        <v>26</v>
      </c>
      <c r="E220" t="str">
        <f>D221</f>
        <v>Mark</v>
      </c>
      <c r="F220">
        <v>2014</v>
      </c>
      <c r="G220">
        <v>9</v>
      </c>
      <c r="H220">
        <v>5.0999999999999996</v>
      </c>
      <c r="I220">
        <v>95</v>
      </c>
      <c r="J220">
        <f>I220-I221</f>
        <v>-11</v>
      </c>
      <c r="K220" t="str">
        <f t="shared" si="20"/>
        <v>L</v>
      </c>
      <c r="L220" t="str">
        <f t="shared" si="21"/>
        <v>Brian</v>
      </c>
      <c r="M220" t="str">
        <f>VLOOKUP(L220,References!$A$2:$B$16,2,FALSE)</f>
        <v>TEXAROK</v>
      </c>
      <c r="N220" s="19" t="str">
        <f>IF(M220=M221,"N","Y")</f>
        <v>Y</v>
      </c>
      <c r="O220">
        <f>SUM(I220:I221)</f>
        <v>201</v>
      </c>
      <c r="P220">
        <f t="shared" si="23"/>
        <v>106</v>
      </c>
    </row>
    <row r="221" spans="1:16" hidden="1" x14ac:dyDescent="0.3">
      <c r="A221" t="str">
        <f t="shared" si="22"/>
        <v>2014Mark9</v>
      </c>
      <c r="B221">
        <f t="shared" si="18"/>
        <v>737</v>
      </c>
      <c r="C221">
        <f t="shared" si="19"/>
        <v>509</v>
      </c>
      <c r="D221" t="s">
        <v>22</v>
      </c>
      <c r="E221" t="str">
        <f>D220</f>
        <v>Brian</v>
      </c>
      <c r="F221">
        <v>2014</v>
      </c>
      <c r="G221">
        <v>9</v>
      </c>
      <c r="H221">
        <v>5.2</v>
      </c>
      <c r="I221">
        <v>106</v>
      </c>
      <c r="J221">
        <f>I221-I220</f>
        <v>11</v>
      </c>
      <c r="K221" t="str">
        <f t="shared" si="20"/>
        <v>W</v>
      </c>
      <c r="L221" t="str">
        <f t="shared" si="21"/>
        <v>Mark</v>
      </c>
      <c r="M221" t="str">
        <f>VLOOKUP(L221,References!$A$2:$B$16,2,FALSE)</f>
        <v>AKCOVA</v>
      </c>
      <c r="N221" s="19" t="str">
        <f>IF(M221=M220,"N","Y")</f>
        <v>Y</v>
      </c>
      <c r="O221">
        <f>SUM(I220:I221)</f>
        <v>201</v>
      </c>
      <c r="P221">
        <f t="shared" si="23"/>
        <v>95</v>
      </c>
    </row>
    <row r="222" spans="1:16" hidden="1" x14ac:dyDescent="0.3">
      <c r="A222" t="str">
        <f t="shared" si="22"/>
        <v>2014Matt10</v>
      </c>
      <c r="B222">
        <f t="shared" si="18"/>
        <v>89</v>
      </c>
      <c r="C222">
        <f t="shared" si="19"/>
        <v>61</v>
      </c>
      <c r="D222" t="s">
        <v>30</v>
      </c>
      <c r="E222" t="str">
        <f>D223</f>
        <v>Michael</v>
      </c>
      <c r="F222">
        <v>2014</v>
      </c>
      <c r="G222">
        <v>10</v>
      </c>
      <c r="H222">
        <v>1.1000000000000001</v>
      </c>
      <c r="I222">
        <v>139</v>
      </c>
      <c r="J222">
        <f>I222-I223</f>
        <v>53</v>
      </c>
      <c r="K222" t="str">
        <f t="shared" si="20"/>
        <v>W</v>
      </c>
      <c r="L222" t="str">
        <f t="shared" si="21"/>
        <v>Matt</v>
      </c>
      <c r="M222" t="str">
        <f>VLOOKUP(L222,References!$A$2:$B$16,2,FALSE)</f>
        <v>TEXAROK</v>
      </c>
      <c r="N222" s="19" t="str">
        <f>IF(M222=M223,"N","Y")</f>
        <v>Y</v>
      </c>
      <c r="O222">
        <f>SUM(I222:I223)</f>
        <v>225</v>
      </c>
      <c r="P222">
        <f t="shared" si="23"/>
        <v>86</v>
      </c>
    </row>
    <row r="223" spans="1:16" hidden="1" x14ac:dyDescent="0.3">
      <c r="A223" t="str">
        <f t="shared" si="22"/>
        <v>2014Michael10</v>
      </c>
      <c r="B223">
        <f t="shared" si="18"/>
        <v>1997</v>
      </c>
      <c r="C223">
        <f t="shared" si="19"/>
        <v>1173</v>
      </c>
      <c r="D223" t="s">
        <v>23</v>
      </c>
      <c r="E223" t="str">
        <f>D222</f>
        <v>Matt</v>
      </c>
      <c r="F223">
        <v>2014</v>
      </c>
      <c r="G223">
        <v>10</v>
      </c>
      <c r="H223">
        <v>1.2</v>
      </c>
      <c r="I223">
        <v>86</v>
      </c>
      <c r="J223">
        <f>I223-I222</f>
        <v>-53</v>
      </c>
      <c r="K223" t="str">
        <f t="shared" si="20"/>
        <v>L</v>
      </c>
      <c r="L223" t="str">
        <f t="shared" si="21"/>
        <v>Michael</v>
      </c>
      <c r="M223" t="str">
        <f>VLOOKUP(L223,References!$A$2:$B$16,2,FALSE)</f>
        <v>AKCOVA</v>
      </c>
      <c r="N223" s="19" t="str">
        <f>IF(M223=M222,"N","Y")</f>
        <v>Y</v>
      </c>
      <c r="O223">
        <f>SUM(I222:I223)</f>
        <v>225</v>
      </c>
      <c r="P223">
        <f t="shared" si="23"/>
        <v>139</v>
      </c>
    </row>
    <row r="224" spans="1:16" hidden="1" x14ac:dyDescent="0.3">
      <c r="A224" t="str">
        <f t="shared" si="22"/>
        <v>2014BR10</v>
      </c>
      <c r="B224">
        <f t="shared" si="18"/>
        <v>450</v>
      </c>
      <c r="C224">
        <f t="shared" si="19"/>
        <v>1173</v>
      </c>
      <c r="D224" t="s">
        <v>25</v>
      </c>
      <c r="E224" t="str">
        <f>D225</f>
        <v>Watty</v>
      </c>
      <c r="F224">
        <v>2014</v>
      </c>
      <c r="G224">
        <v>10</v>
      </c>
      <c r="H224">
        <v>2.1</v>
      </c>
      <c r="I224">
        <v>86</v>
      </c>
      <c r="J224">
        <f>I224-I225</f>
        <v>23</v>
      </c>
      <c r="K224" t="str">
        <f t="shared" si="20"/>
        <v>W</v>
      </c>
      <c r="L224" t="str">
        <f t="shared" si="21"/>
        <v>BR</v>
      </c>
      <c r="M224" t="str">
        <f>VLOOKUP(L224,References!$A$2:$B$16,2,FALSE)</f>
        <v>AKCOVA</v>
      </c>
      <c r="N224" s="19" t="str">
        <f>IF(M224=M225,"N","Y")</f>
        <v>N</v>
      </c>
      <c r="O224">
        <f>SUM(I224:I225)</f>
        <v>149</v>
      </c>
      <c r="P224">
        <f t="shared" si="23"/>
        <v>63</v>
      </c>
    </row>
    <row r="225" spans="1:16" hidden="1" x14ac:dyDescent="0.3">
      <c r="A225" t="str">
        <f t="shared" si="22"/>
        <v>2014Watty10</v>
      </c>
      <c r="B225">
        <f t="shared" si="18"/>
        <v>1625</v>
      </c>
      <c r="C225">
        <f t="shared" si="19"/>
        <v>1885</v>
      </c>
      <c r="D225" t="s">
        <v>24</v>
      </c>
      <c r="E225" t="str">
        <f>D224</f>
        <v>BR</v>
      </c>
      <c r="F225">
        <v>2014</v>
      </c>
      <c r="G225">
        <v>10</v>
      </c>
      <c r="H225">
        <v>2.2000000000000002</v>
      </c>
      <c r="I225">
        <v>63</v>
      </c>
      <c r="J225">
        <f>I225-I224</f>
        <v>-23</v>
      </c>
      <c r="K225" t="str">
        <f t="shared" si="20"/>
        <v>L</v>
      </c>
      <c r="L225" t="str">
        <f t="shared" si="21"/>
        <v>Watty</v>
      </c>
      <c r="M225" t="str">
        <f>VLOOKUP(L225,References!$A$2:$B$16,2,FALSE)</f>
        <v>AKCOVA</v>
      </c>
      <c r="N225" s="19" t="str">
        <f>IF(M225=M224,"N","Y")</f>
        <v>N</v>
      </c>
      <c r="O225">
        <f>SUM(I224:I225)</f>
        <v>149</v>
      </c>
      <c r="P225">
        <f t="shared" si="23"/>
        <v>86</v>
      </c>
    </row>
    <row r="226" spans="1:16" hidden="1" x14ac:dyDescent="0.3">
      <c r="A226" t="str">
        <f t="shared" si="22"/>
        <v>2014Abby10</v>
      </c>
      <c r="B226">
        <f t="shared" si="18"/>
        <v>489</v>
      </c>
      <c r="C226">
        <f t="shared" si="19"/>
        <v>1173</v>
      </c>
      <c r="D226" t="s">
        <v>27</v>
      </c>
      <c r="E226" t="str">
        <f>D227</f>
        <v>Brian</v>
      </c>
      <c r="F226">
        <v>2014</v>
      </c>
      <c r="G226">
        <v>10</v>
      </c>
      <c r="H226">
        <v>3.1</v>
      </c>
      <c r="I226">
        <v>86</v>
      </c>
      <c r="J226">
        <f>I226-I227</f>
        <v>21</v>
      </c>
      <c r="K226" t="str">
        <f t="shared" si="20"/>
        <v>W</v>
      </c>
      <c r="L226" t="str">
        <f t="shared" si="21"/>
        <v>Abby</v>
      </c>
      <c r="M226" t="str">
        <f>VLOOKUP(L226,References!$A$2:$B$16,2,FALSE)</f>
        <v>AKCOVA</v>
      </c>
      <c r="N226" s="19" t="str">
        <f>IF(M226=M227,"N","Y")</f>
        <v>Y</v>
      </c>
      <c r="O226">
        <f>SUM(I226:I227)</f>
        <v>151</v>
      </c>
      <c r="P226">
        <f t="shared" si="23"/>
        <v>65</v>
      </c>
    </row>
    <row r="227" spans="1:16" hidden="1" x14ac:dyDescent="0.3">
      <c r="A227" t="str">
        <f t="shared" si="22"/>
        <v>2014Brian10</v>
      </c>
      <c r="B227">
        <f t="shared" si="18"/>
        <v>1577</v>
      </c>
      <c r="C227">
        <f t="shared" si="19"/>
        <v>1853</v>
      </c>
      <c r="D227" t="s">
        <v>26</v>
      </c>
      <c r="E227" t="str">
        <f>D226</f>
        <v>Abby</v>
      </c>
      <c r="F227">
        <v>2014</v>
      </c>
      <c r="G227">
        <v>10</v>
      </c>
      <c r="H227">
        <v>3.2</v>
      </c>
      <c r="I227">
        <v>65</v>
      </c>
      <c r="J227">
        <f>I227-I226</f>
        <v>-21</v>
      </c>
      <c r="K227" t="str">
        <f t="shared" si="20"/>
        <v>L</v>
      </c>
      <c r="L227" t="str">
        <f t="shared" si="21"/>
        <v>Brian</v>
      </c>
      <c r="M227" t="str">
        <f>VLOOKUP(L227,References!$A$2:$B$16,2,FALSE)</f>
        <v>TEXAROK</v>
      </c>
      <c r="N227" s="19" t="str">
        <f>IF(M227=M226,"N","Y")</f>
        <v>Y</v>
      </c>
      <c r="O227">
        <f>SUM(I226:I227)</f>
        <v>151</v>
      </c>
      <c r="P227">
        <f t="shared" si="23"/>
        <v>86</v>
      </c>
    </row>
    <row r="228" spans="1:16" hidden="1" x14ac:dyDescent="0.3">
      <c r="A228" t="str">
        <f t="shared" si="22"/>
        <v>2014Mark10</v>
      </c>
      <c r="B228">
        <f t="shared" si="18"/>
        <v>1409</v>
      </c>
      <c r="C228">
        <f t="shared" si="19"/>
        <v>211</v>
      </c>
      <c r="D228" t="s">
        <v>22</v>
      </c>
      <c r="E228" t="str">
        <f>D229</f>
        <v>Russell</v>
      </c>
      <c r="F228">
        <v>2014</v>
      </c>
      <c r="G228">
        <v>10</v>
      </c>
      <c r="H228">
        <v>4.0999999999999996</v>
      </c>
      <c r="I228">
        <v>121</v>
      </c>
      <c r="J228">
        <f>I228-I229</f>
        <v>-14</v>
      </c>
      <c r="K228" t="str">
        <f t="shared" si="20"/>
        <v>L</v>
      </c>
      <c r="L228" t="str">
        <f t="shared" si="21"/>
        <v>Mark</v>
      </c>
      <c r="M228" t="str">
        <f>VLOOKUP(L228,References!$A$2:$B$16,2,FALSE)</f>
        <v>AKCOVA</v>
      </c>
      <c r="N228" s="19" t="str">
        <f>IF(M228=M229,"N","Y")</f>
        <v>Y</v>
      </c>
      <c r="O228">
        <f>SUM(I228:I229)</f>
        <v>256</v>
      </c>
      <c r="P228">
        <f t="shared" si="23"/>
        <v>135</v>
      </c>
    </row>
    <row r="229" spans="1:16" hidden="1" x14ac:dyDescent="0.3">
      <c r="A229" t="str">
        <f t="shared" si="22"/>
        <v>2014Russell10</v>
      </c>
      <c r="B229">
        <f t="shared" si="18"/>
        <v>660</v>
      </c>
      <c r="C229">
        <f t="shared" si="19"/>
        <v>78</v>
      </c>
      <c r="D229" t="s">
        <v>28</v>
      </c>
      <c r="E229" t="str">
        <f>D228</f>
        <v>Mark</v>
      </c>
      <c r="F229">
        <v>2014</v>
      </c>
      <c r="G229">
        <v>10</v>
      </c>
      <c r="H229">
        <v>4.2</v>
      </c>
      <c r="I229">
        <v>135</v>
      </c>
      <c r="J229">
        <f>I229-I228</f>
        <v>14</v>
      </c>
      <c r="K229" t="str">
        <f t="shared" si="20"/>
        <v>W</v>
      </c>
      <c r="L229" t="str">
        <f t="shared" si="21"/>
        <v>Russell</v>
      </c>
      <c r="M229" t="str">
        <f>VLOOKUP(L229,References!$A$2:$B$16,2,FALSE)</f>
        <v>TEXAROK</v>
      </c>
      <c r="N229" s="19" t="str">
        <f>IF(M229=M228,"N","Y")</f>
        <v>Y</v>
      </c>
      <c r="O229">
        <f>SUM(I228:I229)</f>
        <v>256</v>
      </c>
      <c r="P229">
        <f t="shared" si="23"/>
        <v>121</v>
      </c>
    </row>
    <row r="230" spans="1:16" hidden="1" x14ac:dyDescent="0.3">
      <c r="A230" t="str">
        <f t="shared" si="22"/>
        <v>2014Emily10</v>
      </c>
      <c r="B230">
        <f t="shared" si="18"/>
        <v>2079</v>
      </c>
      <c r="C230">
        <f t="shared" si="19"/>
        <v>1974</v>
      </c>
      <c r="D230" t="s">
        <v>43</v>
      </c>
      <c r="E230" t="str">
        <f>D231</f>
        <v>David</v>
      </c>
      <c r="F230">
        <v>2014</v>
      </c>
      <c r="G230">
        <v>10</v>
      </c>
      <c r="H230">
        <v>5.0999999999999996</v>
      </c>
      <c r="I230">
        <v>58</v>
      </c>
      <c r="J230">
        <f>I230-I231</f>
        <v>-76</v>
      </c>
      <c r="K230" t="str">
        <f t="shared" si="20"/>
        <v>L</v>
      </c>
      <c r="L230" t="str">
        <f t="shared" si="21"/>
        <v>Emily</v>
      </c>
      <c r="M230" t="str">
        <f>VLOOKUP(L230,References!$A$2:$B$16,2,FALSE)</f>
        <v>TEXAROK</v>
      </c>
      <c r="N230" s="19" t="str">
        <f>IF(M230=M231,"N","Y")</f>
        <v>N</v>
      </c>
      <c r="O230">
        <f>SUM(I230:I231)</f>
        <v>192</v>
      </c>
      <c r="P230">
        <f t="shared" si="23"/>
        <v>134</v>
      </c>
    </row>
    <row r="231" spans="1:16" hidden="1" x14ac:dyDescent="0.3">
      <c r="A231" t="str">
        <f t="shared" si="22"/>
        <v>2014David10</v>
      </c>
      <c r="B231">
        <f t="shared" si="18"/>
        <v>12</v>
      </c>
      <c r="C231">
        <f t="shared" si="19"/>
        <v>83</v>
      </c>
      <c r="D231" t="s">
        <v>29</v>
      </c>
      <c r="E231" t="str">
        <f>D230</f>
        <v>Emily</v>
      </c>
      <c r="F231">
        <v>2014</v>
      </c>
      <c r="G231">
        <v>10</v>
      </c>
      <c r="H231">
        <v>5.2</v>
      </c>
      <c r="I231">
        <v>134</v>
      </c>
      <c r="J231">
        <f>I231-I230</f>
        <v>76</v>
      </c>
      <c r="K231" t="str">
        <f t="shared" si="20"/>
        <v>W</v>
      </c>
      <c r="L231" t="str">
        <f t="shared" si="21"/>
        <v>David</v>
      </c>
      <c r="M231" t="str">
        <f>VLOOKUP(L231,References!$A$2:$B$16,2,FALSE)</f>
        <v>TEXAROK</v>
      </c>
      <c r="N231" s="19" t="str">
        <f>IF(M231=M230,"N","Y")</f>
        <v>N</v>
      </c>
      <c r="O231">
        <f>SUM(I230:I231)</f>
        <v>192</v>
      </c>
      <c r="P231">
        <f t="shared" si="23"/>
        <v>58</v>
      </c>
    </row>
    <row r="232" spans="1:16" hidden="1" x14ac:dyDescent="0.3">
      <c r="A232" t="str">
        <f t="shared" si="22"/>
        <v>2014BR11</v>
      </c>
      <c r="B232">
        <f t="shared" si="18"/>
        <v>836</v>
      </c>
      <c r="C232">
        <f t="shared" si="19"/>
        <v>1468</v>
      </c>
      <c r="D232" t="s">
        <v>25</v>
      </c>
      <c r="E232" t="str">
        <f>D233</f>
        <v>Michael</v>
      </c>
      <c r="F232">
        <v>2014</v>
      </c>
      <c r="G232">
        <v>11</v>
      </c>
      <c r="H232">
        <v>1.1000000000000001</v>
      </c>
      <c r="I232">
        <v>78</v>
      </c>
      <c r="J232">
        <f>I232-I233</f>
        <v>7</v>
      </c>
      <c r="K232" t="str">
        <f t="shared" si="20"/>
        <v>W</v>
      </c>
      <c r="L232" t="str">
        <f t="shared" si="21"/>
        <v>BR</v>
      </c>
      <c r="M232" t="str">
        <f>VLOOKUP(L232,References!$A$2:$B$16,2,FALSE)</f>
        <v>AKCOVA</v>
      </c>
      <c r="N232" s="19" t="str">
        <f>IF(M232=M233,"N","Y")</f>
        <v>N</v>
      </c>
      <c r="O232">
        <f>SUM(I232:I233)</f>
        <v>149</v>
      </c>
      <c r="P232">
        <f t="shared" si="23"/>
        <v>71</v>
      </c>
    </row>
    <row r="233" spans="1:16" hidden="1" x14ac:dyDescent="0.3">
      <c r="A233" t="str">
        <f t="shared" si="22"/>
        <v>2014Michael11</v>
      </c>
      <c r="B233">
        <f t="shared" si="18"/>
        <v>1229</v>
      </c>
      <c r="C233">
        <f t="shared" si="19"/>
        <v>1717</v>
      </c>
      <c r="D233" t="s">
        <v>23</v>
      </c>
      <c r="E233" t="str">
        <f>D232</f>
        <v>BR</v>
      </c>
      <c r="F233">
        <v>2014</v>
      </c>
      <c r="G233">
        <v>11</v>
      </c>
      <c r="H233">
        <v>1.2</v>
      </c>
      <c r="I233">
        <v>71</v>
      </c>
      <c r="J233">
        <f>I233-I232</f>
        <v>-7</v>
      </c>
      <c r="K233" t="str">
        <f t="shared" si="20"/>
        <v>L</v>
      </c>
      <c r="L233" t="str">
        <f t="shared" si="21"/>
        <v>Michael</v>
      </c>
      <c r="M233" t="str">
        <f>VLOOKUP(L233,References!$A$2:$B$16,2,FALSE)</f>
        <v>AKCOVA</v>
      </c>
      <c r="N233" s="19" t="str">
        <f>IF(M233=M232,"N","Y")</f>
        <v>N</v>
      </c>
      <c r="O233">
        <f>SUM(I232:I233)</f>
        <v>149</v>
      </c>
      <c r="P233">
        <f t="shared" si="23"/>
        <v>78</v>
      </c>
    </row>
    <row r="234" spans="1:16" hidden="1" x14ac:dyDescent="0.3">
      <c r="A234" t="str">
        <f t="shared" si="22"/>
        <v>2014Mark11</v>
      </c>
      <c r="B234">
        <f t="shared" si="18"/>
        <v>1546</v>
      </c>
      <c r="C234">
        <f t="shared" si="19"/>
        <v>1867</v>
      </c>
      <c r="D234" t="s">
        <v>22</v>
      </c>
      <c r="E234" t="str">
        <f>D235</f>
        <v>Abby</v>
      </c>
      <c r="F234">
        <v>2014</v>
      </c>
      <c r="G234">
        <v>11</v>
      </c>
      <c r="H234">
        <v>2.1</v>
      </c>
      <c r="I234">
        <v>64</v>
      </c>
      <c r="J234">
        <f>I234-I235</f>
        <v>-20</v>
      </c>
      <c r="K234" t="str">
        <f t="shared" si="20"/>
        <v>L</v>
      </c>
      <c r="L234" t="str">
        <f t="shared" si="21"/>
        <v>Mark</v>
      </c>
      <c r="M234" t="str">
        <f>VLOOKUP(L234,References!$A$2:$B$16,2,FALSE)</f>
        <v>AKCOVA</v>
      </c>
      <c r="N234" s="19" t="str">
        <f>IF(M234=M235,"N","Y")</f>
        <v>N</v>
      </c>
      <c r="O234">
        <f>SUM(I234:I235)</f>
        <v>148</v>
      </c>
      <c r="P234">
        <f t="shared" si="23"/>
        <v>84</v>
      </c>
    </row>
    <row r="235" spans="1:16" hidden="1" x14ac:dyDescent="0.3">
      <c r="A235" t="str">
        <f t="shared" si="22"/>
        <v>2014Abby11</v>
      </c>
      <c r="B235">
        <f t="shared" si="18"/>
        <v>517</v>
      </c>
      <c r="C235">
        <f t="shared" si="19"/>
        <v>1241</v>
      </c>
      <c r="D235" t="s">
        <v>27</v>
      </c>
      <c r="E235" t="str">
        <f>D234</f>
        <v>Mark</v>
      </c>
      <c r="F235">
        <v>2014</v>
      </c>
      <c r="G235">
        <v>11</v>
      </c>
      <c r="H235">
        <v>2.2000000000000002</v>
      </c>
      <c r="I235">
        <v>84</v>
      </c>
      <c r="J235">
        <f>I235-I234</f>
        <v>20</v>
      </c>
      <c r="K235" t="str">
        <f t="shared" si="20"/>
        <v>W</v>
      </c>
      <c r="L235" t="str">
        <f t="shared" si="21"/>
        <v>Abby</v>
      </c>
      <c r="M235" t="str">
        <f>VLOOKUP(L235,References!$A$2:$B$16,2,FALSE)</f>
        <v>AKCOVA</v>
      </c>
      <c r="N235" s="19" t="str">
        <f>IF(M235=M234,"N","Y")</f>
        <v>N</v>
      </c>
      <c r="O235">
        <f>SUM(I234:I235)</f>
        <v>148</v>
      </c>
      <c r="P235">
        <f t="shared" si="23"/>
        <v>64</v>
      </c>
    </row>
    <row r="236" spans="1:16" hidden="1" x14ac:dyDescent="0.3">
      <c r="A236" t="str">
        <f t="shared" si="22"/>
        <v>2014Watty11</v>
      </c>
      <c r="B236">
        <f t="shared" si="18"/>
        <v>1434</v>
      </c>
      <c r="C236">
        <f t="shared" si="19"/>
        <v>1468</v>
      </c>
      <c r="D236" t="s">
        <v>24</v>
      </c>
      <c r="E236" t="str">
        <f>D237</f>
        <v>Brian</v>
      </c>
      <c r="F236">
        <v>2014</v>
      </c>
      <c r="G236">
        <v>11</v>
      </c>
      <c r="H236">
        <v>3.1</v>
      </c>
      <c r="I236">
        <v>78</v>
      </c>
      <c r="J236">
        <f>I236-I237</f>
        <v>-15</v>
      </c>
      <c r="K236" t="str">
        <f t="shared" si="20"/>
        <v>L</v>
      </c>
      <c r="L236" t="str">
        <f t="shared" si="21"/>
        <v>Watty</v>
      </c>
      <c r="M236" t="str">
        <f>VLOOKUP(L236,References!$A$2:$B$16,2,FALSE)</f>
        <v>AKCOVA</v>
      </c>
      <c r="N236" s="19" t="str">
        <f>IF(M236=M237,"N","Y")</f>
        <v>Y</v>
      </c>
      <c r="O236">
        <f>SUM(I236:I237)</f>
        <v>171</v>
      </c>
      <c r="P236">
        <f t="shared" si="23"/>
        <v>93</v>
      </c>
    </row>
    <row r="237" spans="1:16" hidden="1" x14ac:dyDescent="0.3">
      <c r="A237" t="str">
        <f t="shared" si="22"/>
        <v>2014Brian11</v>
      </c>
      <c r="B237">
        <f t="shared" si="18"/>
        <v>639</v>
      </c>
      <c r="C237">
        <f t="shared" si="19"/>
        <v>926</v>
      </c>
      <c r="D237" t="s">
        <v>26</v>
      </c>
      <c r="E237" t="str">
        <f>D236</f>
        <v>Watty</v>
      </c>
      <c r="F237">
        <v>2014</v>
      </c>
      <c r="G237">
        <v>11</v>
      </c>
      <c r="H237">
        <v>3.2</v>
      </c>
      <c r="I237">
        <v>93</v>
      </c>
      <c r="J237">
        <f>I237-I236</f>
        <v>15</v>
      </c>
      <c r="K237" t="str">
        <f t="shared" si="20"/>
        <v>W</v>
      </c>
      <c r="L237" t="str">
        <f t="shared" si="21"/>
        <v>Brian</v>
      </c>
      <c r="M237" t="str">
        <f>VLOOKUP(L237,References!$A$2:$B$16,2,FALSE)</f>
        <v>TEXAROK</v>
      </c>
      <c r="N237" s="19" t="str">
        <f>IF(M237=M236,"N","Y")</f>
        <v>Y</v>
      </c>
      <c r="O237">
        <f>SUM(I236:I237)</f>
        <v>171</v>
      </c>
      <c r="P237">
        <f t="shared" si="23"/>
        <v>78</v>
      </c>
    </row>
    <row r="238" spans="1:16" hidden="1" x14ac:dyDescent="0.3">
      <c r="A238" t="str">
        <f t="shared" si="22"/>
        <v>2014David11</v>
      </c>
      <c r="B238">
        <f t="shared" si="18"/>
        <v>1475</v>
      </c>
      <c r="C238">
        <f t="shared" si="19"/>
        <v>1100</v>
      </c>
      <c r="D238" t="s">
        <v>29</v>
      </c>
      <c r="E238" t="str">
        <f>D239</f>
        <v>Russell</v>
      </c>
      <c r="F238">
        <v>2014</v>
      </c>
      <c r="G238">
        <v>11</v>
      </c>
      <c r="H238">
        <v>4.0999999999999996</v>
      </c>
      <c r="I238">
        <v>88</v>
      </c>
      <c r="J238">
        <f>I238-I239</f>
        <v>-17</v>
      </c>
      <c r="K238" t="str">
        <f t="shared" si="20"/>
        <v>L</v>
      </c>
      <c r="L238" t="str">
        <f t="shared" si="21"/>
        <v>David</v>
      </c>
      <c r="M238" t="str">
        <f>VLOOKUP(L238,References!$A$2:$B$16,2,FALSE)</f>
        <v>TEXAROK</v>
      </c>
      <c r="N238" s="19" t="str">
        <f>IF(M238=M239,"N","Y")</f>
        <v>N</v>
      </c>
      <c r="O238">
        <f>SUM(I238:I239)</f>
        <v>193</v>
      </c>
      <c r="P238">
        <f t="shared" si="23"/>
        <v>105</v>
      </c>
    </row>
    <row r="239" spans="1:16" hidden="1" x14ac:dyDescent="0.3">
      <c r="A239" t="str">
        <f t="shared" si="22"/>
        <v>2014Russell11</v>
      </c>
      <c r="B239">
        <f t="shared" si="18"/>
        <v>597</v>
      </c>
      <c r="C239">
        <f t="shared" si="19"/>
        <v>540</v>
      </c>
      <c r="D239" t="s">
        <v>28</v>
      </c>
      <c r="E239" t="str">
        <f>D238</f>
        <v>David</v>
      </c>
      <c r="F239">
        <v>2014</v>
      </c>
      <c r="G239">
        <v>11</v>
      </c>
      <c r="H239">
        <v>4.2</v>
      </c>
      <c r="I239">
        <v>105</v>
      </c>
      <c r="J239">
        <f>I239-I238</f>
        <v>17</v>
      </c>
      <c r="K239" t="str">
        <f t="shared" si="20"/>
        <v>W</v>
      </c>
      <c r="L239" t="str">
        <f t="shared" si="21"/>
        <v>Russell</v>
      </c>
      <c r="M239" t="str">
        <f>VLOOKUP(L239,References!$A$2:$B$16,2,FALSE)</f>
        <v>TEXAROK</v>
      </c>
      <c r="N239" s="19" t="str">
        <f>IF(M239=M238,"N","Y")</f>
        <v>N</v>
      </c>
      <c r="O239">
        <f>SUM(I238:I239)</f>
        <v>193</v>
      </c>
      <c r="P239">
        <f t="shared" si="23"/>
        <v>88</v>
      </c>
    </row>
    <row r="240" spans="1:16" hidden="1" x14ac:dyDescent="0.3">
      <c r="A240" t="str">
        <f t="shared" si="22"/>
        <v>2014Emily11</v>
      </c>
      <c r="B240">
        <f t="shared" si="18"/>
        <v>949</v>
      </c>
      <c r="C240">
        <f t="shared" si="19"/>
        <v>1100</v>
      </c>
      <c r="D240" t="s">
        <v>43</v>
      </c>
      <c r="E240" t="str">
        <f>D241</f>
        <v>Matt</v>
      </c>
      <c r="F240">
        <v>2014</v>
      </c>
      <c r="G240">
        <v>11</v>
      </c>
      <c r="H240">
        <v>5.0999999999999996</v>
      </c>
      <c r="I240">
        <v>88</v>
      </c>
      <c r="J240">
        <f>I240-I241</f>
        <v>3</v>
      </c>
      <c r="K240" t="str">
        <f t="shared" si="20"/>
        <v>W</v>
      </c>
      <c r="L240" t="str">
        <f t="shared" si="21"/>
        <v>Emily</v>
      </c>
      <c r="M240" t="str">
        <f>VLOOKUP(L240,References!$A$2:$B$16,2,FALSE)</f>
        <v>TEXAROK</v>
      </c>
      <c r="N240" s="19" t="str">
        <f>IF(M240=M241,"N","Y")</f>
        <v>N</v>
      </c>
      <c r="O240">
        <f>SUM(I240:I241)</f>
        <v>173</v>
      </c>
      <c r="P240">
        <f t="shared" si="23"/>
        <v>85</v>
      </c>
    </row>
    <row r="241" spans="1:16" hidden="1" x14ac:dyDescent="0.3">
      <c r="A241" t="str">
        <f t="shared" si="22"/>
        <v>2014Matt11</v>
      </c>
      <c r="B241">
        <f t="shared" si="18"/>
        <v>1117</v>
      </c>
      <c r="C241">
        <f t="shared" si="19"/>
        <v>1210</v>
      </c>
      <c r="D241" t="s">
        <v>30</v>
      </c>
      <c r="E241" t="str">
        <f>D240</f>
        <v>Emily</v>
      </c>
      <c r="F241">
        <v>2014</v>
      </c>
      <c r="G241">
        <v>11</v>
      </c>
      <c r="H241">
        <v>5.2</v>
      </c>
      <c r="I241">
        <v>85</v>
      </c>
      <c r="J241">
        <f>I241-I240</f>
        <v>-3</v>
      </c>
      <c r="K241" t="str">
        <f t="shared" si="20"/>
        <v>L</v>
      </c>
      <c r="L241" t="str">
        <f t="shared" si="21"/>
        <v>Matt</v>
      </c>
      <c r="M241" t="str">
        <f>VLOOKUP(L241,References!$A$2:$B$16,2,FALSE)</f>
        <v>TEXAROK</v>
      </c>
      <c r="N241" s="19" t="str">
        <f>IF(M241=M240,"N","Y")</f>
        <v>N</v>
      </c>
      <c r="O241">
        <f>SUM(I240:I241)</f>
        <v>173</v>
      </c>
      <c r="P241">
        <f t="shared" si="23"/>
        <v>88</v>
      </c>
    </row>
    <row r="242" spans="1:16" hidden="1" x14ac:dyDescent="0.3">
      <c r="A242" t="str">
        <f t="shared" si="22"/>
        <v>2014Michael12</v>
      </c>
      <c r="B242">
        <f t="shared" si="18"/>
        <v>187</v>
      </c>
      <c r="C242">
        <f t="shared" si="19"/>
        <v>364</v>
      </c>
      <c r="D242" t="s">
        <v>23</v>
      </c>
      <c r="E242" t="str">
        <f>D243</f>
        <v>Emily</v>
      </c>
      <c r="F242">
        <v>2014</v>
      </c>
      <c r="G242">
        <v>12</v>
      </c>
      <c r="H242">
        <v>1.1000000000000001</v>
      </c>
      <c r="I242">
        <v>112</v>
      </c>
      <c r="J242">
        <f>I242-I243</f>
        <v>40</v>
      </c>
      <c r="K242" t="str">
        <f t="shared" si="20"/>
        <v>W</v>
      </c>
      <c r="L242" t="str">
        <f t="shared" si="21"/>
        <v>Michael</v>
      </c>
      <c r="M242" t="str">
        <f>VLOOKUP(L242,References!$A$2:$B$16,2,FALSE)</f>
        <v>AKCOVA</v>
      </c>
      <c r="N242" s="19" t="str">
        <f>IF(M242=M243,"N","Y")</f>
        <v>Y</v>
      </c>
      <c r="O242">
        <f>SUM(I242:I243)</f>
        <v>184</v>
      </c>
      <c r="P242">
        <f t="shared" si="23"/>
        <v>72</v>
      </c>
    </row>
    <row r="243" spans="1:16" hidden="1" x14ac:dyDescent="0.3">
      <c r="A243" t="str">
        <f t="shared" si="22"/>
        <v>2014Emily12</v>
      </c>
      <c r="B243">
        <f t="shared" si="18"/>
        <v>1895</v>
      </c>
      <c r="C243">
        <f t="shared" si="19"/>
        <v>1684</v>
      </c>
      <c r="D243" t="s">
        <v>43</v>
      </c>
      <c r="E243" t="str">
        <f>D242</f>
        <v>Michael</v>
      </c>
      <c r="F243">
        <v>2014</v>
      </c>
      <c r="G243">
        <v>12</v>
      </c>
      <c r="H243">
        <v>1.2</v>
      </c>
      <c r="I243">
        <v>72</v>
      </c>
      <c r="J243">
        <f>I243-I242</f>
        <v>-40</v>
      </c>
      <c r="K243" t="str">
        <f t="shared" si="20"/>
        <v>L</v>
      </c>
      <c r="L243" t="str">
        <f t="shared" si="21"/>
        <v>Emily</v>
      </c>
      <c r="M243" t="str">
        <f>VLOOKUP(L243,References!$A$2:$B$16,2,FALSE)</f>
        <v>TEXAROK</v>
      </c>
      <c r="N243" s="19" t="str">
        <f>IF(M243=M242,"N","Y")</f>
        <v>Y</v>
      </c>
      <c r="O243">
        <f>SUM(I242:I243)</f>
        <v>184</v>
      </c>
      <c r="P243">
        <f t="shared" si="23"/>
        <v>112</v>
      </c>
    </row>
    <row r="244" spans="1:16" hidden="1" x14ac:dyDescent="0.3">
      <c r="A244" t="str">
        <f t="shared" si="22"/>
        <v>2014Brian12</v>
      </c>
      <c r="B244">
        <f t="shared" si="18"/>
        <v>917</v>
      </c>
      <c r="C244">
        <f t="shared" si="19"/>
        <v>714</v>
      </c>
      <c r="D244" t="s">
        <v>26</v>
      </c>
      <c r="E244" t="str">
        <f>D245</f>
        <v>BR</v>
      </c>
      <c r="F244">
        <v>2014</v>
      </c>
      <c r="G244">
        <v>12</v>
      </c>
      <c r="H244">
        <v>2.1</v>
      </c>
      <c r="I244">
        <v>99</v>
      </c>
      <c r="J244">
        <f>I244-I245</f>
        <v>4</v>
      </c>
      <c r="K244" t="str">
        <f t="shared" si="20"/>
        <v>W</v>
      </c>
      <c r="L244" t="str">
        <f t="shared" si="21"/>
        <v>Brian</v>
      </c>
      <c r="M244" t="str">
        <f>VLOOKUP(L244,References!$A$2:$B$16,2,FALSE)</f>
        <v>TEXAROK</v>
      </c>
      <c r="N244" s="19" t="str">
        <f>IF(M244=M245,"N","Y")</f>
        <v>Y</v>
      </c>
      <c r="O244">
        <f>SUM(I244:I245)</f>
        <v>194</v>
      </c>
      <c r="P244">
        <f t="shared" si="23"/>
        <v>95</v>
      </c>
    </row>
    <row r="245" spans="1:16" hidden="1" x14ac:dyDescent="0.3">
      <c r="A245" t="str">
        <f t="shared" si="22"/>
        <v>2014BR12</v>
      </c>
      <c r="B245">
        <f t="shared" si="18"/>
        <v>1145</v>
      </c>
      <c r="C245">
        <f t="shared" si="19"/>
        <v>857</v>
      </c>
      <c r="D245" t="s">
        <v>25</v>
      </c>
      <c r="E245" t="str">
        <f>D244</f>
        <v>Brian</v>
      </c>
      <c r="F245">
        <v>2014</v>
      </c>
      <c r="G245">
        <v>12</v>
      </c>
      <c r="H245">
        <v>2.2000000000000002</v>
      </c>
      <c r="I245">
        <v>95</v>
      </c>
      <c r="J245">
        <f>I245-I244</f>
        <v>-4</v>
      </c>
      <c r="K245" t="str">
        <f t="shared" si="20"/>
        <v>L</v>
      </c>
      <c r="L245" t="str">
        <f t="shared" si="21"/>
        <v>BR</v>
      </c>
      <c r="M245" t="str">
        <f>VLOOKUP(L245,References!$A$2:$B$16,2,FALSE)</f>
        <v>AKCOVA</v>
      </c>
      <c r="N245" s="19" t="str">
        <f>IF(M245=M244,"N","Y")</f>
        <v>Y</v>
      </c>
      <c r="O245">
        <f>SUM(I244:I245)</f>
        <v>194</v>
      </c>
      <c r="P245">
        <f t="shared" si="23"/>
        <v>99</v>
      </c>
    </row>
    <row r="246" spans="1:16" hidden="1" x14ac:dyDescent="0.3">
      <c r="A246" t="str">
        <f t="shared" si="22"/>
        <v>2014Watty12</v>
      </c>
      <c r="B246">
        <f t="shared" si="18"/>
        <v>1229</v>
      </c>
      <c r="C246">
        <f t="shared" si="19"/>
        <v>1618</v>
      </c>
      <c r="D246" t="s">
        <v>24</v>
      </c>
      <c r="E246" t="str">
        <f>D247</f>
        <v>Mark</v>
      </c>
      <c r="F246">
        <v>2014</v>
      </c>
      <c r="G246">
        <v>12</v>
      </c>
      <c r="H246">
        <v>3.1</v>
      </c>
      <c r="I246">
        <v>74</v>
      </c>
      <c r="J246">
        <f>I246-I247</f>
        <v>-7</v>
      </c>
      <c r="K246" t="str">
        <f t="shared" si="20"/>
        <v>L</v>
      </c>
      <c r="L246" t="str">
        <f t="shared" si="21"/>
        <v>Watty</v>
      </c>
      <c r="M246" t="str">
        <f>VLOOKUP(L246,References!$A$2:$B$16,2,FALSE)</f>
        <v>AKCOVA</v>
      </c>
      <c r="N246" s="19" t="str">
        <f>IF(M246=M247,"N","Y")</f>
        <v>N</v>
      </c>
      <c r="O246">
        <f>SUM(I246:I247)</f>
        <v>155</v>
      </c>
      <c r="P246">
        <f t="shared" si="23"/>
        <v>81</v>
      </c>
    </row>
    <row r="247" spans="1:16" hidden="1" x14ac:dyDescent="0.3">
      <c r="A247" t="str">
        <f t="shared" si="22"/>
        <v>2014Mark12</v>
      </c>
      <c r="B247">
        <f t="shared" si="18"/>
        <v>836</v>
      </c>
      <c r="C247">
        <f t="shared" si="19"/>
        <v>1365</v>
      </c>
      <c r="D247" t="s">
        <v>22</v>
      </c>
      <c r="E247" t="str">
        <f>D246</f>
        <v>Watty</v>
      </c>
      <c r="F247">
        <v>2014</v>
      </c>
      <c r="G247">
        <v>12</v>
      </c>
      <c r="H247">
        <v>3.2</v>
      </c>
      <c r="I247">
        <v>81</v>
      </c>
      <c r="J247">
        <f>I247-I246</f>
        <v>7</v>
      </c>
      <c r="K247" t="str">
        <f t="shared" si="20"/>
        <v>W</v>
      </c>
      <c r="L247" t="str">
        <f t="shared" si="21"/>
        <v>Mark</v>
      </c>
      <c r="M247" t="str">
        <f>VLOOKUP(L247,References!$A$2:$B$16,2,FALSE)</f>
        <v>AKCOVA</v>
      </c>
      <c r="N247" s="19" t="str">
        <f>IF(M247=M246,"N","Y")</f>
        <v>N</v>
      </c>
      <c r="O247">
        <f>SUM(I246:I247)</f>
        <v>155</v>
      </c>
      <c r="P247">
        <f t="shared" si="23"/>
        <v>74</v>
      </c>
    </row>
    <row r="248" spans="1:16" hidden="1" x14ac:dyDescent="0.3">
      <c r="A248" t="str">
        <f t="shared" si="22"/>
        <v>2014Abby12</v>
      </c>
      <c r="B248">
        <f t="shared" si="18"/>
        <v>517</v>
      </c>
      <c r="C248">
        <f t="shared" si="19"/>
        <v>435</v>
      </c>
      <c r="D248" t="s">
        <v>27</v>
      </c>
      <c r="E248" t="str">
        <f>D249</f>
        <v>David</v>
      </c>
      <c r="F248">
        <v>2014</v>
      </c>
      <c r="G248">
        <v>12</v>
      </c>
      <c r="H248">
        <v>4.0999999999999996</v>
      </c>
      <c r="I248">
        <v>109</v>
      </c>
      <c r="J248">
        <f>I248-I249</f>
        <v>20</v>
      </c>
      <c r="K248" t="str">
        <f t="shared" si="20"/>
        <v>W</v>
      </c>
      <c r="L248" t="str">
        <f t="shared" si="21"/>
        <v>Abby</v>
      </c>
      <c r="M248" t="str">
        <f>VLOOKUP(L248,References!$A$2:$B$16,2,FALSE)</f>
        <v>AKCOVA</v>
      </c>
      <c r="N248" s="19" t="str">
        <f>IF(M248=M249,"N","Y")</f>
        <v>Y</v>
      </c>
      <c r="O248">
        <f>SUM(I248:I249)</f>
        <v>198</v>
      </c>
      <c r="P248">
        <f t="shared" si="23"/>
        <v>89</v>
      </c>
    </row>
    <row r="249" spans="1:16" hidden="1" x14ac:dyDescent="0.3">
      <c r="A249" t="str">
        <f t="shared" si="22"/>
        <v>2014David12</v>
      </c>
      <c r="B249">
        <f t="shared" si="18"/>
        <v>1546</v>
      </c>
      <c r="C249">
        <f t="shared" si="19"/>
        <v>1055</v>
      </c>
      <c r="D249" t="s">
        <v>29</v>
      </c>
      <c r="E249" t="str">
        <f>D248</f>
        <v>Abby</v>
      </c>
      <c r="F249">
        <v>2014</v>
      </c>
      <c r="G249">
        <v>12</v>
      </c>
      <c r="H249">
        <v>4.2</v>
      </c>
      <c r="I249">
        <v>89</v>
      </c>
      <c r="J249">
        <f>I249-I248</f>
        <v>-20</v>
      </c>
      <c r="K249" t="str">
        <f t="shared" si="20"/>
        <v>L</v>
      </c>
      <c r="L249" t="str">
        <f t="shared" si="21"/>
        <v>David</v>
      </c>
      <c r="M249" t="str">
        <f>VLOOKUP(L249,References!$A$2:$B$16,2,FALSE)</f>
        <v>TEXAROK</v>
      </c>
      <c r="N249" s="19" t="str">
        <f>IF(M249=M248,"N","Y")</f>
        <v>Y</v>
      </c>
      <c r="O249">
        <f>SUM(I248:I249)</f>
        <v>198</v>
      </c>
      <c r="P249">
        <f t="shared" si="23"/>
        <v>109</v>
      </c>
    </row>
    <row r="250" spans="1:16" hidden="1" x14ac:dyDescent="0.3">
      <c r="A250" t="str">
        <f t="shared" si="22"/>
        <v>2014Russell12</v>
      </c>
      <c r="B250">
        <f t="shared" si="18"/>
        <v>1523</v>
      </c>
      <c r="C250">
        <f t="shared" si="19"/>
        <v>714</v>
      </c>
      <c r="D250" t="s">
        <v>28</v>
      </c>
      <c r="E250" t="str">
        <f>D251</f>
        <v>Matt</v>
      </c>
      <c r="F250">
        <v>2014</v>
      </c>
      <c r="G250">
        <v>12</v>
      </c>
      <c r="H250">
        <v>5.0999999999999996</v>
      </c>
      <c r="I250">
        <v>99</v>
      </c>
      <c r="J250">
        <f>I250-I251</f>
        <v>-19</v>
      </c>
      <c r="K250" t="str">
        <f t="shared" si="20"/>
        <v>L</v>
      </c>
      <c r="L250" t="str">
        <f t="shared" si="21"/>
        <v>Russell</v>
      </c>
      <c r="M250" t="str">
        <f>VLOOKUP(L250,References!$A$2:$B$16,2,FALSE)</f>
        <v>TEXAROK</v>
      </c>
      <c r="N250" s="19" t="str">
        <f>IF(M250=M251,"N","Y")</f>
        <v>N</v>
      </c>
      <c r="O250">
        <f>SUM(I250:I251)</f>
        <v>217</v>
      </c>
      <c r="P250">
        <f t="shared" si="23"/>
        <v>118</v>
      </c>
    </row>
    <row r="251" spans="1:16" hidden="1" x14ac:dyDescent="0.3">
      <c r="A251" t="str">
        <f t="shared" si="22"/>
        <v>2014Matt12</v>
      </c>
      <c r="B251">
        <f t="shared" si="18"/>
        <v>548</v>
      </c>
      <c r="C251">
        <f t="shared" si="19"/>
        <v>267</v>
      </c>
      <c r="D251" t="s">
        <v>30</v>
      </c>
      <c r="E251" t="str">
        <f>D250</f>
        <v>Russell</v>
      </c>
      <c r="F251">
        <v>2014</v>
      </c>
      <c r="G251">
        <v>12</v>
      </c>
      <c r="H251">
        <v>5.2</v>
      </c>
      <c r="I251">
        <v>118</v>
      </c>
      <c r="J251">
        <f>I251-I250</f>
        <v>19</v>
      </c>
      <c r="K251" t="str">
        <f t="shared" si="20"/>
        <v>W</v>
      </c>
      <c r="L251" t="str">
        <f t="shared" si="21"/>
        <v>Matt</v>
      </c>
      <c r="M251" t="str">
        <f>VLOOKUP(L251,References!$A$2:$B$16,2,FALSE)</f>
        <v>TEXAROK</v>
      </c>
      <c r="N251" s="19" t="str">
        <f>IF(M251=M250,"N","Y")</f>
        <v>N</v>
      </c>
      <c r="O251">
        <f>SUM(I250:I251)</f>
        <v>217</v>
      </c>
      <c r="P251">
        <f t="shared" si="23"/>
        <v>99</v>
      </c>
    </row>
    <row r="252" spans="1:16" hidden="1" x14ac:dyDescent="0.3">
      <c r="A252" t="str">
        <f t="shared" si="22"/>
        <v>2014Russell13</v>
      </c>
      <c r="B252">
        <f t="shared" si="18"/>
        <v>1040</v>
      </c>
      <c r="C252">
        <f t="shared" si="19"/>
        <v>435</v>
      </c>
      <c r="D252" t="s">
        <v>28</v>
      </c>
      <c r="E252" t="str">
        <f>D253</f>
        <v>Michael</v>
      </c>
      <c r="F252">
        <v>2014</v>
      </c>
      <c r="G252">
        <v>13</v>
      </c>
      <c r="H252">
        <v>1.1000000000000001</v>
      </c>
      <c r="I252">
        <v>109</v>
      </c>
      <c r="J252">
        <f>I252-I253</f>
        <v>0</v>
      </c>
      <c r="K252" t="str">
        <f t="shared" si="20"/>
        <v>T</v>
      </c>
      <c r="L252" t="str">
        <f t="shared" si="21"/>
        <v>Russell</v>
      </c>
      <c r="M252" t="str">
        <f>VLOOKUP(L252,References!$A$2:$B$16,2,FALSE)</f>
        <v>TEXAROK</v>
      </c>
      <c r="N252" s="19" t="str">
        <f>IF(M252=M253,"N","Y")</f>
        <v>Y</v>
      </c>
      <c r="O252">
        <f>SUM(I252:I253)</f>
        <v>218</v>
      </c>
      <c r="P252">
        <f t="shared" si="23"/>
        <v>109</v>
      </c>
    </row>
    <row r="253" spans="1:16" x14ac:dyDescent="0.3">
      <c r="A253" t="str">
        <f t="shared" si="22"/>
        <v>2014Michael13</v>
      </c>
      <c r="B253">
        <f t="shared" si="18"/>
        <v>1040</v>
      </c>
      <c r="C253">
        <f t="shared" si="19"/>
        <v>435</v>
      </c>
      <c r="D253" t="s">
        <v>23</v>
      </c>
      <c r="E253" t="str">
        <f>D252</f>
        <v>Russell</v>
      </c>
      <c r="F253">
        <v>2014</v>
      </c>
      <c r="G253">
        <v>13</v>
      </c>
      <c r="H253">
        <v>1.2</v>
      </c>
      <c r="I253">
        <v>109</v>
      </c>
      <c r="J253">
        <f>I253-I252</f>
        <v>0</v>
      </c>
      <c r="K253" t="str">
        <f t="shared" si="20"/>
        <v>T</v>
      </c>
      <c r="L253" t="str">
        <f t="shared" si="21"/>
        <v>Michael</v>
      </c>
      <c r="M253" t="str">
        <f>VLOOKUP(L253,References!$A$2:$B$16,2,FALSE)</f>
        <v>AKCOVA</v>
      </c>
      <c r="N253" s="19" t="str">
        <f>IF(M253=M252,"N","Y")</f>
        <v>Y</v>
      </c>
      <c r="O253">
        <f>SUM(I252:I253)</f>
        <v>218</v>
      </c>
      <c r="P253">
        <f t="shared" si="23"/>
        <v>109</v>
      </c>
    </row>
    <row r="254" spans="1:16" hidden="1" x14ac:dyDescent="0.3">
      <c r="A254" t="str">
        <f t="shared" si="22"/>
        <v>2014Matt13</v>
      </c>
      <c r="B254">
        <f t="shared" si="18"/>
        <v>1475</v>
      </c>
      <c r="C254">
        <f t="shared" si="19"/>
        <v>746</v>
      </c>
      <c r="D254" t="s">
        <v>30</v>
      </c>
      <c r="E254" t="str">
        <f>D255</f>
        <v>David</v>
      </c>
      <c r="F254">
        <v>2014</v>
      </c>
      <c r="G254">
        <v>13</v>
      </c>
      <c r="H254">
        <v>2.1</v>
      </c>
      <c r="I254">
        <v>98</v>
      </c>
      <c r="J254">
        <f>I254-I255</f>
        <v>-17</v>
      </c>
      <c r="K254" t="str">
        <f t="shared" si="20"/>
        <v>L</v>
      </c>
      <c r="L254" t="str">
        <f t="shared" si="21"/>
        <v>Matt</v>
      </c>
      <c r="M254" t="str">
        <f>VLOOKUP(L254,References!$A$2:$B$16,2,FALSE)</f>
        <v>TEXAROK</v>
      </c>
      <c r="N254" s="19" t="str">
        <f>IF(M254=M255,"N","Y")</f>
        <v>N</v>
      </c>
      <c r="O254">
        <f>SUM(I254:I255)</f>
        <v>213</v>
      </c>
      <c r="P254">
        <f t="shared" si="23"/>
        <v>115</v>
      </c>
    </row>
    <row r="255" spans="1:16" hidden="1" x14ac:dyDescent="0.3">
      <c r="A255" t="str">
        <f t="shared" si="22"/>
        <v>2014David13</v>
      </c>
      <c r="B255">
        <f t="shared" si="18"/>
        <v>597</v>
      </c>
      <c r="C255">
        <f t="shared" si="19"/>
        <v>305</v>
      </c>
      <c r="D255" t="s">
        <v>29</v>
      </c>
      <c r="E255" t="str">
        <f>D254</f>
        <v>Matt</v>
      </c>
      <c r="F255">
        <v>2014</v>
      </c>
      <c r="G255">
        <v>13</v>
      </c>
      <c r="H255">
        <v>2.2000000000000002</v>
      </c>
      <c r="I255">
        <v>115</v>
      </c>
      <c r="J255">
        <f>I255-I254</f>
        <v>17</v>
      </c>
      <c r="K255" t="str">
        <f t="shared" si="20"/>
        <v>W</v>
      </c>
      <c r="L255" t="str">
        <f t="shared" si="21"/>
        <v>David</v>
      </c>
      <c r="M255" t="str">
        <f>VLOOKUP(L255,References!$A$2:$B$16,2,FALSE)</f>
        <v>TEXAROK</v>
      </c>
      <c r="N255" s="19" t="str">
        <f>IF(M255=M254,"N","Y")</f>
        <v>N</v>
      </c>
      <c r="O255">
        <f>SUM(I254:I255)</f>
        <v>213</v>
      </c>
      <c r="P255">
        <f t="shared" si="23"/>
        <v>98</v>
      </c>
    </row>
    <row r="256" spans="1:16" hidden="1" x14ac:dyDescent="0.3">
      <c r="A256" t="str">
        <f t="shared" si="22"/>
        <v>2014BR13</v>
      </c>
      <c r="B256">
        <f t="shared" si="18"/>
        <v>238</v>
      </c>
      <c r="C256">
        <f t="shared" si="19"/>
        <v>89</v>
      </c>
      <c r="D256" t="s">
        <v>25</v>
      </c>
      <c r="E256" t="str">
        <f>D257</f>
        <v>Mark</v>
      </c>
      <c r="F256">
        <v>2014</v>
      </c>
      <c r="G256">
        <v>13</v>
      </c>
      <c r="H256">
        <v>3.1</v>
      </c>
      <c r="I256">
        <v>133</v>
      </c>
      <c r="J256">
        <f>I256-I257</f>
        <v>36</v>
      </c>
      <c r="K256" t="str">
        <f t="shared" si="20"/>
        <v>W</v>
      </c>
      <c r="L256" t="str">
        <f t="shared" si="21"/>
        <v>BR</v>
      </c>
      <c r="M256" t="str">
        <f>VLOOKUP(L256,References!$A$2:$B$16,2,FALSE)</f>
        <v>AKCOVA</v>
      </c>
      <c r="N256" s="19" t="str">
        <f>IF(M256=M257,"N","Y")</f>
        <v>N</v>
      </c>
      <c r="O256">
        <f>SUM(I256:I257)</f>
        <v>230</v>
      </c>
      <c r="P256">
        <f t="shared" si="23"/>
        <v>97</v>
      </c>
    </row>
    <row r="257" spans="1:16" hidden="1" x14ac:dyDescent="0.3">
      <c r="A257" t="str">
        <f t="shared" si="22"/>
        <v>2014Mark13</v>
      </c>
      <c r="B257">
        <f t="shared" si="18"/>
        <v>1840</v>
      </c>
      <c r="C257">
        <f t="shared" si="19"/>
        <v>777</v>
      </c>
      <c r="D257" t="s">
        <v>22</v>
      </c>
      <c r="E257" t="str">
        <f>D256</f>
        <v>BR</v>
      </c>
      <c r="F257">
        <v>2014</v>
      </c>
      <c r="G257">
        <v>13</v>
      </c>
      <c r="H257">
        <v>3.2</v>
      </c>
      <c r="I257">
        <v>97</v>
      </c>
      <c r="J257">
        <f>I257-I256</f>
        <v>-36</v>
      </c>
      <c r="K257" t="str">
        <f t="shared" si="20"/>
        <v>L</v>
      </c>
      <c r="L257" t="str">
        <f t="shared" si="21"/>
        <v>Mark</v>
      </c>
      <c r="M257" t="str">
        <f>VLOOKUP(L257,References!$A$2:$B$16,2,FALSE)</f>
        <v>AKCOVA</v>
      </c>
      <c r="N257" s="19" t="str">
        <f>IF(M257=M256,"N","Y")</f>
        <v>N</v>
      </c>
      <c r="O257">
        <f>SUM(I256:I257)</f>
        <v>230</v>
      </c>
      <c r="P257">
        <f t="shared" si="23"/>
        <v>133</v>
      </c>
    </row>
    <row r="258" spans="1:16" hidden="1" x14ac:dyDescent="0.3">
      <c r="A258" t="str">
        <f t="shared" si="22"/>
        <v>2014Brian13</v>
      </c>
      <c r="B258">
        <f t="shared" ref="B258:B321" si="24">RANK(J258,diff)</f>
        <v>737</v>
      </c>
      <c r="C258">
        <f t="shared" ref="C258:C321" si="25">RANK(I258,points)</f>
        <v>926</v>
      </c>
      <c r="D258" t="s">
        <v>26</v>
      </c>
      <c r="E258" t="str">
        <f>D259</f>
        <v>Emily</v>
      </c>
      <c r="F258">
        <v>2014</v>
      </c>
      <c r="G258">
        <v>13</v>
      </c>
      <c r="H258">
        <v>4.0999999999999996</v>
      </c>
      <c r="I258">
        <v>93</v>
      </c>
      <c r="J258">
        <f>I258-I259</f>
        <v>11</v>
      </c>
      <c r="K258" t="str">
        <f t="shared" ref="K258:K321" si="26">IF(J258&gt;0,"W",IF(J258&lt;0,"L","T"))</f>
        <v>W</v>
      </c>
      <c r="L258" t="str">
        <f t="shared" ref="L258:L321" si="27">D258</f>
        <v>Brian</v>
      </c>
      <c r="M258" t="str">
        <f>VLOOKUP(L258,References!$A$2:$B$16,2,FALSE)</f>
        <v>TEXAROK</v>
      </c>
      <c r="N258" s="19" t="str">
        <f>IF(M258=M259,"N","Y")</f>
        <v>N</v>
      </c>
      <c r="O258">
        <f>SUM(I258:I259)</f>
        <v>175</v>
      </c>
      <c r="P258">
        <f t="shared" si="23"/>
        <v>82</v>
      </c>
    </row>
    <row r="259" spans="1:16" hidden="1" x14ac:dyDescent="0.3">
      <c r="A259" t="str">
        <f t="shared" ref="A259:A322" si="28">F259&amp;D259&amp;G259</f>
        <v>2014Emily13</v>
      </c>
      <c r="B259">
        <f t="shared" si="24"/>
        <v>1336</v>
      </c>
      <c r="C259">
        <f t="shared" si="25"/>
        <v>1318</v>
      </c>
      <c r="D259" t="s">
        <v>43</v>
      </c>
      <c r="E259" t="str">
        <f>D258</f>
        <v>Brian</v>
      </c>
      <c r="F259">
        <v>2014</v>
      </c>
      <c r="G259">
        <v>13</v>
      </c>
      <c r="H259">
        <v>4.2</v>
      </c>
      <c r="I259">
        <v>82</v>
      </c>
      <c r="J259">
        <f>I259-I258</f>
        <v>-11</v>
      </c>
      <c r="K259" t="str">
        <f t="shared" si="26"/>
        <v>L</v>
      </c>
      <c r="L259" t="str">
        <f t="shared" si="27"/>
        <v>Emily</v>
      </c>
      <c r="M259" t="str">
        <f>VLOOKUP(L259,References!$A$2:$B$16,2,FALSE)</f>
        <v>TEXAROK</v>
      </c>
      <c r="N259" s="19" t="str">
        <f>IF(M259=M258,"N","Y")</f>
        <v>N</v>
      </c>
      <c r="O259">
        <f>SUM(I258:I259)</f>
        <v>175</v>
      </c>
      <c r="P259">
        <f t="shared" ref="P259:P322" si="29">I259-J259</f>
        <v>93</v>
      </c>
    </row>
    <row r="260" spans="1:16" hidden="1" x14ac:dyDescent="0.3">
      <c r="A260" t="str">
        <f t="shared" si="28"/>
        <v>2014Abby13</v>
      </c>
      <c r="B260">
        <f t="shared" si="24"/>
        <v>597</v>
      </c>
      <c r="C260">
        <f t="shared" si="25"/>
        <v>1468</v>
      </c>
      <c r="D260" t="s">
        <v>27</v>
      </c>
      <c r="E260" t="str">
        <f>D261</f>
        <v>Watty</v>
      </c>
      <c r="F260">
        <v>2014</v>
      </c>
      <c r="G260">
        <v>13</v>
      </c>
      <c r="H260">
        <v>5.0999999999999996</v>
      </c>
      <c r="I260">
        <v>78</v>
      </c>
      <c r="J260">
        <f>I260-I261</f>
        <v>17</v>
      </c>
      <c r="K260" t="str">
        <f t="shared" si="26"/>
        <v>W</v>
      </c>
      <c r="L260" t="str">
        <f t="shared" si="27"/>
        <v>Abby</v>
      </c>
      <c r="M260" t="str">
        <f>VLOOKUP(L260,References!$A$2:$B$16,2,FALSE)</f>
        <v>AKCOVA</v>
      </c>
      <c r="N260" s="19" t="str">
        <f>IF(M260=M261,"N","Y")</f>
        <v>N</v>
      </c>
      <c r="O260">
        <f>SUM(I260:I261)</f>
        <v>139</v>
      </c>
      <c r="P260">
        <f t="shared" si="29"/>
        <v>61</v>
      </c>
    </row>
    <row r="261" spans="1:16" hidden="1" x14ac:dyDescent="0.3">
      <c r="A261" t="str">
        <f t="shared" si="28"/>
        <v>2014Watty13</v>
      </c>
      <c r="B261">
        <f t="shared" si="24"/>
        <v>1475</v>
      </c>
      <c r="C261">
        <f t="shared" si="25"/>
        <v>1927</v>
      </c>
      <c r="D261" t="s">
        <v>24</v>
      </c>
      <c r="E261" t="str">
        <f>D260</f>
        <v>Abby</v>
      </c>
      <c r="F261">
        <v>2014</v>
      </c>
      <c r="G261">
        <v>13</v>
      </c>
      <c r="H261">
        <v>5.2</v>
      </c>
      <c r="I261">
        <v>61</v>
      </c>
      <c r="J261">
        <f>I261-I260</f>
        <v>-17</v>
      </c>
      <c r="K261" t="str">
        <f t="shared" si="26"/>
        <v>L</v>
      </c>
      <c r="L261" t="str">
        <f t="shared" si="27"/>
        <v>Watty</v>
      </c>
      <c r="M261" t="str">
        <f>VLOOKUP(L261,References!$A$2:$B$16,2,FALSE)</f>
        <v>AKCOVA</v>
      </c>
      <c r="N261" s="19" t="str">
        <f>IF(M261=M260,"N","Y")</f>
        <v>N</v>
      </c>
      <c r="O261">
        <f>SUM(I260:I261)</f>
        <v>139</v>
      </c>
      <c r="P261">
        <f t="shared" si="29"/>
        <v>78</v>
      </c>
    </row>
    <row r="262" spans="1:16" hidden="1" x14ac:dyDescent="0.3">
      <c r="A262" t="str">
        <f t="shared" si="28"/>
        <v>2015Russell1</v>
      </c>
      <c r="B262">
        <f t="shared" si="24"/>
        <v>1312</v>
      </c>
      <c r="C262">
        <f t="shared" si="25"/>
        <v>652</v>
      </c>
      <c r="D262" t="s">
        <v>28</v>
      </c>
      <c r="E262" t="str">
        <f>D263</f>
        <v>Brent</v>
      </c>
      <c r="F262">
        <v>2015</v>
      </c>
      <c r="G262">
        <v>1</v>
      </c>
      <c r="H262">
        <v>1.1000000000000001</v>
      </c>
      <c r="I262" s="14">
        <v>101</v>
      </c>
      <c r="J262">
        <f>I262-I263</f>
        <v>-10</v>
      </c>
      <c r="K262" t="str">
        <f t="shared" si="26"/>
        <v>L</v>
      </c>
      <c r="L262" t="str">
        <f t="shared" si="27"/>
        <v>Russell</v>
      </c>
      <c r="M262" t="str">
        <f>VLOOKUP(L262,References!$A$2:$B$16,2,FALSE)</f>
        <v>TEXAROK</v>
      </c>
      <c r="N262" s="19" t="str">
        <f>IF(M262=M263,"N","Y")</f>
        <v>N</v>
      </c>
      <c r="O262">
        <f>SUM(I262:I263)</f>
        <v>212</v>
      </c>
      <c r="P262">
        <f t="shared" si="29"/>
        <v>111</v>
      </c>
    </row>
    <row r="263" spans="1:16" hidden="1" x14ac:dyDescent="0.3">
      <c r="A263" t="str">
        <f t="shared" si="28"/>
        <v>2015Brent1</v>
      </c>
      <c r="B263">
        <f t="shared" si="24"/>
        <v>758</v>
      </c>
      <c r="C263">
        <f t="shared" si="25"/>
        <v>383</v>
      </c>
      <c r="D263" t="s">
        <v>47</v>
      </c>
      <c r="E263" t="str">
        <f>D262</f>
        <v>Russell</v>
      </c>
      <c r="F263">
        <v>2015</v>
      </c>
      <c r="G263">
        <v>1</v>
      </c>
      <c r="H263">
        <v>1.2</v>
      </c>
      <c r="I263" s="14">
        <v>111</v>
      </c>
      <c r="J263">
        <f>I263-I262</f>
        <v>10</v>
      </c>
      <c r="K263" t="str">
        <f t="shared" si="26"/>
        <v>W</v>
      </c>
      <c r="L263" t="str">
        <f t="shared" si="27"/>
        <v>Brent</v>
      </c>
      <c r="M263" t="str">
        <f>VLOOKUP(L263,References!$A$2:$B$16,2,FALSE)</f>
        <v>TEXAROK</v>
      </c>
      <c r="N263" s="19" t="str">
        <f>IF(M263=M262,"N","Y")</f>
        <v>N</v>
      </c>
      <c r="O263">
        <f>SUM(I262:I263)</f>
        <v>212</v>
      </c>
      <c r="P263">
        <f t="shared" si="29"/>
        <v>101</v>
      </c>
    </row>
    <row r="264" spans="1:16" hidden="1" x14ac:dyDescent="0.3">
      <c r="A264" t="str">
        <f t="shared" si="28"/>
        <v>2015Michael1</v>
      </c>
      <c r="B264">
        <f t="shared" si="24"/>
        <v>356</v>
      </c>
      <c r="C264">
        <f t="shared" si="25"/>
        <v>566</v>
      </c>
      <c r="D264" t="s">
        <v>23</v>
      </c>
      <c r="E264" t="str">
        <f>D265</f>
        <v>Matt</v>
      </c>
      <c r="F264">
        <v>2015</v>
      </c>
      <c r="G264">
        <v>1</v>
      </c>
      <c r="H264">
        <v>2.1</v>
      </c>
      <c r="I264" s="14">
        <v>104</v>
      </c>
      <c r="J264">
        <f>I264-I265</f>
        <v>28</v>
      </c>
      <c r="K264" t="str">
        <f t="shared" si="26"/>
        <v>W</v>
      </c>
      <c r="L264" t="str">
        <f t="shared" si="27"/>
        <v>Michael</v>
      </c>
      <c r="M264" t="str">
        <f>VLOOKUP(L264,References!$A$2:$B$16,2,FALSE)</f>
        <v>AKCOVA</v>
      </c>
      <c r="N264" s="19" t="str">
        <f>IF(M264=M265,"N","Y")</f>
        <v>Y</v>
      </c>
      <c r="O264">
        <f>SUM(I264:I265)</f>
        <v>180</v>
      </c>
      <c r="P264">
        <f t="shared" si="29"/>
        <v>76</v>
      </c>
    </row>
    <row r="265" spans="1:16" hidden="1" x14ac:dyDescent="0.3">
      <c r="A265" t="str">
        <f t="shared" si="28"/>
        <v>2015Matt1</v>
      </c>
      <c r="B265">
        <f t="shared" si="24"/>
        <v>1723</v>
      </c>
      <c r="C265">
        <f t="shared" si="25"/>
        <v>1549</v>
      </c>
      <c r="D265" t="s">
        <v>30</v>
      </c>
      <c r="E265" t="str">
        <f>D264</f>
        <v>Michael</v>
      </c>
      <c r="F265">
        <v>2015</v>
      </c>
      <c r="G265">
        <v>1</v>
      </c>
      <c r="H265">
        <v>2.2000000000000002</v>
      </c>
      <c r="I265" s="14">
        <v>76</v>
      </c>
      <c r="J265">
        <f>I265-I264</f>
        <v>-28</v>
      </c>
      <c r="K265" t="str">
        <f t="shared" si="26"/>
        <v>L</v>
      </c>
      <c r="L265" t="str">
        <f t="shared" si="27"/>
        <v>Matt</v>
      </c>
      <c r="M265" t="str">
        <f>VLOOKUP(L265,References!$A$2:$B$16,2,FALSE)</f>
        <v>TEXAROK</v>
      </c>
      <c r="N265" s="19" t="str">
        <f>IF(M265=M264,"N","Y")</f>
        <v>Y</v>
      </c>
      <c r="O265">
        <f>SUM(I264:I265)</f>
        <v>180</v>
      </c>
      <c r="P265">
        <f t="shared" si="29"/>
        <v>104</v>
      </c>
    </row>
    <row r="266" spans="1:16" hidden="1" x14ac:dyDescent="0.3">
      <c r="A266" t="str">
        <f t="shared" si="28"/>
        <v>2015Emily1</v>
      </c>
      <c r="B266">
        <f t="shared" si="24"/>
        <v>1702</v>
      </c>
      <c r="C266">
        <f t="shared" si="25"/>
        <v>1951</v>
      </c>
      <c r="D266" t="s">
        <v>43</v>
      </c>
      <c r="E266" t="str">
        <f>D267</f>
        <v>David</v>
      </c>
      <c r="F266">
        <v>2015</v>
      </c>
      <c r="G266">
        <v>1</v>
      </c>
      <c r="H266">
        <v>3.1</v>
      </c>
      <c r="I266" s="14">
        <v>59</v>
      </c>
      <c r="J266">
        <f>I266-I267</f>
        <v>-27</v>
      </c>
      <c r="K266" t="str">
        <f t="shared" si="26"/>
        <v>L</v>
      </c>
      <c r="L266" t="str">
        <f t="shared" si="27"/>
        <v>Emily</v>
      </c>
      <c r="M266" t="str">
        <f>VLOOKUP(L266,References!$A$2:$B$16,2,FALSE)</f>
        <v>TEXAROK</v>
      </c>
      <c r="N266" s="19" t="str">
        <f>IF(M266=M267,"N","Y")</f>
        <v>N</v>
      </c>
      <c r="O266">
        <f>SUM(I266:I267)</f>
        <v>145</v>
      </c>
      <c r="P266">
        <f t="shared" si="29"/>
        <v>86</v>
      </c>
    </row>
    <row r="267" spans="1:16" hidden="1" x14ac:dyDescent="0.3">
      <c r="A267" t="str">
        <f t="shared" si="28"/>
        <v>2015David1</v>
      </c>
      <c r="B267">
        <f t="shared" si="24"/>
        <v>371</v>
      </c>
      <c r="C267">
        <f t="shared" si="25"/>
        <v>1173</v>
      </c>
      <c r="D267" t="s">
        <v>29</v>
      </c>
      <c r="E267" t="str">
        <f>D266</f>
        <v>Emily</v>
      </c>
      <c r="F267">
        <v>2015</v>
      </c>
      <c r="G267">
        <v>1</v>
      </c>
      <c r="H267">
        <v>3.2</v>
      </c>
      <c r="I267" s="14">
        <v>86</v>
      </c>
      <c r="J267">
        <f>I267-I266</f>
        <v>27</v>
      </c>
      <c r="K267" t="str">
        <f t="shared" si="26"/>
        <v>W</v>
      </c>
      <c r="L267" t="str">
        <f t="shared" si="27"/>
        <v>David</v>
      </c>
      <c r="M267" t="str">
        <f>VLOOKUP(L267,References!$A$2:$B$16,2,FALSE)</f>
        <v>TEXAROK</v>
      </c>
      <c r="N267" s="19" t="str">
        <f>IF(M267=M266,"N","Y")</f>
        <v>N</v>
      </c>
      <c r="O267">
        <f>SUM(I266:I267)</f>
        <v>145</v>
      </c>
      <c r="P267">
        <f t="shared" si="29"/>
        <v>59</v>
      </c>
    </row>
    <row r="268" spans="1:16" hidden="1" x14ac:dyDescent="0.3">
      <c r="A268" t="str">
        <f t="shared" si="28"/>
        <v>2015Abby1</v>
      </c>
      <c r="B268">
        <f t="shared" si="24"/>
        <v>1381</v>
      </c>
      <c r="C268">
        <f t="shared" si="25"/>
        <v>1936</v>
      </c>
      <c r="D268" t="s">
        <v>27</v>
      </c>
      <c r="E268" t="str">
        <f>D269</f>
        <v>Mark</v>
      </c>
      <c r="F268">
        <v>2015</v>
      </c>
      <c r="G268">
        <v>1</v>
      </c>
      <c r="H268">
        <v>4.0999999999999996</v>
      </c>
      <c r="I268" s="14">
        <v>60</v>
      </c>
      <c r="J268">
        <f>I268-I269</f>
        <v>-13</v>
      </c>
      <c r="K268" t="str">
        <f t="shared" si="26"/>
        <v>L</v>
      </c>
      <c r="L268" t="str">
        <f t="shared" si="27"/>
        <v>Abby</v>
      </c>
      <c r="M268" t="str">
        <f>VLOOKUP(L268,References!$A$2:$B$16,2,FALSE)</f>
        <v>AKCOVA</v>
      </c>
      <c r="N268" s="19" t="str">
        <f>IF(M268=M269,"N","Y")</f>
        <v>N</v>
      </c>
      <c r="O268">
        <f>SUM(I268:I269)</f>
        <v>133</v>
      </c>
      <c r="P268">
        <f t="shared" si="29"/>
        <v>73</v>
      </c>
    </row>
    <row r="269" spans="1:16" hidden="1" x14ac:dyDescent="0.3">
      <c r="A269" t="str">
        <f t="shared" si="28"/>
        <v>2015Mark1</v>
      </c>
      <c r="B269">
        <f t="shared" si="24"/>
        <v>685</v>
      </c>
      <c r="C269">
        <f t="shared" si="25"/>
        <v>1648</v>
      </c>
      <c r="D269" t="s">
        <v>22</v>
      </c>
      <c r="E269" t="str">
        <f>D268</f>
        <v>Abby</v>
      </c>
      <c r="F269">
        <v>2015</v>
      </c>
      <c r="G269">
        <v>1</v>
      </c>
      <c r="H269">
        <v>4.2</v>
      </c>
      <c r="I269" s="14">
        <v>73</v>
      </c>
      <c r="J269">
        <f>I269-I268</f>
        <v>13</v>
      </c>
      <c r="K269" t="str">
        <f t="shared" si="26"/>
        <v>W</v>
      </c>
      <c r="L269" t="str">
        <f t="shared" si="27"/>
        <v>Mark</v>
      </c>
      <c r="M269" t="str">
        <f>VLOOKUP(L269,References!$A$2:$B$16,2,FALSE)</f>
        <v>AKCOVA</v>
      </c>
      <c r="N269" s="19" t="str">
        <f>IF(M269=M268,"N","Y")</f>
        <v>N</v>
      </c>
      <c r="O269">
        <f>SUM(I268:I269)</f>
        <v>133</v>
      </c>
      <c r="P269">
        <f t="shared" si="29"/>
        <v>60</v>
      </c>
    </row>
    <row r="270" spans="1:16" hidden="1" x14ac:dyDescent="0.3">
      <c r="A270" t="str">
        <f t="shared" si="28"/>
        <v>2015BR1</v>
      </c>
      <c r="B270">
        <f t="shared" si="24"/>
        <v>619</v>
      </c>
      <c r="C270">
        <f t="shared" si="25"/>
        <v>1595</v>
      </c>
      <c r="D270" t="s">
        <v>25</v>
      </c>
      <c r="E270" t="str">
        <f>D271</f>
        <v>Watty</v>
      </c>
      <c r="F270">
        <v>2015</v>
      </c>
      <c r="G270">
        <v>1</v>
      </c>
      <c r="H270">
        <v>5.0999999999999996</v>
      </c>
      <c r="I270" s="14">
        <v>75</v>
      </c>
      <c r="J270">
        <f>I270-I271</f>
        <v>16</v>
      </c>
      <c r="K270" t="str">
        <f t="shared" si="26"/>
        <v>W</v>
      </c>
      <c r="L270" t="str">
        <f t="shared" si="27"/>
        <v>BR</v>
      </c>
      <c r="M270" t="str">
        <f>VLOOKUP(L270,References!$A$2:$B$16,2,FALSE)</f>
        <v>AKCOVA</v>
      </c>
      <c r="N270" s="19" t="str">
        <f>IF(M270=M271,"N","Y")</f>
        <v>N</v>
      </c>
      <c r="O270">
        <f>SUM(I270:I271)</f>
        <v>134</v>
      </c>
      <c r="P270">
        <f t="shared" si="29"/>
        <v>59</v>
      </c>
    </row>
    <row r="271" spans="1:16" hidden="1" x14ac:dyDescent="0.3">
      <c r="A271" t="str">
        <f t="shared" si="28"/>
        <v>2015Watty1</v>
      </c>
      <c r="B271">
        <f t="shared" si="24"/>
        <v>1455</v>
      </c>
      <c r="C271">
        <f t="shared" si="25"/>
        <v>1951</v>
      </c>
      <c r="D271" t="s">
        <v>24</v>
      </c>
      <c r="E271" t="str">
        <f>D270</f>
        <v>BR</v>
      </c>
      <c r="F271">
        <v>2015</v>
      </c>
      <c r="G271">
        <v>1</v>
      </c>
      <c r="H271">
        <v>5.2</v>
      </c>
      <c r="I271" s="14">
        <v>59</v>
      </c>
      <c r="J271">
        <f>I271-I270</f>
        <v>-16</v>
      </c>
      <c r="K271" t="str">
        <f t="shared" si="26"/>
        <v>L</v>
      </c>
      <c r="L271" t="str">
        <f t="shared" si="27"/>
        <v>Watty</v>
      </c>
      <c r="M271" t="str">
        <f>VLOOKUP(L271,References!$A$2:$B$16,2,FALSE)</f>
        <v>AKCOVA</v>
      </c>
      <c r="N271" s="19" t="str">
        <f>IF(M271=M270,"N","Y")</f>
        <v>N</v>
      </c>
      <c r="O271">
        <f>SUM(I270:I271)</f>
        <v>134</v>
      </c>
      <c r="P271">
        <f t="shared" si="29"/>
        <v>75</v>
      </c>
    </row>
    <row r="272" spans="1:16" hidden="1" x14ac:dyDescent="0.3">
      <c r="A272" t="str">
        <f t="shared" si="28"/>
        <v>2015Charles1</v>
      </c>
      <c r="B272">
        <f t="shared" si="24"/>
        <v>161</v>
      </c>
      <c r="C272">
        <f t="shared" si="25"/>
        <v>714</v>
      </c>
      <c r="D272" t="s">
        <v>48</v>
      </c>
      <c r="E272" t="str">
        <f>D273</f>
        <v>Brian</v>
      </c>
      <c r="F272">
        <v>2015</v>
      </c>
      <c r="G272">
        <v>1</v>
      </c>
      <c r="H272">
        <v>6.1</v>
      </c>
      <c r="I272" s="14">
        <v>99</v>
      </c>
      <c r="J272">
        <f>I272-I273</f>
        <v>43</v>
      </c>
      <c r="K272" t="str">
        <f t="shared" si="26"/>
        <v>W</v>
      </c>
      <c r="L272" t="str">
        <f t="shared" si="27"/>
        <v>Charles</v>
      </c>
      <c r="M272" t="str">
        <f>VLOOKUP(L272,References!$A$2:$B$16,2,FALSE)</f>
        <v>AKCOVA</v>
      </c>
      <c r="N272" s="19" t="str">
        <f>IF(M272=M273,"N","Y")</f>
        <v>Y</v>
      </c>
      <c r="O272">
        <f>SUM(I272:I273)</f>
        <v>155</v>
      </c>
      <c r="P272">
        <f t="shared" si="29"/>
        <v>56</v>
      </c>
    </row>
    <row r="273" spans="1:16" hidden="1" x14ac:dyDescent="0.3">
      <c r="A273" t="str">
        <f t="shared" si="28"/>
        <v>2015Brian1</v>
      </c>
      <c r="B273">
        <f t="shared" si="24"/>
        <v>1921</v>
      </c>
      <c r="C273">
        <f t="shared" si="25"/>
        <v>2001</v>
      </c>
      <c r="D273" t="s">
        <v>26</v>
      </c>
      <c r="E273" t="str">
        <f>D272</f>
        <v>Charles</v>
      </c>
      <c r="F273">
        <v>2015</v>
      </c>
      <c r="G273">
        <v>1</v>
      </c>
      <c r="H273">
        <v>6.2</v>
      </c>
      <c r="I273" s="14">
        <v>56</v>
      </c>
      <c r="J273">
        <f>I273-I272</f>
        <v>-43</v>
      </c>
      <c r="K273" t="str">
        <f t="shared" si="26"/>
        <v>L</v>
      </c>
      <c r="L273" t="str">
        <f t="shared" si="27"/>
        <v>Brian</v>
      </c>
      <c r="M273" t="str">
        <f>VLOOKUP(L273,References!$A$2:$B$16,2,FALSE)</f>
        <v>TEXAROK</v>
      </c>
      <c r="N273" s="19" t="str">
        <f>IF(M273=M272,"N","Y")</f>
        <v>Y</v>
      </c>
      <c r="O273">
        <f>SUM(I272:I273)</f>
        <v>155</v>
      </c>
      <c r="P273">
        <f t="shared" si="29"/>
        <v>99</v>
      </c>
    </row>
    <row r="274" spans="1:16" hidden="1" x14ac:dyDescent="0.3">
      <c r="A274" t="str">
        <f t="shared" si="28"/>
        <v>2015Russell2</v>
      </c>
      <c r="B274">
        <f t="shared" si="24"/>
        <v>836</v>
      </c>
      <c r="C274">
        <f t="shared" si="25"/>
        <v>1549</v>
      </c>
      <c r="D274" t="s">
        <v>28</v>
      </c>
      <c r="E274" t="str">
        <f>D275</f>
        <v>David</v>
      </c>
      <c r="F274">
        <v>2015</v>
      </c>
      <c r="G274">
        <v>2</v>
      </c>
      <c r="H274">
        <v>1.1000000000000001</v>
      </c>
      <c r="I274" s="14">
        <v>76</v>
      </c>
      <c r="J274">
        <f>I274-I275</f>
        <v>7</v>
      </c>
      <c r="K274" t="str">
        <f t="shared" si="26"/>
        <v>W</v>
      </c>
      <c r="L274" t="str">
        <f t="shared" si="27"/>
        <v>Russell</v>
      </c>
      <c r="M274" t="str">
        <f>VLOOKUP(L274,References!$A$2:$B$16,2,FALSE)</f>
        <v>TEXAROK</v>
      </c>
      <c r="N274" s="19" t="str">
        <f>IF(M274=M275,"N","Y")</f>
        <v>N</v>
      </c>
      <c r="O274">
        <f>SUM(I274:I275)</f>
        <v>145</v>
      </c>
      <c r="P274">
        <f t="shared" si="29"/>
        <v>69</v>
      </c>
    </row>
    <row r="275" spans="1:16" hidden="1" x14ac:dyDescent="0.3">
      <c r="A275" t="str">
        <f t="shared" si="28"/>
        <v>2015David2</v>
      </c>
      <c r="B275">
        <f t="shared" si="24"/>
        <v>1229</v>
      </c>
      <c r="C275">
        <f t="shared" si="25"/>
        <v>1767</v>
      </c>
      <c r="D275" t="s">
        <v>29</v>
      </c>
      <c r="E275" t="str">
        <f>D274</f>
        <v>Russell</v>
      </c>
      <c r="F275">
        <v>2015</v>
      </c>
      <c r="G275">
        <v>2</v>
      </c>
      <c r="H275">
        <v>1.2</v>
      </c>
      <c r="I275" s="14">
        <v>69</v>
      </c>
      <c r="J275">
        <f>I275-I274</f>
        <v>-7</v>
      </c>
      <c r="K275" t="str">
        <f t="shared" si="26"/>
        <v>L</v>
      </c>
      <c r="L275" t="str">
        <f t="shared" si="27"/>
        <v>David</v>
      </c>
      <c r="M275" t="str">
        <f>VLOOKUP(L275,References!$A$2:$B$16,2,FALSE)</f>
        <v>TEXAROK</v>
      </c>
      <c r="N275" s="19" t="str">
        <f>IF(M275=M274,"N","Y")</f>
        <v>N</v>
      </c>
      <c r="O275">
        <f>SUM(I274:I275)</f>
        <v>145</v>
      </c>
      <c r="P275">
        <f t="shared" si="29"/>
        <v>76</v>
      </c>
    </row>
    <row r="276" spans="1:16" hidden="1" x14ac:dyDescent="0.3">
      <c r="A276" t="str">
        <f t="shared" si="28"/>
        <v>2015Emily2</v>
      </c>
      <c r="B276">
        <f t="shared" si="24"/>
        <v>639</v>
      </c>
      <c r="C276">
        <f t="shared" si="25"/>
        <v>462</v>
      </c>
      <c r="D276" t="s">
        <v>43</v>
      </c>
      <c r="E276" t="str">
        <f>D277</f>
        <v>Michael</v>
      </c>
      <c r="F276">
        <v>2015</v>
      </c>
      <c r="G276">
        <v>2</v>
      </c>
      <c r="H276">
        <v>2.1</v>
      </c>
      <c r="I276" s="14">
        <v>108</v>
      </c>
      <c r="J276">
        <f>I276-I277</f>
        <v>15</v>
      </c>
      <c r="K276" t="str">
        <f t="shared" si="26"/>
        <v>W</v>
      </c>
      <c r="L276" t="str">
        <f t="shared" si="27"/>
        <v>Emily</v>
      </c>
      <c r="M276" t="str">
        <f>VLOOKUP(L276,References!$A$2:$B$16,2,FALSE)</f>
        <v>TEXAROK</v>
      </c>
      <c r="N276" s="19" t="str">
        <f>IF(M276=M277,"N","Y")</f>
        <v>Y</v>
      </c>
      <c r="O276">
        <f>SUM(I276:I277)</f>
        <v>201</v>
      </c>
      <c r="P276">
        <f t="shared" si="29"/>
        <v>93</v>
      </c>
    </row>
    <row r="277" spans="1:16" hidden="1" x14ac:dyDescent="0.3">
      <c r="A277" t="str">
        <f t="shared" si="28"/>
        <v>2015Michael2</v>
      </c>
      <c r="B277">
        <f t="shared" si="24"/>
        <v>1434</v>
      </c>
      <c r="C277">
        <f t="shared" si="25"/>
        <v>926</v>
      </c>
      <c r="D277" t="s">
        <v>23</v>
      </c>
      <c r="E277" t="str">
        <f>D276</f>
        <v>Emily</v>
      </c>
      <c r="F277">
        <v>2015</v>
      </c>
      <c r="G277">
        <v>2</v>
      </c>
      <c r="H277">
        <v>2.2000000000000002</v>
      </c>
      <c r="I277" s="14">
        <v>93</v>
      </c>
      <c r="J277">
        <f>I277-I276</f>
        <v>-15</v>
      </c>
      <c r="K277" t="str">
        <f t="shared" si="26"/>
        <v>L</v>
      </c>
      <c r="L277" t="str">
        <f t="shared" si="27"/>
        <v>Michael</v>
      </c>
      <c r="M277" t="str">
        <f>VLOOKUP(L277,References!$A$2:$B$16,2,FALSE)</f>
        <v>AKCOVA</v>
      </c>
      <c r="N277" s="19" t="str">
        <f>IF(M277=M276,"N","Y")</f>
        <v>Y</v>
      </c>
      <c r="O277">
        <f>SUM(I276:I277)</f>
        <v>201</v>
      </c>
      <c r="P277">
        <f t="shared" si="29"/>
        <v>108</v>
      </c>
    </row>
    <row r="278" spans="1:16" hidden="1" x14ac:dyDescent="0.3">
      <c r="A278" t="str">
        <f t="shared" si="28"/>
        <v>2015Matt2</v>
      </c>
      <c r="B278">
        <f t="shared" si="24"/>
        <v>1258</v>
      </c>
      <c r="C278">
        <f t="shared" si="25"/>
        <v>1406</v>
      </c>
      <c r="D278" t="s">
        <v>30</v>
      </c>
      <c r="E278" t="str">
        <f>D279</f>
        <v>Brent</v>
      </c>
      <c r="F278">
        <v>2015</v>
      </c>
      <c r="G278">
        <v>2</v>
      </c>
      <c r="H278">
        <v>3.1</v>
      </c>
      <c r="I278" s="14">
        <v>80</v>
      </c>
      <c r="J278">
        <f>I278-I279</f>
        <v>-8</v>
      </c>
      <c r="K278" t="str">
        <f t="shared" si="26"/>
        <v>L</v>
      </c>
      <c r="L278" t="str">
        <f t="shared" si="27"/>
        <v>Matt</v>
      </c>
      <c r="M278" t="str">
        <f>VLOOKUP(L278,References!$A$2:$B$16,2,FALSE)</f>
        <v>TEXAROK</v>
      </c>
      <c r="N278" s="19" t="str">
        <f>IF(M278=M279,"N","Y")</f>
        <v>N</v>
      </c>
      <c r="O278">
        <f>SUM(I278:I279)</f>
        <v>168</v>
      </c>
      <c r="P278">
        <f t="shared" si="29"/>
        <v>88</v>
      </c>
    </row>
    <row r="279" spans="1:16" hidden="1" x14ac:dyDescent="0.3">
      <c r="A279" t="str">
        <f t="shared" si="28"/>
        <v>2015Brent2</v>
      </c>
      <c r="B279">
        <f t="shared" si="24"/>
        <v>803</v>
      </c>
      <c r="C279">
        <f t="shared" si="25"/>
        <v>1100</v>
      </c>
      <c r="D279" t="s">
        <v>47</v>
      </c>
      <c r="E279" t="str">
        <f>D278</f>
        <v>Matt</v>
      </c>
      <c r="F279">
        <v>2015</v>
      </c>
      <c r="G279">
        <v>2</v>
      </c>
      <c r="H279">
        <v>3.2</v>
      </c>
      <c r="I279" s="14">
        <v>88</v>
      </c>
      <c r="J279">
        <f>I279-I278</f>
        <v>8</v>
      </c>
      <c r="K279" t="str">
        <f t="shared" si="26"/>
        <v>W</v>
      </c>
      <c r="L279" t="str">
        <f t="shared" si="27"/>
        <v>Brent</v>
      </c>
      <c r="M279" t="str">
        <f>VLOOKUP(L279,References!$A$2:$B$16,2,FALSE)</f>
        <v>TEXAROK</v>
      </c>
      <c r="N279" s="19" t="str">
        <f>IF(M279=M278,"N","Y")</f>
        <v>N</v>
      </c>
      <c r="O279">
        <f>SUM(I278:I279)</f>
        <v>168</v>
      </c>
      <c r="P279">
        <f t="shared" si="29"/>
        <v>80</v>
      </c>
    </row>
    <row r="280" spans="1:16" hidden="1" x14ac:dyDescent="0.3">
      <c r="A280" t="str">
        <f t="shared" si="28"/>
        <v>2015BR2</v>
      </c>
      <c r="B280">
        <f t="shared" si="24"/>
        <v>897</v>
      </c>
      <c r="C280">
        <f t="shared" si="25"/>
        <v>1318</v>
      </c>
      <c r="D280" t="s">
        <v>25</v>
      </c>
      <c r="E280" t="str">
        <f>D281</f>
        <v>Abby</v>
      </c>
      <c r="F280">
        <v>2015</v>
      </c>
      <c r="G280">
        <v>2</v>
      </c>
      <c r="H280">
        <v>4.0999999999999996</v>
      </c>
      <c r="I280" s="14">
        <v>82</v>
      </c>
      <c r="J280">
        <f>I280-I281</f>
        <v>5</v>
      </c>
      <c r="K280" t="str">
        <f t="shared" si="26"/>
        <v>W</v>
      </c>
      <c r="L280" t="str">
        <f t="shared" si="27"/>
        <v>BR</v>
      </c>
      <c r="M280" t="str">
        <f>VLOOKUP(L280,References!$A$2:$B$16,2,FALSE)</f>
        <v>AKCOVA</v>
      </c>
      <c r="N280" s="19" t="str">
        <f>IF(M280=M281,"N","Y")</f>
        <v>N</v>
      </c>
      <c r="O280">
        <f>SUM(I280:I281)</f>
        <v>159</v>
      </c>
      <c r="P280">
        <f t="shared" si="29"/>
        <v>77</v>
      </c>
    </row>
    <row r="281" spans="1:16" hidden="1" x14ac:dyDescent="0.3">
      <c r="A281" t="str">
        <f t="shared" si="28"/>
        <v>2015Abby2</v>
      </c>
      <c r="B281">
        <f t="shared" si="24"/>
        <v>1177</v>
      </c>
      <c r="C281">
        <f t="shared" si="25"/>
        <v>1512</v>
      </c>
      <c r="D281" t="s">
        <v>27</v>
      </c>
      <c r="E281" t="str">
        <f>D280</f>
        <v>BR</v>
      </c>
      <c r="F281">
        <v>2015</v>
      </c>
      <c r="G281">
        <v>2</v>
      </c>
      <c r="H281">
        <v>4.2</v>
      </c>
      <c r="I281" s="14">
        <v>77</v>
      </c>
      <c r="J281">
        <f>I281-I280</f>
        <v>-5</v>
      </c>
      <c r="K281" t="str">
        <f t="shared" si="26"/>
        <v>L</v>
      </c>
      <c r="L281" t="str">
        <f t="shared" si="27"/>
        <v>Abby</v>
      </c>
      <c r="M281" t="str">
        <f>VLOOKUP(L281,References!$A$2:$B$16,2,FALSE)</f>
        <v>AKCOVA</v>
      </c>
      <c r="N281" s="19" t="str">
        <f>IF(M281=M280,"N","Y")</f>
        <v>N</v>
      </c>
      <c r="O281">
        <f>SUM(I280:I281)</f>
        <v>159</v>
      </c>
      <c r="P281">
        <f t="shared" si="29"/>
        <v>82</v>
      </c>
    </row>
    <row r="282" spans="1:16" hidden="1" x14ac:dyDescent="0.3">
      <c r="A282" t="str">
        <f t="shared" si="28"/>
        <v>2015Mark2</v>
      </c>
      <c r="B282">
        <f t="shared" si="24"/>
        <v>489</v>
      </c>
      <c r="C282">
        <f t="shared" si="25"/>
        <v>1406</v>
      </c>
      <c r="D282" t="s">
        <v>22</v>
      </c>
      <c r="E282" t="str">
        <f>D283</f>
        <v>Charles</v>
      </c>
      <c r="F282">
        <v>2015</v>
      </c>
      <c r="G282">
        <v>2</v>
      </c>
      <c r="H282">
        <v>5.0999999999999996</v>
      </c>
      <c r="I282" s="14">
        <v>80</v>
      </c>
      <c r="J282">
        <f>I282-I283</f>
        <v>21</v>
      </c>
      <c r="K282" t="str">
        <f t="shared" si="26"/>
        <v>W</v>
      </c>
      <c r="L282" t="str">
        <f t="shared" si="27"/>
        <v>Mark</v>
      </c>
      <c r="M282" t="str">
        <f>VLOOKUP(L282,References!$A$2:$B$16,2,FALSE)</f>
        <v>AKCOVA</v>
      </c>
      <c r="N282" s="19" t="str">
        <f>IF(M282=M283,"N","Y")</f>
        <v>N</v>
      </c>
      <c r="O282">
        <f>SUM(I282:I283)</f>
        <v>139</v>
      </c>
      <c r="P282">
        <f t="shared" si="29"/>
        <v>59</v>
      </c>
    </row>
    <row r="283" spans="1:16" hidden="1" x14ac:dyDescent="0.3">
      <c r="A283" t="str">
        <f t="shared" si="28"/>
        <v>2015Charles2</v>
      </c>
      <c r="B283">
        <f t="shared" si="24"/>
        <v>1577</v>
      </c>
      <c r="C283">
        <f t="shared" si="25"/>
        <v>1951</v>
      </c>
      <c r="D283" t="s">
        <v>48</v>
      </c>
      <c r="E283" t="str">
        <f>D282</f>
        <v>Mark</v>
      </c>
      <c r="F283">
        <v>2015</v>
      </c>
      <c r="G283">
        <v>2</v>
      </c>
      <c r="H283">
        <v>5.2</v>
      </c>
      <c r="I283" s="14">
        <v>59</v>
      </c>
      <c r="J283">
        <f>I283-I282</f>
        <v>-21</v>
      </c>
      <c r="K283" t="str">
        <f t="shared" si="26"/>
        <v>L</v>
      </c>
      <c r="L283" t="str">
        <f t="shared" si="27"/>
        <v>Charles</v>
      </c>
      <c r="M283" t="str">
        <f>VLOOKUP(L283,References!$A$2:$B$16,2,FALSE)</f>
        <v>AKCOVA</v>
      </c>
      <c r="N283" s="19" t="str">
        <f>IF(M283=M282,"N","Y")</f>
        <v>N</v>
      </c>
      <c r="O283">
        <f>SUM(I282:I283)</f>
        <v>139</v>
      </c>
      <c r="P283">
        <f t="shared" si="29"/>
        <v>80</v>
      </c>
    </row>
    <row r="284" spans="1:16" hidden="1" x14ac:dyDescent="0.3">
      <c r="A284" t="str">
        <f t="shared" si="28"/>
        <v>2015Watty2</v>
      </c>
      <c r="B284">
        <f t="shared" si="24"/>
        <v>1738</v>
      </c>
      <c r="C284">
        <f t="shared" si="25"/>
        <v>2060</v>
      </c>
      <c r="D284" t="s">
        <v>24</v>
      </c>
      <c r="E284" t="str">
        <f>D285</f>
        <v>Brian</v>
      </c>
      <c r="F284">
        <v>2015</v>
      </c>
      <c r="G284">
        <v>2</v>
      </c>
      <c r="H284">
        <v>6.1</v>
      </c>
      <c r="I284" s="14">
        <v>48</v>
      </c>
      <c r="J284">
        <f>I284-I285</f>
        <v>-29</v>
      </c>
      <c r="K284" t="str">
        <f t="shared" si="26"/>
        <v>L</v>
      </c>
      <c r="L284" t="str">
        <f t="shared" si="27"/>
        <v>Watty</v>
      </c>
      <c r="M284" t="str">
        <f>VLOOKUP(L284,References!$A$2:$B$16,2,FALSE)</f>
        <v>AKCOVA</v>
      </c>
      <c r="N284" s="19" t="str">
        <f>IF(M284=M285,"N","Y")</f>
        <v>Y</v>
      </c>
      <c r="O284">
        <f>SUM(I284:I285)</f>
        <v>125</v>
      </c>
      <c r="P284">
        <f t="shared" si="29"/>
        <v>77</v>
      </c>
    </row>
    <row r="285" spans="1:16" hidden="1" x14ac:dyDescent="0.3">
      <c r="A285" t="str">
        <f t="shared" si="28"/>
        <v>2015Brian2</v>
      </c>
      <c r="B285">
        <f t="shared" si="24"/>
        <v>341</v>
      </c>
      <c r="C285">
        <f t="shared" si="25"/>
        <v>1512</v>
      </c>
      <c r="D285" t="s">
        <v>26</v>
      </c>
      <c r="E285" t="str">
        <f>D284</f>
        <v>Watty</v>
      </c>
      <c r="F285">
        <v>2015</v>
      </c>
      <c r="G285">
        <v>2</v>
      </c>
      <c r="H285">
        <v>6.2</v>
      </c>
      <c r="I285" s="14">
        <v>77</v>
      </c>
      <c r="J285">
        <f>I285-I284</f>
        <v>29</v>
      </c>
      <c r="K285" t="str">
        <f t="shared" si="26"/>
        <v>W</v>
      </c>
      <c r="L285" t="str">
        <f t="shared" si="27"/>
        <v>Brian</v>
      </c>
      <c r="M285" t="str">
        <f>VLOOKUP(L285,References!$A$2:$B$16,2,FALSE)</f>
        <v>TEXAROK</v>
      </c>
      <c r="N285" s="19" t="str">
        <f>IF(M285=M284,"N","Y")</f>
        <v>Y</v>
      </c>
      <c r="O285">
        <f>SUM(I284:I285)</f>
        <v>125</v>
      </c>
      <c r="P285">
        <f t="shared" si="29"/>
        <v>48</v>
      </c>
    </row>
    <row r="286" spans="1:16" hidden="1" x14ac:dyDescent="0.3">
      <c r="A286" t="str">
        <f t="shared" si="28"/>
        <v>2015Russell3</v>
      </c>
      <c r="B286">
        <f t="shared" si="24"/>
        <v>2063</v>
      </c>
      <c r="C286">
        <f t="shared" si="25"/>
        <v>1055</v>
      </c>
      <c r="D286" t="s">
        <v>28</v>
      </c>
      <c r="E286" t="str">
        <f>D287</f>
        <v>Emily</v>
      </c>
      <c r="F286">
        <v>2015</v>
      </c>
      <c r="G286">
        <v>3</v>
      </c>
      <c r="H286">
        <v>1.1000000000000001</v>
      </c>
      <c r="I286" s="14">
        <v>89</v>
      </c>
      <c r="J286">
        <f>I286-I287</f>
        <v>-67</v>
      </c>
      <c r="K286" t="str">
        <f t="shared" si="26"/>
        <v>L</v>
      </c>
      <c r="L286" t="str">
        <f t="shared" si="27"/>
        <v>Russell</v>
      </c>
      <c r="M286" t="str">
        <f>VLOOKUP(L286,References!$A$2:$B$16,2,FALSE)</f>
        <v>TEXAROK</v>
      </c>
      <c r="N286" s="19" t="str">
        <f>IF(M286=M287,"N","Y")</f>
        <v>N</v>
      </c>
      <c r="O286">
        <f>SUM(I286:I287)</f>
        <v>245</v>
      </c>
      <c r="P286">
        <f t="shared" si="29"/>
        <v>156</v>
      </c>
    </row>
    <row r="287" spans="1:16" hidden="1" x14ac:dyDescent="0.3">
      <c r="A287" t="str">
        <f t="shared" si="28"/>
        <v>2015Emily3</v>
      </c>
      <c r="B287">
        <f t="shared" si="24"/>
        <v>27</v>
      </c>
      <c r="C287">
        <f t="shared" si="25"/>
        <v>14</v>
      </c>
      <c r="D287" t="s">
        <v>43</v>
      </c>
      <c r="E287" t="str">
        <f>D286</f>
        <v>Russell</v>
      </c>
      <c r="F287">
        <v>2015</v>
      </c>
      <c r="G287">
        <v>3</v>
      </c>
      <c r="H287">
        <v>1.2</v>
      </c>
      <c r="I287" s="14">
        <v>156</v>
      </c>
      <c r="J287">
        <f>I287-I286</f>
        <v>67</v>
      </c>
      <c r="K287" t="str">
        <f t="shared" si="26"/>
        <v>W</v>
      </c>
      <c r="L287" t="str">
        <f t="shared" si="27"/>
        <v>Emily</v>
      </c>
      <c r="M287" t="str">
        <f>VLOOKUP(L287,References!$A$2:$B$16,2,FALSE)</f>
        <v>TEXAROK</v>
      </c>
      <c r="N287" s="19" t="str">
        <f>IF(M287=M286,"N","Y")</f>
        <v>N</v>
      </c>
      <c r="O287">
        <f>SUM(I286:I287)</f>
        <v>245</v>
      </c>
      <c r="P287">
        <f t="shared" si="29"/>
        <v>89</v>
      </c>
    </row>
    <row r="288" spans="1:16" hidden="1" x14ac:dyDescent="0.3">
      <c r="A288" t="str">
        <f t="shared" si="28"/>
        <v>2015Michael3</v>
      </c>
      <c r="B288">
        <f t="shared" si="24"/>
        <v>1475</v>
      </c>
      <c r="C288">
        <f t="shared" si="25"/>
        <v>958</v>
      </c>
      <c r="D288" t="s">
        <v>23</v>
      </c>
      <c r="E288" t="str">
        <f>D289</f>
        <v>Brent</v>
      </c>
      <c r="F288">
        <v>2015</v>
      </c>
      <c r="G288">
        <v>3</v>
      </c>
      <c r="H288">
        <v>2.1</v>
      </c>
      <c r="I288" s="14">
        <v>92</v>
      </c>
      <c r="J288">
        <f>I288-I289</f>
        <v>-17</v>
      </c>
      <c r="K288" t="str">
        <f t="shared" si="26"/>
        <v>L</v>
      </c>
      <c r="L288" t="str">
        <f t="shared" si="27"/>
        <v>Michael</v>
      </c>
      <c r="M288" t="str">
        <f>VLOOKUP(L288,References!$A$2:$B$16,2,FALSE)</f>
        <v>AKCOVA</v>
      </c>
      <c r="N288" s="19" t="str">
        <f>IF(M288=M289,"N","Y")</f>
        <v>Y</v>
      </c>
      <c r="O288">
        <f>SUM(I288:I289)</f>
        <v>201</v>
      </c>
      <c r="P288">
        <f t="shared" si="29"/>
        <v>109</v>
      </c>
    </row>
    <row r="289" spans="1:16" hidden="1" x14ac:dyDescent="0.3">
      <c r="A289" t="str">
        <f t="shared" si="28"/>
        <v>2015Brent3</v>
      </c>
      <c r="B289">
        <f t="shared" si="24"/>
        <v>597</v>
      </c>
      <c r="C289">
        <f t="shared" si="25"/>
        <v>435</v>
      </c>
      <c r="D289" t="s">
        <v>47</v>
      </c>
      <c r="E289" t="str">
        <f>D288</f>
        <v>Michael</v>
      </c>
      <c r="F289">
        <v>2015</v>
      </c>
      <c r="G289">
        <v>3</v>
      </c>
      <c r="H289">
        <v>2.2000000000000002</v>
      </c>
      <c r="I289" s="14">
        <v>109</v>
      </c>
      <c r="J289">
        <f>I289-I288</f>
        <v>17</v>
      </c>
      <c r="K289" t="str">
        <f t="shared" si="26"/>
        <v>W</v>
      </c>
      <c r="L289" t="str">
        <f t="shared" si="27"/>
        <v>Brent</v>
      </c>
      <c r="M289" t="str">
        <f>VLOOKUP(L289,References!$A$2:$B$16,2,FALSE)</f>
        <v>TEXAROK</v>
      </c>
      <c r="N289" s="19" t="str">
        <f>IF(M289=M288,"N","Y")</f>
        <v>Y</v>
      </c>
      <c r="O289">
        <f>SUM(I288:I289)</f>
        <v>201</v>
      </c>
      <c r="P289">
        <f t="shared" si="29"/>
        <v>92</v>
      </c>
    </row>
    <row r="290" spans="1:16" hidden="1" x14ac:dyDescent="0.3">
      <c r="A290" t="str">
        <f t="shared" si="28"/>
        <v>2015David3</v>
      </c>
      <c r="B290">
        <f t="shared" si="24"/>
        <v>619</v>
      </c>
      <c r="C290">
        <f t="shared" si="25"/>
        <v>1439</v>
      </c>
      <c r="D290" t="s">
        <v>29</v>
      </c>
      <c r="E290" t="str">
        <f>D291</f>
        <v>Matt</v>
      </c>
      <c r="F290">
        <v>2015</v>
      </c>
      <c r="G290">
        <v>3</v>
      </c>
      <c r="H290">
        <v>3.1</v>
      </c>
      <c r="I290" s="14">
        <v>79</v>
      </c>
      <c r="J290">
        <f>I290-I291</f>
        <v>16</v>
      </c>
      <c r="K290" t="str">
        <f t="shared" si="26"/>
        <v>W</v>
      </c>
      <c r="L290" t="str">
        <f t="shared" si="27"/>
        <v>David</v>
      </c>
      <c r="M290" t="str">
        <f>VLOOKUP(L290,References!$A$2:$B$16,2,FALSE)</f>
        <v>TEXAROK</v>
      </c>
      <c r="N290" s="19" t="str">
        <f>IF(M290=M291,"N","Y")</f>
        <v>N</v>
      </c>
      <c r="O290">
        <f>SUM(I290:I291)</f>
        <v>142</v>
      </c>
      <c r="P290">
        <f t="shared" si="29"/>
        <v>63</v>
      </c>
    </row>
    <row r="291" spans="1:16" hidden="1" x14ac:dyDescent="0.3">
      <c r="A291" t="str">
        <f t="shared" si="28"/>
        <v>2015Matt3</v>
      </c>
      <c r="B291">
        <f t="shared" si="24"/>
        <v>1455</v>
      </c>
      <c r="C291">
        <f t="shared" si="25"/>
        <v>1885</v>
      </c>
      <c r="D291" t="s">
        <v>30</v>
      </c>
      <c r="E291" t="str">
        <f>D290</f>
        <v>David</v>
      </c>
      <c r="F291">
        <v>2015</v>
      </c>
      <c r="G291">
        <v>3</v>
      </c>
      <c r="H291">
        <v>3.2</v>
      </c>
      <c r="I291" s="14">
        <v>63</v>
      </c>
      <c r="J291">
        <f>I291-I290</f>
        <v>-16</v>
      </c>
      <c r="K291" t="str">
        <f t="shared" si="26"/>
        <v>L</v>
      </c>
      <c r="L291" t="str">
        <f t="shared" si="27"/>
        <v>Matt</v>
      </c>
      <c r="M291" t="str">
        <f>VLOOKUP(L291,References!$A$2:$B$16,2,FALSE)</f>
        <v>TEXAROK</v>
      </c>
      <c r="N291" s="19" t="str">
        <f>IF(M291=M290,"N","Y")</f>
        <v>N</v>
      </c>
      <c r="O291">
        <f>SUM(I290:I291)</f>
        <v>142</v>
      </c>
      <c r="P291">
        <f t="shared" si="29"/>
        <v>79</v>
      </c>
    </row>
    <row r="292" spans="1:16" hidden="1" x14ac:dyDescent="0.3">
      <c r="A292" t="str">
        <f t="shared" si="28"/>
        <v>2015Abby3</v>
      </c>
      <c r="B292">
        <f t="shared" si="24"/>
        <v>1921</v>
      </c>
      <c r="C292">
        <f t="shared" si="25"/>
        <v>1767</v>
      </c>
      <c r="D292" t="s">
        <v>27</v>
      </c>
      <c r="E292" t="str">
        <f>D293</f>
        <v>Charles</v>
      </c>
      <c r="F292">
        <v>2015</v>
      </c>
      <c r="G292">
        <v>3</v>
      </c>
      <c r="H292">
        <v>4.0999999999999996</v>
      </c>
      <c r="I292" s="14">
        <v>69</v>
      </c>
      <c r="J292">
        <f>I292-I293</f>
        <v>-43</v>
      </c>
      <c r="K292" t="str">
        <f t="shared" si="26"/>
        <v>L</v>
      </c>
      <c r="L292" t="str">
        <f t="shared" si="27"/>
        <v>Abby</v>
      </c>
      <c r="M292" t="str">
        <f>VLOOKUP(L292,References!$A$2:$B$16,2,FALSE)</f>
        <v>AKCOVA</v>
      </c>
      <c r="N292" s="19" t="str">
        <f>IF(M292=M293,"N","Y")</f>
        <v>N</v>
      </c>
      <c r="O292">
        <f>SUM(I292:I293)</f>
        <v>181</v>
      </c>
      <c r="P292">
        <f t="shared" si="29"/>
        <v>112</v>
      </c>
    </row>
    <row r="293" spans="1:16" hidden="1" x14ac:dyDescent="0.3">
      <c r="A293" t="str">
        <f t="shared" si="28"/>
        <v>2015Charles3</v>
      </c>
      <c r="B293">
        <f t="shared" si="24"/>
        <v>161</v>
      </c>
      <c r="C293">
        <f t="shared" si="25"/>
        <v>364</v>
      </c>
      <c r="D293" t="s">
        <v>48</v>
      </c>
      <c r="E293" t="str">
        <f>D292</f>
        <v>Abby</v>
      </c>
      <c r="F293">
        <v>2015</v>
      </c>
      <c r="G293">
        <v>3</v>
      </c>
      <c r="H293">
        <v>4.2</v>
      </c>
      <c r="I293" s="14">
        <v>112</v>
      </c>
      <c r="J293">
        <f>I293-I292</f>
        <v>43</v>
      </c>
      <c r="K293" t="str">
        <f t="shared" si="26"/>
        <v>W</v>
      </c>
      <c r="L293" t="str">
        <f t="shared" si="27"/>
        <v>Charles</v>
      </c>
      <c r="M293" t="str">
        <f>VLOOKUP(L293,References!$A$2:$B$16,2,FALSE)</f>
        <v>AKCOVA</v>
      </c>
      <c r="N293" s="19" t="str">
        <f>IF(M293=M292,"N","Y")</f>
        <v>N</v>
      </c>
      <c r="O293">
        <f>SUM(I292:I293)</f>
        <v>181</v>
      </c>
      <c r="P293">
        <f t="shared" si="29"/>
        <v>69</v>
      </c>
    </row>
    <row r="294" spans="1:16" hidden="1" x14ac:dyDescent="0.3">
      <c r="A294" t="str">
        <f t="shared" si="28"/>
        <v>2015Brian3</v>
      </c>
      <c r="B294">
        <f t="shared" si="24"/>
        <v>17</v>
      </c>
      <c r="C294">
        <f t="shared" si="25"/>
        <v>52</v>
      </c>
      <c r="D294" t="s">
        <v>26</v>
      </c>
      <c r="E294" t="str">
        <f>D295</f>
        <v>BR</v>
      </c>
      <c r="F294">
        <v>2015</v>
      </c>
      <c r="G294">
        <v>3</v>
      </c>
      <c r="H294">
        <v>5.0999999999999996</v>
      </c>
      <c r="I294" s="14">
        <v>141</v>
      </c>
      <c r="J294">
        <f>I294-I295</f>
        <v>73</v>
      </c>
      <c r="K294" t="str">
        <f t="shared" si="26"/>
        <v>W</v>
      </c>
      <c r="L294" t="str">
        <f t="shared" si="27"/>
        <v>Brian</v>
      </c>
      <c r="M294" t="str">
        <f>VLOOKUP(L294,References!$A$2:$B$16,2,FALSE)</f>
        <v>TEXAROK</v>
      </c>
      <c r="N294" s="19" t="str">
        <f>IF(M294=M295,"N","Y")</f>
        <v>Y</v>
      </c>
      <c r="O294">
        <f>SUM(I294:I295)</f>
        <v>209</v>
      </c>
      <c r="P294">
        <f t="shared" si="29"/>
        <v>68</v>
      </c>
    </row>
    <row r="295" spans="1:16" hidden="1" x14ac:dyDescent="0.3">
      <c r="A295" t="str">
        <f t="shared" si="28"/>
        <v>2015BR3</v>
      </c>
      <c r="B295">
        <f t="shared" si="24"/>
        <v>2076</v>
      </c>
      <c r="C295">
        <f t="shared" si="25"/>
        <v>1793</v>
      </c>
      <c r="D295" t="s">
        <v>25</v>
      </c>
      <c r="E295" t="str">
        <f>D294</f>
        <v>Brian</v>
      </c>
      <c r="F295">
        <v>2015</v>
      </c>
      <c r="G295">
        <v>3</v>
      </c>
      <c r="H295">
        <v>5.2</v>
      </c>
      <c r="I295" s="14">
        <v>68</v>
      </c>
      <c r="J295">
        <f>I295-I294</f>
        <v>-73</v>
      </c>
      <c r="K295" t="str">
        <f t="shared" si="26"/>
        <v>L</v>
      </c>
      <c r="L295" t="str">
        <f t="shared" si="27"/>
        <v>BR</v>
      </c>
      <c r="M295" t="str">
        <f>VLOOKUP(L295,References!$A$2:$B$16,2,FALSE)</f>
        <v>AKCOVA</v>
      </c>
      <c r="N295" s="19" t="str">
        <f>IF(M295=M294,"N","Y")</f>
        <v>Y</v>
      </c>
      <c r="O295">
        <f>SUM(I294:I295)</f>
        <v>209</v>
      </c>
      <c r="P295">
        <f t="shared" si="29"/>
        <v>141</v>
      </c>
    </row>
    <row r="296" spans="1:16" hidden="1" x14ac:dyDescent="0.3">
      <c r="A296" t="str">
        <f t="shared" si="28"/>
        <v>2015Watty3</v>
      </c>
      <c r="B296">
        <f t="shared" si="24"/>
        <v>392</v>
      </c>
      <c r="C296">
        <f t="shared" si="25"/>
        <v>746</v>
      </c>
      <c r="D296" t="s">
        <v>24</v>
      </c>
      <c r="E296" t="str">
        <f>D297</f>
        <v>Mark</v>
      </c>
      <c r="F296">
        <v>2015</v>
      </c>
      <c r="G296">
        <v>3</v>
      </c>
      <c r="H296">
        <v>6.1</v>
      </c>
      <c r="I296" s="14">
        <v>98</v>
      </c>
      <c r="J296">
        <f>I296-I297</f>
        <v>26</v>
      </c>
      <c r="K296" t="str">
        <f t="shared" si="26"/>
        <v>W</v>
      </c>
      <c r="L296" t="str">
        <f t="shared" si="27"/>
        <v>Watty</v>
      </c>
      <c r="M296" t="str">
        <f>VLOOKUP(L296,References!$A$2:$B$16,2,FALSE)</f>
        <v>AKCOVA</v>
      </c>
      <c r="N296" s="19" t="str">
        <f>IF(M296=M297,"N","Y")</f>
        <v>N</v>
      </c>
      <c r="O296">
        <f>SUM(I296:I297)</f>
        <v>170</v>
      </c>
      <c r="P296">
        <f t="shared" si="29"/>
        <v>72</v>
      </c>
    </row>
    <row r="297" spans="1:16" hidden="1" x14ac:dyDescent="0.3">
      <c r="A297" t="str">
        <f t="shared" si="28"/>
        <v>2015Mark3</v>
      </c>
      <c r="B297">
        <f t="shared" si="24"/>
        <v>1684</v>
      </c>
      <c r="C297">
        <f t="shared" si="25"/>
        <v>1684</v>
      </c>
      <c r="D297" t="s">
        <v>22</v>
      </c>
      <c r="E297" t="str">
        <f>D296</f>
        <v>Watty</v>
      </c>
      <c r="F297">
        <v>2015</v>
      </c>
      <c r="G297">
        <v>3</v>
      </c>
      <c r="H297">
        <v>6.2</v>
      </c>
      <c r="I297" s="14">
        <v>72</v>
      </c>
      <c r="J297">
        <f>I297-I296</f>
        <v>-26</v>
      </c>
      <c r="K297" t="str">
        <f t="shared" si="26"/>
        <v>L</v>
      </c>
      <c r="L297" t="str">
        <f t="shared" si="27"/>
        <v>Mark</v>
      </c>
      <c r="M297" t="str">
        <f>VLOOKUP(L297,References!$A$2:$B$16,2,FALSE)</f>
        <v>AKCOVA</v>
      </c>
      <c r="N297" s="19" t="str">
        <f>IF(M297=M296,"N","Y")</f>
        <v>N</v>
      </c>
      <c r="O297">
        <f>SUM(I296:I297)</f>
        <v>170</v>
      </c>
      <c r="P297">
        <f t="shared" si="29"/>
        <v>98</v>
      </c>
    </row>
    <row r="298" spans="1:16" hidden="1" x14ac:dyDescent="0.3">
      <c r="A298" t="str">
        <f t="shared" si="28"/>
        <v>2015Russell4</v>
      </c>
      <c r="B298">
        <f t="shared" si="24"/>
        <v>685</v>
      </c>
      <c r="C298">
        <f t="shared" si="25"/>
        <v>1282</v>
      </c>
      <c r="D298" t="s">
        <v>28</v>
      </c>
      <c r="E298" t="str">
        <f>D299</f>
        <v>Michael</v>
      </c>
      <c r="F298">
        <v>2015</v>
      </c>
      <c r="G298">
        <v>4</v>
      </c>
      <c r="H298">
        <v>1.1000000000000001</v>
      </c>
      <c r="I298" s="14">
        <v>83</v>
      </c>
      <c r="J298">
        <f>I298-I299</f>
        <v>13</v>
      </c>
      <c r="K298" t="str">
        <f t="shared" si="26"/>
        <v>W</v>
      </c>
      <c r="L298" t="str">
        <f t="shared" si="27"/>
        <v>Russell</v>
      </c>
      <c r="M298" t="str">
        <f>VLOOKUP(L298,References!$A$2:$B$16,2,FALSE)</f>
        <v>TEXAROK</v>
      </c>
      <c r="N298" s="19" t="str">
        <f>IF(M298=M299,"N","Y")</f>
        <v>Y</v>
      </c>
      <c r="O298">
        <f>SUM(I298:I299)</f>
        <v>153</v>
      </c>
      <c r="P298">
        <f t="shared" si="29"/>
        <v>70</v>
      </c>
    </row>
    <row r="299" spans="1:16" x14ac:dyDescent="0.3">
      <c r="A299" t="str">
        <f t="shared" si="28"/>
        <v>2015Michael4</v>
      </c>
      <c r="B299">
        <f t="shared" si="24"/>
        <v>1381</v>
      </c>
      <c r="C299">
        <f t="shared" si="25"/>
        <v>1738</v>
      </c>
      <c r="D299" t="s">
        <v>23</v>
      </c>
      <c r="E299" t="str">
        <f>D298</f>
        <v>Russell</v>
      </c>
      <c r="F299">
        <v>2015</v>
      </c>
      <c r="G299">
        <v>4</v>
      </c>
      <c r="H299">
        <v>1.2</v>
      </c>
      <c r="I299" s="14">
        <v>70</v>
      </c>
      <c r="J299">
        <f>I299-I298</f>
        <v>-13</v>
      </c>
      <c r="K299" t="str">
        <f t="shared" si="26"/>
        <v>L</v>
      </c>
      <c r="L299" t="str">
        <f t="shared" si="27"/>
        <v>Michael</v>
      </c>
      <c r="M299" t="str">
        <f>VLOOKUP(L299,References!$A$2:$B$16,2,FALSE)</f>
        <v>AKCOVA</v>
      </c>
      <c r="N299" s="19" t="str">
        <f>IF(M299=M298,"N","Y")</f>
        <v>Y</v>
      </c>
      <c r="O299">
        <f>SUM(I298:I299)</f>
        <v>153</v>
      </c>
      <c r="P299">
        <f t="shared" si="29"/>
        <v>83</v>
      </c>
    </row>
    <row r="300" spans="1:16" hidden="1" x14ac:dyDescent="0.3">
      <c r="A300" t="str">
        <f t="shared" si="28"/>
        <v>2015Brent4</v>
      </c>
      <c r="B300">
        <f t="shared" si="24"/>
        <v>1577</v>
      </c>
      <c r="C300">
        <f t="shared" si="25"/>
        <v>1853</v>
      </c>
      <c r="D300" t="s">
        <v>47</v>
      </c>
      <c r="E300" t="str">
        <f>D301</f>
        <v>David</v>
      </c>
      <c r="F300">
        <v>2015</v>
      </c>
      <c r="G300">
        <v>4</v>
      </c>
      <c r="H300">
        <v>2.1</v>
      </c>
      <c r="I300" s="14">
        <v>65</v>
      </c>
      <c r="J300">
        <f>I300-I301</f>
        <v>-21</v>
      </c>
      <c r="K300" t="str">
        <f t="shared" si="26"/>
        <v>L</v>
      </c>
      <c r="L300" t="str">
        <f t="shared" si="27"/>
        <v>Brent</v>
      </c>
      <c r="M300" t="str">
        <f>VLOOKUP(L300,References!$A$2:$B$16,2,FALSE)</f>
        <v>TEXAROK</v>
      </c>
      <c r="N300" s="19" t="str">
        <f>IF(M300=M301,"N","Y")</f>
        <v>N</v>
      </c>
      <c r="O300">
        <f>SUM(I300:I301)</f>
        <v>151</v>
      </c>
      <c r="P300">
        <f t="shared" si="29"/>
        <v>86</v>
      </c>
    </row>
    <row r="301" spans="1:16" hidden="1" x14ac:dyDescent="0.3">
      <c r="A301" t="str">
        <f t="shared" si="28"/>
        <v>2015David4</v>
      </c>
      <c r="B301">
        <f t="shared" si="24"/>
        <v>489</v>
      </c>
      <c r="C301">
        <f t="shared" si="25"/>
        <v>1173</v>
      </c>
      <c r="D301" t="s">
        <v>29</v>
      </c>
      <c r="E301" t="str">
        <f>D300</f>
        <v>Brent</v>
      </c>
      <c r="F301">
        <v>2015</v>
      </c>
      <c r="G301">
        <v>4</v>
      </c>
      <c r="H301">
        <v>2.2000000000000002</v>
      </c>
      <c r="I301" s="14">
        <v>86</v>
      </c>
      <c r="J301">
        <f>I301-I300</f>
        <v>21</v>
      </c>
      <c r="K301" t="str">
        <f t="shared" si="26"/>
        <v>W</v>
      </c>
      <c r="L301" t="str">
        <f t="shared" si="27"/>
        <v>David</v>
      </c>
      <c r="M301" t="str">
        <f>VLOOKUP(L301,References!$A$2:$B$16,2,FALSE)</f>
        <v>TEXAROK</v>
      </c>
      <c r="N301" s="19" t="str">
        <f>IF(M301=M300,"N","Y")</f>
        <v>N</v>
      </c>
      <c r="O301">
        <f>SUM(I300:I301)</f>
        <v>151</v>
      </c>
      <c r="P301">
        <f t="shared" si="29"/>
        <v>65</v>
      </c>
    </row>
    <row r="302" spans="1:16" hidden="1" x14ac:dyDescent="0.3">
      <c r="A302" t="str">
        <f t="shared" si="28"/>
        <v>2015Emily4</v>
      </c>
      <c r="B302">
        <f t="shared" si="24"/>
        <v>410</v>
      </c>
      <c r="C302">
        <f t="shared" si="25"/>
        <v>603</v>
      </c>
      <c r="D302" t="s">
        <v>43</v>
      </c>
      <c r="E302" t="str">
        <f>D303</f>
        <v>Matt</v>
      </c>
      <c r="F302">
        <v>2015</v>
      </c>
      <c r="G302">
        <v>4</v>
      </c>
      <c r="H302">
        <v>3.1</v>
      </c>
      <c r="I302" s="14">
        <v>103</v>
      </c>
      <c r="J302">
        <f>I302-I303</f>
        <v>25</v>
      </c>
      <c r="K302" t="str">
        <f t="shared" si="26"/>
        <v>W</v>
      </c>
      <c r="L302" t="str">
        <f t="shared" si="27"/>
        <v>Emily</v>
      </c>
      <c r="M302" t="str">
        <f>VLOOKUP(L302,References!$A$2:$B$16,2,FALSE)</f>
        <v>TEXAROK</v>
      </c>
      <c r="N302" s="19" t="str">
        <f>IF(M302=M303,"N","Y")</f>
        <v>N</v>
      </c>
      <c r="O302">
        <f>SUM(I302:I303)</f>
        <v>181</v>
      </c>
      <c r="P302">
        <f t="shared" si="29"/>
        <v>78</v>
      </c>
    </row>
    <row r="303" spans="1:16" hidden="1" x14ac:dyDescent="0.3">
      <c r="A303" t="str">
        <f t="shared" si="28"/>
        <v>2015Matt4</v>
      </c>
      <c r="B303">
        <f t="shared" si="24"/>
        <v>1661</v>
      </c>
      <c r="C303">
        <f t="shared" si="25"/>
        <v>1468</v>
      </c>
      <c r="D303" t="s">
        <v>30</v>
      </c>
      <c r="E303" t="str">
        <f>D302</f>
        <v>Emily</v>
      </c>
      <c r="F303">
        <v>2015</v>
      </c>
      <c r="G303">
        <v>4</v>
      </c>
      <c r="H303">
        <v>3.2</v>
      </c>
      <c r="I303" s="14">
        <v>78</v>
      </c>
      <c r="J303">
        <f>I303-I302</f>
        <v>-25</v>
      </c>
      <c r="K303" t="str">
        <f t="shared" si="26"/>
        <v>L</v>
      </c>
      <c r="L303" t="str">
        <f t="shared" si="27"/>
        <v>Matt</v>
      </c>
      <c r="M303" t="str">
        <f>VLOOKUP(L303,References!$A$2:$B$16,2,FALSE)</f>
        <v>TEXAROK</v>
      </c>
      <c r="N303" s="19" t="str">
        <f>IF(M303=M302,"N","Y")</f>
        <v>N</v>
      </c>
      <c r="O303">
        <f>SUM(I302:I303)</f>
        <v>181</v>
      </c>
      <c r="P303">
        <f t="shared" si="29"/>
        <v>103</v>
      </c>
    </row>
    <row r="304" spans="1:16" hidden="1" x14ac:dyDescent="0.3">
      <c r="A304" t="str">
        <f t="shared" si="28"/>
        <v>2015Brian4</v>
      </c>
      <c r="B304">
        <f t="shared" si="24"/>
        <v>1702</v>
      </c>
      <c r="C304">
        <f t="shared" si="25"/>
        <v>2087</v>
      </c>
      <c r="D304" t="s">
        <v>26</v>
      </c>
      <c r="E304" t="str">
        <f>D305</f>
        <v>Abby</v>
      </c>
      <c r="F304">
        <v>2015</v>
      </c>
      <c r="G304">
        <v>4</v>
      </c>
      <c r="H304">
        <v>4.0999999999999996</v>
      </c>
      <c r="I304" s="14">
        <v>39</v>
      </c>
      <c r="J304">
        <f>I304-I305</f>
        <v>-27</v>
      </c>
      <c r="K304" t="str">
        <f t="shared" si="26"/>
        <v>L</v>
      </c>
      <c r="L304" t="str">
        <f t="shared" si="27"/>
        <v>Brian</v>
      </c>
      <c r="M304" t="str">
        <f>VLOOKUP(L304,References!$A$2:$B$16,2,FALSE)</f>
        <v>TEXAROK</v>
      </c>
      <c r="N304" s="19" t="str">
        <f>IF(M304=M305,"N","Y")</f>
        <v>Y</v>
      </c>
      <c r="O304">
        <f>SUM(I304:I305)</f>
        <v>105</v>
      </c>
      <c r="P304">
        <f t="shared" si="29"/>
        <v>66</v>
      </c>
    </row>
    <row r="305" spans="1:16" hidden="1" x14ac:dyDescent="0.3">
      <c r="A305" t="str">
        <f t="shared" si="28"/>
        <v>2015Abby4</v>
      </c>
      <c r="B305">
        <f t="shared" si="24"/>
        <v>371</v>
      </c>
      <c r="C305">
        <f t="shared" si="25"/>
        <v>1833</v>
      </c>
      <c r="D305" t="s">
        <v>27</v>
      </c>
      <c r="E305" t="str">
        <f>D304</f>
        <v>Brian</v>
      </c>
      <c r="F305">
        <v>2015</v>
      </c>
      <c r="G305">
        <v>4</v>
      </c>
      <c r="H305">
        <v>4.2</v>
      </c>
      <c r="I305" s="14">
        <v>66</v>
      </c>
      <c r="J305">
        <f>I305-I304</f>
        <v>27</v>
      </c>
      <c r="K305" t="str">
        <f t="shared" si="26"/>
        <v>W</v>
      </c>
      <c r="L305" t="str">
        <f t="shared" si="27"/>
        <v>Abby</v>
      </c>
      <c r="M305" t="str">
        <f>VLOOKUP(L305,References!$A$2:$B$16,2,FALSE)</f>
        <v>AKCOVA</v>
      </c>
      <c r="N305" s="19" t="str">
        <f>IF(M305=M304,"N","Y")</f>
        <v>Y</v>
      </c>
      <c r="O305">
        <f>SUM(I304:I305)</f>
        <v>105</v>
      </c>
      <c r="P305">
        <f t="shared" si="29"/>
        <v>39</v>
      </c>
    </row>
    <row r="306" spans="1:16" hidden="1" x14ac:dyDescent="0.3">
      <c r="A306" t="str">
        <f t="shared" si="28"/>
        <v>2015Charles4</v>
      </c>
      <c r="B306">
        <f t="shared" si="24"/>
        <v>1409</v>
      </c>
      <c r="C306">
        <f t="shared" si="25"/>
        <v>1988</v>
      </c>
      <c r="D306" t="s">
        <v>48</v>
      </c>
      <c r="E306" t="str">
        <f>D307</f>
        <v>Watty</v>
      </c>
      <c r="F306">
        <v>2015</v>
      </c>
      <c r="G306">
        <v>4</v>
      </c>
      <c r="H306">
        <v>5.0999999999999996</v>
      </c>
      <c r="I306" s="14">
        <v>57</v>
      </c>
      <c r="J306">
        <f>I306-I307</f>
        <v>-14</v>
      </c>
      <c r="K306" t="str">
        <f t="shared" si="26"/>
        <v>L</v>
      </c>
      <c r="L306" t="str">
        <f t="shared" si="27"/>
        <v>Charles</v>
      </c>
      <c r="M306" t="str">
        <f>VLOOKUP(L306,References!$A$2:$B$16,2,FALSE)</f>
        <v>AKCOVA</v>
      </c>
      <c r="N306" s="19" t="str">
        <f>IF(M306=M307,"N","Y")</f>
        <v>N</v>
      </c>
      <c r="O306">
        <f>SUM(I306:I307)</f>
        <v>128</v>
      </c>
      <c r="P306">
        <f t="shared" si="29"/>
        <v>71</v>
      </c>
    </row>
    <row r="307" spans="1:16" hidden="1" x14ac:dyDescent="0.3">
      <c r="A307" t="str">
        <f t="shared" si="28"/>
        <v>2015Watty4</v>
      </c>
      <c r="B307">
        <f t="shared" si="24"/>
        <v>660</v>
      </c>
      <c r="C307">
        <f t="shared" si="25"/>
        <v>1717</v>
      </c>
      <c r="D307" t="s">
        <v>24</v>
      </c>
      <c r="E307" t="str">
        <f>D306</f>
        <v>Charles</v>
      </c>
      <c r="F307">
        <v>2015</v>
      </c>
      <c r="G307">
        <v>4</v>
      </c>
      <c r="H307">
        <v>5.2</v>
      </c>
      <c r="I307" s="14">
        <v>71</v>
      </c>
      <c r="J307">
        <f>I307-I306</f>
        <v>14</v>
      </c>
      <c r="K307" t="str">
        <f t="shared" si="26"/>
        <v>W</v>
      </c>
      <c r="L307" t="str">
        <f t="shared" si="27"/>
        <v>Watty</v>
      </c>
      <c r="M307" t="str">
        <f>VLOOKUP(L307,References!$A$2:$B$16,2,FALSE)</f>
        <v>AKCOVA</v>
      </c>
      <c r="N307" s="19" t="str">
        <f>IF(M307=M306,"N","Y")</f>
        <v>N</v>
      </c>
      <c r="O307">
        <f>SUM(I306:I307)</f>
        <v>128</v>
      </c>
      <c r="P307">
        <f t="shared" si="29"/>
        <v>57</v>
      </c>
    </row>
    <row r="308" spans="1:16" hidden="1" x14ac:dyDescent="0.3">
      <c r="A308" t="str">
        <f t="shared" si="28"/>
        <v>2015BR4</v>
      </c>
      <c r="B308">
        <f t="shared" si="24"/>
        <v>977</v>
      </c>
      <c r="C308">
        <f t="shared" si="25"/>
        <v>1595</v>
      </c>
      <c r="D308" t="s">
        <v>25</v>
      </c>
      <c r="E308" t="str">
        <f>D309</f>
        <v>Mark</v>
      </c>
      <c r="F308">
        <v>2015</v>
      </c>
      <c r="G308">
        <v>4</v>
      </c>
      <c r="H308">
        <v>6.1</v>
      </c>
      <c r="I308" s="14">
        <v>75</v>
      </c>
      <c r="J308">
        <f>I308-I309</f>
        <v>2</v>
      </c>
      <c r="K308" t="str">
        <f t="shared" si="26"/>
        <v>W</v>
      </c>
      <c r="L308" t="str">
        <f t="shared" si="27"/>
        <v>BR</v>
      </c>
      <c r="M308" t="str">
        <f>VLOOKUP(L308,References!$A$2:$B$16,2,FALSE)</f>
        <v>AKCOVA</v>
      </c>
      <c r="N308" s="19" t="str">
        <f>IF(M308=M309,"N","Y")</f>
        <v>N</v>
      </c>
      <c r="O308">
        <f>SUM(I308:I309)</f>
        <v>148</v>
      </c>
      <c r="P308">
        <f t="shared" si="29"/>
        <v>73</v>
      </c>
    </row>
    <row r="309" spans="1:16" hidden="1" x14ac:dyDescent="0.3">
      <c r="A309" t="str">
        <f t="shared" si="28"/>
        <v>2015Mark4</v>
      </c>
      <c r="B309">
        <f t="shared" si="24"/>
        <v>1090</v>
      </c>
      <c r="C309">
        <f t="shared" si="25"/>
        <v>1648</v>
      </c>
      <c r="D309" t="s">
        <v>22</v>
      </c>
      <c r="E309" t="str">
        <f>D308</f>
        <v>BR</v>
      </c>
      <c r="F309">
        <v>2015</v>
      </c>
      <c r="G309">
        <v>4</v>
      </c>
      <c r="H309">
        <v>6.2</v>
      </c>
      <c r="I309" s="14">
        <v>73</v>
      </c>
      <c r="J309">
        <f>I309-I308</f>
        <v>-2</v>
      </c>
      <c r="K309" t="str">
        <f t="shared" si="26"/>
        <v>L</v>
      </c>
      <c r="L309" t="str">
        <f t="shared" si="27"/>
        <v>Mark</v>
      </c>
      <c r="M309" t="str">
        <f>VLOOKUP(L309,References!$A$2:$B$16,2,FALSE)</f>
        <v>AKCOVA</v>
      </c>
      <c r="N309" s="19" t="str">
        <f>IF(M309=M308,"N","Y")</f>
        <v>N</v>
      </c>
      <c r="O309">
        <f>SUM(I308:I309)</f>
        <v>148</v>
      </c>
      <c r="P309">
        <f t="shared" si="29"/>
        <v>75</v>
      </c>
    </row>
    <row r="310" spans="1:16" hidden="1" x14ac:dyDescent="0.3">
      <c r="A310" t="str">
        <f t="shared" si="28"/>
        <v>2015Russell5</v>
      </c>
      <c r="B310">
        <f t="shared" si="24"/>
        <v>1197</v>
      </c>
      <c r="C310">
        <f t="shared" si="25"/>
        <v>540</v>
      </c>
      <c r="D310" t="s">
        <v>28</v>
      </c>
      <c r="E310" t="str">
        <f>D311</f>
        <v>Matt</v>
      </c>
      <c r="F310">
        <v>2015</v>
      </c>
      <c r="G310">
        <v>5</v>
      </c>
      <c r="H310">
        <v>1.1000000000000001</v>
      </c>
      <c r="I310" s="14">
        <v>105</v>
      </c>
      <c r="J310">
        <f>I310-I311</f>
        <v>-6</v>
      </c>
      <c r="K310" t="str">
        <f t="shared" si="26"/>
        <v>L</v>
      </c>
      <c r="L310" t="str">
        <f t="shared" si="27"/>
        <v>Russell</v>
      </c>
      <c r="M310" t="str">
        <f>VLOOKUP(L310,References!$A$2:$B$16,2,FALSE)</f>
        <v>TEXAROK</v>
      </c>
      <c r="N310" s="19" t="str">
        <f>IF(M310=M311,"N","Y")</f>
        <v>N</v>
      </c>
      <c r="O310">
        <f>SUM(I310:I311)</f>
        <v>216</v>
      </c>
      <c r="P310">
        <f t="shared" si="29"/>
        <v>111</v>
      </c>
    </row>
    <row r="311" spans="1:16" hidden="1" x14ac:dyDescent="0.3">
      <c r="A311" t="str">
        <f t="shared" si="28"/>
        <v>2015Matt5</v>
      </c>
      <c r="B311">
        <f t="shared" si="24"/>
        <v>865</v>
      </c>
      <c r="C311">
        <f t="shared" si="25"/>
        <v>383</v>
      </c>
      <c r="D311" t="s">
        <v>30</v>
      </c>
      <c r="E311" t="str">
        <f>D310</f>
        <v>Russell</v>
      </c>
      <c r="F311">
        <v>2015</v>
      </c>
      <c r="G311">
        <v>5</v>
      </c>
      <c r="H311">
        <v>1.2</v>
      </c>
      <c r="I311" s="14">
        <v>111</v>
      </c>
      <c r="J311">
        <f>I311-I310</f>
        <v>6</v>
      </c>
      <c r="K311" t="str">
        <f t="shared" si="26"/>
        <v>W</v>
      </c>
      <c r="L311" t="str">
        <f t="shared" si="27"/>
        <v>Matt</v>
      </c>
      <c r="M311" t="str">
        <f>VLOOKUP(L311,References!$A$2:$B$16,2,FALSE)</f>
        <v>TEXAROK</v>
      </c>
      <c r="N311" s="19" t="str">
        <f>IF(M311=M310,"N","Y")</f>
        <v>N</v>
      </c>
      <c r="O311">
        <f>SUM(I310:I311)</f>
        <v>216</v>
      </c>
      <c r="P311">
        <f t="shared" si="29"/>
        <v>105</v>
      </c>
    </row>
    <row r="312" spans="1:16" hidden="1" x14ac:dyDescent="0.3">
      <c r="A312" t="str">
        <f t="shared" si="28"/>
        <v>2015Michael5</v>
      </c>
      <c r="B312">
        <f t="shared" si="24"/>
        <v>619</v>
      </c>
      <c r="C312">
        <f t="shared" si="25"/>
        <v>777</v>
      </c>
      <c r="D312" t="s">
        <v>23</v>
      </c>
      <c r="E312" t="str">
        <f>D313</f>
        <v>David</v>
      </c>
      <c r="F312">
        <v>2015</v>
      </c>
      <c r="G312">
        <v>5</v>
      </c>
      <c r="H312">
        <v>2.1</v>
      </c>
      <c r="I312" s="14">
        <v>97</v>
      </c>
      <c r="J312">
        <f>I312-I313</f>
        <v>16</v>
      </c>
      <c r="K312" t="str">
        <f t="shared" si="26"/>
        <v>W</v>
      </c>
      <c r="L312" t="str">
        <f t="shared" si="27"/>
        <v>Michael</v>
      </c>
      <c r="M312" t="str">
        <f>VLOOKUP(L312,References!$A$2:$B$16,2,FALSE)</f>
        <v>AKCOVA</v>
      </c>
      <c r="N312" s="19" t="str">
        <f>IF(M312=M313,"N","Y")</f>
        <v>Y</v>
      </c>
      <c r="O312">
        <f>SUM(I312:I313)</f>
        <v>178</v>
      </c>
      <c r="P312">
        <f t="shared" si="29"/>
        <v>81</v>
      </c>
    </row>
    <row r="313" spans="1:16" hidden="1" x14ac:dyDescent="0.3">
      <c r="A313" t="str">
        <f t="shared" si="28"/>
        <v>2015David5</v>
      </c>
      <c r="B313">
        <f t="shared" si="24"/>
        <v>1455</v>
      </c>
      <c r="C313">
        <f t="shared" si="25"/>
        <v>1365</v>
      </c>
      <c r="D313" t="s">
        <v>29</v>
      </c>
      <c r="E313" t="str">
        <f>D312</f>
        <v>Michael</v>
      </c>
      <c r="F313">
        <v>2015</v>
      </c>
      <c r="G313">
        <v>5</v>
      </c>
      <c r="H313">
        <v>2.2000000000000002</v>
      </c>
      <c r="I313" s="14">
        <v>81</v>
      </c>
      <c r="J313">
        <f>I313-I312</f>
        <v>-16</v>
      </c>
      <c r="K313" t="str">
        <f t="shared" si="26"/>
        <v>L</v>
      </c>
      <c r="L313" t="str">
        <f t="shared" si="27"/>
        <v>David</v>
      </c>
      <c r="M313" t="str">
        <f>VLOOKUP(L313,References!$A$2:$B$16,2,FALSE)</f>
        <v>TEXAROK</v>
      </c>
      <c r="N313" s="19" t="str">
        <f>IF(M313=M312,"N","Y")</f>
        <v>Y</v>
      </c>
      <c r="O313">
        <f>SUM(I312:I313)</f>
        <v>178</v>
      </c>
      <c r="P313">
        <f t="shared" si="29"/>
        <v>97</v>
      </c>
    </row>
    <row r="314" spans="1:16" hidden="1" x14ac:dyDescent="0.3">
      <c r="A314" t="str">
        <f t="shared" si="28"/>
        <v>2015Emily5</v>
      </c>
      <c r="B314">
        <f t="shared" si="24"/>
        <v>1117</v>
      </c>
      <c r="C314">
        <f t="shared" si="25"/>
        <v>364</v>
      </c>
      <c r="D314" t="s">
        <v>43</v>
      </c>
      <c r="E314" t="str">
        <f>D315</f>
        <v>Brent</v>
      </c>
      <c r="F314">
        <v>2015</v>
      </c>
      <c r="G314">
        <v>5</v>
      </c>
      <c r="H314">
        <v>3.1</v>
      </c>
      <c r="I314" s="14">
        <v>112</v>
      </c>
      <c r="J314">
        <f>I314-I315</f>
        <v>-3</v>
      </c>
      <c r="K314" t="str">
        <f t="shared" si="26"/>
        <v>L</v>
      </c>
      <c r="L314" t="str">
        <f t="shared" si="27"/>
        <v>Emily</v>
      </c>
      <c r="M314" t="str">
        <f>VLOOKUP(L314,References!$A$2:$B$16,2,FALSE)</f>
        <v>TEXAROK</v>
      </c>
      <c r="N314" s="19" t="str">
        <f>IF(M314=M315,"N","Y")</f>
        <v>N</v>
      </c>
      <c r="O314">
        <f>SUM(I314:I315)</f>
        <v>227</v>
      </c>
      <c r="P314">
        <f t="shared" si="29"/>
        <v>115</v>
      </c>
    </row>
    <row r="315" spans="1:16" hidden="1" x14ac:dyDescent="0.3">
      <c r="A315" t="str">
        <f t="shared" si="28"/>
        <v>2015Brent5</v>
      </c>
      <c r="B315">
        <f t="shared" si="24"/>
        <v>949</v>
      </c>
      <c r="C315">
        <f t="shared" si="25"/>
        <v>305</v>
      </c>
      <c r="D315" t="s">
        <v>47</v>
      </c>
      <c r="E315" t="str">
        <f>D314</f>
        <v>Emily</v>
      </c>
      <c r="F315">
        <v>2015</v>
      </c>
      <c r="G315">
        <v>5</v>
      </c>
      <c r="H315">
        <v>3.2</v>
      </c>
      <c r="I315" s="14">
        <v>115</v>
      </c>
      <c r="J315">
        <f>I315-I314</f>
        <v>3</v>
      </c>
      <c r="K315" t="str">
        <f t="shared" si="26"/>
        <v>W</v>
      </c>
      <c r="L315" t="str">
        <f t="shared" si="27"/>
        <v>Brent</v>
      </c>
      <c r="M315" t="str">
        <f>VLOOKUP(L315,References!$A$2:$B$16,2,FALSE)</f>
        <v>TEXAROK</v>
      </c>
      <c r="N315" s="19" t="str">
        <f>IF(M315=M314,"N","Y")</f>
        <v>N</v>
      </c>
      <c r="O315">
        <f>SUM(I314:I315)</f>
        <v>227</v>
      </c>
      <c r="P315">
        <f t="shared" si="29"/>
        <v>112</v>
      </c>
    </row>
    <row r="316" spans="1:16" hidden="1" x14ac:dyDescent="0.3">
      <c r="A316" t="str">
        <f t="shared" si="28"/>
        <v>2015Abby5</v>
      </c>
      <c r="B316">
        <f t="shared" si="24"/>
        <v>1475</v>
      </c>
      <c r="C316">
        <f t="shared" si="25"/>
        <v>2081</v>
      </c>
      <c r="D316" t="s">
        <v>27</v>
      </c>
      <c r="E316" t="str">
        <f>D317</f>
        <v>Watty</v>
      </c>
      <c r="F316">
        <v>2015</v>
      </c>
      <c r="G316">
        <v>5</v>
      </c>
      <c r="H316">
        <v>4.0999999999999996</v>
      </c>
      <c r="I316" s="14">
        <v>42</v>
      </c>
      <c r="J316">
        <f>I316-I317</f>
        <v>-17</v>
      </c>
      <c r="K316" t="str">
        <f t="shared" si="26"/>
        <v>L</v>
      </c>
      <c r="L316" t="str">
        <f t="shared" si="27"/>
        <v>Abby</v>
      </c>
      <c r="M316" t="str">
        <f>VLOOKUP(L316,References!$A$2:$B$16,2,FALSE)</f>
        <v>AKCOVA</v>
      </c>
      <c r="N316" s="19" t="str">
        <f>IF(M316=M317,"N","Y")</f>
        <v>N</v>
      </c>
      <c r="O316">
        <f>SUM(I316:I317)</f>
        <v>101</v>
      </c>
      <c r="P316">
        <f t="shared" si="29"/>
        <v>59</v>
      </c>
    </row>
    <row r="317" spans="1:16" hidden="1" x14ac:dyDescent="0.3">
      <c r="A317" t="str">
        <f t="shared" si="28"/>
        <v>2015Watty5</v>
      </c>
      <c r="B317">
        <f t="shared" si="24"/>
        <v>597</v>
      </c>
      <c r="C317">
        <f t="shared" si="25"/>
        <v>1951</v>
      </c>
      <c r="D317" t="s">
        <v>24</v>
      </c>
      <c r="E317" t="str">
        <f>D316</f>
        <v>Abby</v>
      </c>
      <c r="F317">
        <v>2015</v>
      </c>
      <c r="G317">
        <v>5</v>
      </c>
      <c r="H317">
        <v>4.2</v>
      </c>
      <c r="I317" s="14">
        <v>59</v>
      </c>
      <c r="J317">
        <f>I317-I316</f>
        <v>17</v>
      </c>
      <c r="K317" t="str">
        <f t="shared" si="26"/>
        <v>W</v>
      </c>
      <c r="L317" t="str">
        <f t="shared" si="27"/>
        <v>Watty</v>
      </c>
      <c r="M317" t="str">
        <f>VLOOKUP(L317,References!$A$2:$B$16,2,FALSE)</f>
        <v>AKCOVA</v>
      </c>
      <c r="N317" s="19" t="str">
        <f>IF(M317=M316,"N","Y")</f>
        <v>N</v>
      </c>
      <c r="O317">
        <f>SUM(I316:I317)</f>
        <v>101</v>
      </c>
      <c r="P317">
        <f t="shared" si="29"/>
        <v>42</v>
      </c>
    </row>
    <row r="318" spans="1:16" hidden="1" x14ac:dyDescent="0.3">
      <c r="A318" t="str">
        <f t="shared" si="28"/>
        <v>2015Mark5</v>
      </c>
      <c r="B318">
        <f t="shared" si="24"/>
        <v>917</v>
      </c>
      <c r="C318">
        <f t="shared" si="25"/>
        <v>1100</v>
      </c>
      <c r="D318" t="s">
        <v>22</v>
      </c>
      <c r="E318" t="str">
        <f>D319</f>
        <v>Brian</v>
      </c>
      <c r="F318">
        <v>2015</v>
      </c>
      <c r="G318">
        <v>5</v>
      </c>
      <c r="H318">
        <v>5.0999999999999996</v>
      </c>
      <c r="I318" s="14">
        <v>88</v>
      </c>
      <c r="J318">
        <f>I318-I319</f>
        <v>4</v>
      </c>
      <c r="K318" t="str">
        <f t="shared" si="26"/>
        <v>W</v>
      </c>
      <c r="L318" t="str">
        <f t="shared" si="27"/>
        <v>Mark</v>
      </c>
      <c r="M318" t="str">
        <f>VLOOKUP(L318,References!$A$2:$B$16,2,FALSE)</f>
        <v>AKCOVA</v>
      </c>
      <c r="N318" s="19" t="str">
        <f>IF(M318=M319,"N","Y")</f>
        <v>Y</v>
      </c>
      <c r="O318">
        <f>SUM(I318:I319)</f>
        <v>172</v>
      </c>
      <c r="P318">
        <f t="shared" si="29"/>
        <v>84</v>
      </c>
    </row>
    <row r="319" spans="1:16" hidden="1" x14ac:dyDescent="0.3">
      <c r="A319" t="str">
        <f t="shared" si="28"/>
        <v>2015Brian5</v>
      </c>
      <c r="B319">
        <f t="shared" si="24"/>
        <v>1145</v>
      </c>
      <c r="C319">
        <f t="shared" si="25"/>
        <v>1241</v>
      </c>
      <c r="D319" t="s">
        <v>26</v>
      </c>
      <c r="E319" t="str">
        <f>D318</f>
        <v>Mark</v>
      </c>
      <c r="F319">
        <v>2015</v>
      </c>
      <c r="G319">
        <v>5</v>
      </c>
      <c r="H319">
        <v>5.2</v>
      </c>
      <c r="I319" s="14">
        <v>84</v>
      </c>
      <c r="J319">
        <f>I319-I318</f>
        <v>-4</v>
      </c>
      <c r="K319" t="str">
        <f t="shared" si="26"/>
        <v>L</v>
      </c>
      <c r="L319" t="str">
        <f t="shared" si="27"/>
        <v>Brian</v>
      </c>
      <c r="M319" t="str">
        <f>VLOOKUP(L319,References!$A$2:$B$16,2,FALSE)</f>
        <v>TEXAROK</v>
      </c>
      <c r="N319" s="19" t="str">
        <f>IF(M319=M318,"N","Y")</f>
        <v>Y</v>
      </c>
      <c r="O319">
        <f>SUM(I318:I319)</f>
        <v>172</v>
      </c>
      <c r="P319">
        <f t="shared" si="29"/>
        <v>88</v>
      </c>
    </row>
    <row r="320" spans="1:16" hidden="1" x14ac:dyDescent="0.3">
      <c r="A320" t="str">
        <f t="shared" si="28"/>
        <v>2015BR5</v>
      </c>
      <c r="B320">
        <f t="shared" si="24"/>
        <v>371</v>
      </c>
      <c r="C320">
        <f t="shared" si="25"/>
        <v>1648</v>
      </c>
      <c r="D320" t="s">
        <v>25</v>
      </c>
      <c r="E320" t="str">
        <f>D321</f>
        <v>Charles</v>
      </c>
      <c r="F320">
        <v>2015</v>
      </c>
      <c r="G320">
        <v>5</v>
      </c>
      <c r="H320">
        <v>6.1</v>
      </c>
      <c r="I320" s="14">
        <v>73</v>
      </c>
      <c r="J320">
        <f>I320-I321</f>
        <v>27</v>
      </c>
      <c r="K320" t="str">
        <f t="shared" si="26"/>
        <v>W</v>
      </c>
      <c r="L320" t="str">
        <f t="shared" si="27"/>
        <v>BR</v>
      </c>
      <c r="M320" t="str">
        <f>VLOOKUP(L320,References!$A$2:$B$16,2,FALSE)</f>
        <v>AKCOVA</v>
      </c>
      <c r="N320" s="19" t="str">
        <f>IF(M320=M321,"N","Y")</f>
        <v>N</v>
      </c>
      <c r="O320">
        <f>SUM(I320:I321)</f>
        <v>119</v>
      </c>
      <c r="P320">
        <f t="shared" si="29"/>
        <v>46</v>
      </c>
    </row>
    <row r="321" spans="1:16" hidden="1" x14ac:dyDescent="0.3">
      <c r="A321" t="str">
        <f t="shared" si="28"/>
        <v>2015Charles5</v>
      </c>
      <c r="B321">
        <f t="shared" si="24"/>
        <v>1702</v>
      </c>
      <c r="C321">
        <f t="shared" si="25"/>
        <v>2068</v>
      </c>
      <c r="D321" t="s">
        <v>48</v>
      </c>
      <c r="E321" t="str">
        <f>D320</f>
        <v>BR</v>
      </c>
      <c r="F321">
        <v>2015</v>
      </c>
      <c r="G321">
        <v>5</v>
      </c>
      <c r="H321">
        <v>6.2</v>
      </c>
      <c r="I321" s="14">
        <v>46</v>
      </c>
      <c r="J321">
        <f>I321-I320</f>
        <v>-27</v>
      </c>
      <c r="K321" t="str">
        <f t="shared" si="26"/>
        <v>L</v>
      </c>
      <c r="L321" t="str">
        <f t="shared" si="27"/>
        <v>Charles</v>
      </c>
      <c r="M321" t="str">
        <f>VLOOKUP(L321,References!$A$2:$B$16,2,FALSE)</f>
        <v>AKCOVA</v>
      </c>
      <c r="N321" s="19" t="str">
        <f>IF(M321=M320,"N","Y")</f>
        <v>N</v>
      </c>
      <c r="O321">
        <f>SUM(I320:I321)</f>
        <v>119</v>
      </c>
      <c r="P321">
        <f t="shared" si="29"/>
        <v>73</v>
      </c>
    </row>
    <row r="322" spans="1:16" hidden="1" x14ac:dyDescent="0.3">
      <c r="A322" t="str">
        <f t="shared" si="28"/>
        <v>2015Russell6</v>
      </c>
      <c r="B322">
        <f t="shared" ref="B322:B385" si="30">RANK(J322,diff)</f>
        <v>897</v>
      </c>
      <c r="C322">
        <f t="shared" ref="C322:C385" si="31">RANK(I322,points)</f>
        <v>1867</v>
      </c>
      <c r="D322" t="s">
        <v>28</v>
      </c>
      <c r="E322" t="str">
        <f>D323</f>
        <v>Brian</v>
      </c>
      <c r="F322">
        <v>2015</v>
      </c>
      <c r="G322">
        <v>6</v>
      </c>
      <c r="H322">
        <v>1.1000000000000001</v>
      </c>
      <c r="I322" s="14">
        <v>64</v>
      </c>
      <c r="J322">
        <f>I322-I323</f>
        <v>5</v>
      </c>
      <c r="K322" t="str">
        <f t="shared" ref="K322:K385" si="32">IF(J322&gt;0,"W",IF(J322&lt;0,"L","T"))</f>
        <v>W</v>
      </c>
      <c r="L322" t="str">
        <f t="shared" ref="L322:L385" si="33">D322</f>
        <v>Russell</v>
      </c>
      <c r="M322" t="str">
        <f>VLOOKUP(L322,References!$A$2:$B$16,2,FALSE)</f>
        <v>TEXAROK</v>
      </c>
      <c r="N322" s="19" t="str">
        <f>IF(M322=M323,"N","Y")</f>
        <v>N</v>
      </c>
      <c r="O322">
        <f>SUM(I322:I323)</f>
        <v>123</v>
      </c>
      <c r="P322">
        <f t="shared" si="29"/>
        <v>59</v>
      </c>
    </row>
    <row r="323" spans="1:16" hidden="1" x14ac:dyDescent="0.3">
      <c r="A323" t="str">
        <f t="shared" ref="A323:A386" si="34">F323&amp;D323&amp;G323</f>
        <v>2015Brian6</v>
      </c>
      <c r="B323">
        <f t="shared" si="30"/>
        <v>1177</v>
      </c>
      <c r="C323">
        <f t="shared" si="31"/>
        <v>1951</v>
      </c>
      <c r="D323" t="s">
        <v>26</v>
      </c>
      <c r="E323" t="str">
        <f>D322</f>
        <v>Russell</v>
      </c>
      <c r="F323">
        <v>2015</v>
      </c>
      <c r="G323">
        <v>6</v>
      </c>
      <c r="H323">
        <v>1.2</v>
      </c>
      <c r="I323" s="14">
        <v>59</v>
      </c>
      <c r="J323">
        <f>I323-I322</f>
        <v>-5</v>
      </c>
      <c r="K323" t="str">
        <f t="shared" si="32"/>
        <v>L</v>
      </c>
      <c r="L323" t="str">
        <f t="shared" si="33"/>
        <v>Brian</v>
      </c>
      <c r="M323" t="str">
        <f>VLOOKUP(L323,References!$A$2:$B$16,2,FALSE)</f>
        <v>TEXAROK</v>
      </c>
      <c r="N323" s="19" t="str">
        <f>IF(M323=M322,"N","Y")</f>
        <v>N</v>
      </c>
      <c r="O323">
        <f>SUM(I322:I323)</f>
        <v>123</v>
      </c>
      <c r="P323">
        <f t="shared" ref="P323:P386" si="35">I323-J323</f>
        <v>64</v>
      </c>
    </row>
    <row r="324" spans="1:16" hidden="1" x14ac:dyDescent="0.3">
      <c r="A324" t="str">
        <f t="shared" si="34"/>
        <v>2015Abby6</v>
      </c>
      <c r="B324">
        <f t="shared" si="30"/>
        <v>2079</v>
      </c>
      <c r="C324">
        <f t="shared" si="31"/>
        <v>1793</v>
      </c>
      <c r="D324" t="s">
        <v>27</v>
      </c>
      <c r="E324" t="str">
        <f>D325</f>
        <v>Michael</v>
      </c>
      <c r="F324">
        <v>2015</v>
      </c>
      <c r="G324">
        <v>6</v>
      </c>
      <c r="H324">
        <v>2.1</v>
      </c>
      <c r="I324" s="14">
        <v>68</v>
      </c>
      <c r="J324">
        <f>I324-I325</f>
        <v>-76</v>
      </c>
      <c r="K324" t="str">
        <f t="shared" si="32"/>
        <v>L</v>
      </c>
      <c r="L324" t="str">
        <f t="shared" si="33"/>
        <v>Abby</v>
      </c>
      <c r="M324" t="str">
        <f>VLOOKUP(L324,References!$A$2:$B$16,2,FALSE)</f>
        <v>AKCOVA</v>
      </c>
      <c r="N324" s="19" t="str">
        <f>IF(M324=M325,"N","Y")</f>
        <v>N</v>
      </c>
      <c r="O324">
        <f>SUM(I324:I325)</f>
        <v>212</v>
      </c>
      <c r="P324">
        <f t="shared" si="35"/>
        <v>144</v>
      </c>
    </row>
    <row r="325" spans="1:16" hidden="1" x14ac:dyDescent="0.3">
      <c r="A325" t="str">
        <f t="shared" si="34"/>
        <v>2015Michael6</v>
      </c>
      <c r="B325">
        <f t="shared" si="30"/>
        <v>12</v>
      </c>
      <c r="C325">
        <f t="shared" si="31"/>
        <v>39</v>
      </c>
      <c r="D325" t="s">
        <v>23</v>
      </c>
      <c r="E325" t="str">
        <f>D324</f>
        <v>Abby</v>
      </c>
      <c r="F325">
        <v>2015</v>
      </c>
      <c r="G325">
        <v>6</v>
      </c>
      <c r="H325">
        <v>2.2000000000000002</v>
      </c>
      <c r="I325" s="14">
        <v>144</v>
      </c>
      <c r="J325">
        <f>I325-I324</f>
        <v>76</v>
      </c>
      <c r="K325" t="str">
        <f t="shared" si="32"/>
        <v>W</v>
      </c>
      <c r="L325" t="str">
        <f t="shared" si="33"/>
        <v>Michael</v>
      </c>
      <c r="M325" t="str">
        <f>VLOOKUP(L325,References!$A$2:$B$16,2,FALSE)</f>
        <v>AKCOVA</v>
      </c>
      <c r="N325" s="19" t="str">
        <f>IF(M325=M324,"N","Y")</f>
        <v>N</v>
      </c>
      <c r="O325">
        <f>SUM(I324:I325)</f>
        <v>212</v>
      </c>
      <c r="P325">
        <f t="shared" si="35"/>
        <v>68</v>
      </c>
    </row>
    <row r="326" spans="1:16" hidden="1" x14ac:dyDescent="0.3">
      <c r="A326" t="str">
        <f t="shared" si="34"/>
        <v>2015Mark6</v>
      </c>
      <c r="B326">
        <f t="shared" si="30"/>
        <v>1497</v>
      </c>
      <c r="C326">
        <f t="shared" si="31"/>
        <v>1318</v>
      </c>
      <c r="D326" t="s">
        <v>22</v>
      </c>
      <c r="E326" t="str">
        <f>D327</f>
        <v>Matt</v>
      </c>
      <c r="F326">
        <v>2015</v>
      </c>
      <c r="G326">
        <v>6</v>
      </c>
      <c r="H326">
        <v>3.1</v>
      </c>
      <c r="I326" s="14">
        <v>82</v>
      </c>
      <c r="J326">
        <f>I326-I327</f>
        <v>-18</v>
      </c>
      <c r="K326" t="str">
        <f t="shared" si="32"/>
        <v>L</v>
      </c>
      <c r="L326" t="str">
        <f t="shared" si="33"/>
        <v>Mark</v>
      </c>
      <c r="M326" t="str">
        <f>VLOOKUP(L326,References!$A$2:$B$16,2,FALSE)</f>
        <v>AKCOVA</v>
      </c>
      <c r="N326" s="19" t="str">
        <f>IF(M326=M327,"N","Y")</f>
        <v>Y</v>
      </c>
      <c r="O326">
        <f>SUM(I326:I327)</f>
        <v>182</v>
      </c>
      <c r="P326">
        <f t="shared" si="35"/>
        <v>100</v>
      </c>
    </row>
    <row r="327" spans="1:16" hidden="1" x14ac:dyDescent="0.3">
      <c r="A327" t="str">
        <f t="shared" si="34"/>
        <v>2015Matt6</v>
      </c>
      <c r="B327">
        <f t="shared" si="30"/>
        <v>571</v>
      </c>
      <c r="C327">
        <f t="shared" si="31"/>
        <v>678</v>
      </c>
      <c r="D327" t="s">
        <v>30</v>
      </c>
      <c r="E327" t="str">
        <f>D326</f>
        <v>Mark</v>
      </c>
      <c r="F327">
        <v>2015</v>
      </c>
      <c r="G327">
        <v>6</v>
      </c>
      <c r="H327">
        <v>3.2</v>
      </c>
      <c r="I327" s="14">
        <v>100</v>
      </c>
      <c r="J327">
        <f>I327-I326</f>
        <v>18</v>
      </c>
      <c r="K327" t="str">
        <f t="shared" si="32"/>
        <v>W</v>
      </c>
      <c r="L327" t="str">
        <f t="shared" si="33"/>
        <v>Matt</v>
      </c>
      <c r="M327" t="str">
        <f>VLOOKUP(L327,References!$A$2:$B$16,2,FALSE)</f>
        <v>TEXAROK</v>
      </c>
      <c r="N327" s="19" t="str">
        <f>IF(M327=M326,"N","Y")</f>
        <v>Y</v>
      </c>
      <c r="O327">
        <f>SUM(I326:I327)</f>
        <v>182</v>
      </c>
      <c r="P327">
        <f t="shared" si="35"/>
        <v>82</v>
      </c>
    </row>
    <row r="328" spans="1:16" hidden="1" x14ac:dyDescent="0.3">
      <c r="A328" t="str">
        <f t="shared" si="34"/>
        <v>2015BR6</v>
      </c>
      <c r="B328">
        <f t="shared" si="30"/>
        <v>1497</v>
      </c>
      <c r="C328">
        <f t="shared" si="31"/>
        <v>1318</v>
      </c>
      <c r="D328" t="s">
        <v>25</v>
      </c>
      <c r="E328" t="str">
        <f>D329</f>
        <v>Emily</v>
      </c>
      <c r="F328">
        <v>2015</v>
      </c>
      <c r="G328">
        <v>6</v>
      </c>
      <c r="H328">
        <v>4.0999999999999996</v>
      </c>
      <c r="I328" s="14">
        <v>82</v>
      </c>
      <c r="J328">
        <f>I328-I329</f>
        <v>-18</v>
      </c>
      <c r="K328" t="str">
        <f t="shared" si="32"/>
        <v>L</v>
      </c>
      <c r="L328" t="str">
        <f t="shared" si="33"/>
        <v>BR</v>
      </c>
      <c r="M328" t="str">
        <f>VLOOKUP(L328,References!$A$2:$B$16,2,FALSE)</f>
        <v>AKCOVA</v>
      </c>
      <c r="N328" s="19" t="str">
        <f>IF(M328=M329,"N","Y")</f>
        <v>Y</v>
      </c>
      <c r="O328">
        <f>SUM(I328:I329)</f>
        <v>182</v>
      </c>
      <c r="P328">
        <f t="shared" si="35"/>
        <v>100</v>
      </c>
    </row>
    <row r="329" spans="1:16" hidden="1" x14ac:dyDescent="0.3">
      <c r="A329" t="str">
        <f t="shared" si="34"/>
        <v>2015Emily6</v>
      </c>
      <c r="B329">
        <f t="shared" si="30"/>
        <v>571</v>
      </c>
      <c r="C329">
        <f t="shared" si="31"/>
        <v>678</v>
      </c>
      <c r="D329" t="s">
        <v>43</v>
      </c>
      <c r="E329" t="str">
        <f>D328</f>
        <v>BR</v>
      </c>
      <c r="F329">
        <v>2015</v>
      </c>
      <c r="G329">
        <v>6</v>
      </c>
      <c r="H329">
        <v>4.2</v>
      </c>
      <c r="I329" s="14">
        <v>100</v>
      </c>
      <c r="J329">
        <f>I329-I328</f>
        <v>18</v>
      </c>
      <c r="K329" t="str">
        <f t="shared" si="32"/>
        <v>W</v>
      </c>
      <c r="L329" t="str">
        <f t="shared" si="33"/>
        <v>Emily</v>
      </c>
      <c r="M329" t="str">
        <f>VLOOKUP(L329,References!$A$2:$B$16,2,FALSE)</f>
        <v>TEXAROK</v>
      </c>
      <c r="N329" s="19" t="str">
        <f>IF(M329=M328,"N","Y")</f>
        <v>Y</v>
      </c>
      <c r="O329">
        <f>SUM(I328:I329)</f>
        <v>182</v>
      </c>
      <c r="P329">
        <f t="shared" si="35"/>
        <v>82</v>
      </c>
    </row>
    <row r="330" spans="1:16" hidden="1" x14ac:dyDescent="0.3">
      <c r="A330" t="str">
        <f t="shared" si="34"/>
        <v>2015Charles6</v>
      </c>
      <c r="B330">
        <f t="shared" si="30"/>
        <v>1455</v>
      </c>
      <c r="C330">
        <f t="shared" si="31"/>
        <v>1648</v>
      </c>
      <c r="D330" t="s">
        <v>48</v>
      </c>
      <c r="E330" t="str">
        <f>D331</f>
        <v>Brent</v>
      </c>
      <c r="F330">
        <v>2015</v>
      </c>
      <c r="G330">
        <v>6</v>
      </c>
      <c r="H330">
        <v>5.0999999999999996</v>
      </c>
      <c r="I330" s="14">
        <v>73</v>
      </c>
      <c r="J330">
        <f>I330-I331</f>
        <v>-16</v>
      </c>
      <c r="K330" t="str">
        <f t="shared" si="32"/>
        <v>L</v>
      </c>
      <c r="L330" t="str">
        <f t="shared" si="33"/>
        <v>Charles</v>
      </c>
      <c r="M330" t="str">
        <f>VLOOKUP(L330,References!$A$2:$B$16,2,FALSE)</f>
        <v>AKCOVA</v>
      </c>
      <c r="N330" s="19" t="str">
        <f>IF(M330=M331,"N","Y")</f>
        <v>Y</v>
      </c>
      <c r="O330">
        <f>SUM(I330:I331)</f>
        <v>162</v>
      </c>
      <c r="P330">
        <f t="shared" si="35"/>
        <v>89</v>
      </c>
    </row>
    <row r="331" spans="1:16" hidden="1" x14ac:dyDescent="0.3">
      <c r="A331" t="str">
        <f t="shared" si="34"/>
        <v>2015Brent6</v>
      </c>
      <c r="B331">
        <f t="shared" si="30"/>
        <v>619</v>
      </c>
      <c r="C331">
        <f t="shared" si="31"/>
        <v>1055</v>
      </c>
      <c r="D331" t="s">
        <v>47</v>
      </c>
      <c r="E331" t="str">
        <f>D330</f>
        <v>Charles</v>
      </c>
      <c r="F331">
        <v>2015</v>
      </c>
      <c r="G331">
        <v>6</v>
      </c>
      <c r="H331">
        <v>5.2</v>
      </c>
      <c r="I331" s="14">
        <v>89</v>
      </c>
      <c r="J331">
        <f>I331-I330</f>
        <v>16</v>
      </c>
      <c r="K331" t="str">
        <f t="shared" si="32"/>
        <v>W</v>
      </c>
      <c r="L331" t="str">
        <f t="shared" si="33"/>
        <v>Brent</v>
      </c>
      <c r="M331" t="str">
        <f>VLOOKUP(L331,References!$A$2:$B$16,2,FALSE)</f>
        <v>TEXAROK</v>
      </c>
      <c r="N331" s="19" t="str">
        <f>IF(M331=M330,"N","Y")</f>
        <v>Y</v>
      </c>
      <c r="O331">
        <f>SUM(I330:I331)</f>
        <v>162</v>
      </c>
      <c r="P331">
        <f t="shared" si="35"/>
        <v>73</v>
      </c>
    </row>
    <row r="332" spans="1:16" hidden="1" x14ac:dyDescent="0.3">
      <c r="A332" t="str">
        <f t="shared" si="34"/>
        <v>2015Watty6</v>
      </c>
      <c r="B332">
        <f t="shared" si="30"/>
        <v>1702</v>
      </c>
      <c r="C332">
        <f t="shared" si="31"/>
        <v>2068</v>
      </c>
      <c r="D332" t="s">
        <v>24</v>
      </c>
      <c r="E332" t="str">
        <f>D333</f>
        <v>David</v>
      </c>
      <c r="F332">
        <v>2015</v>
      </c>
      <c r="G332">
        <v>6</v>
      </c>
      <c r="H332">
        <v>6.1</v>
      </c>
      <c r="I332" s="14">
        <v>46</v>
      </c>
      <c r="J332">
        <f>I332-I333</f>
        <v>-27</v>
      </c>
      <c r="K332" t="str">
        <f t="shared" si="32"/>
        <v>L</v>
      </c>
      <c r="L332" t="str">
        <f t="shared" si="33"/>
        <v>Watty</v>
      </c>
      <c r="M332" t="str">
        <f>VLOOKUP(L332,References!$A$2:$B$16,2,FALSE)</f>
        <v>AKCOVA</v>
      </c>
      <c r="N332" s="19" t="str">
        <f>IF(M332=M333,"N","Y")</f>
        <v>Y</v>
      </c>
      <c r="O332">
        <f>SUM(I332:I333)</f>
        <v>119</v>
      </c>
      <c r="P332">
        <f t="shared" si="35"/>
        <v>73</v>
      </c>
    </row>
    <row r="333" spans="1:16" hidden="1" x14ac:dyDescent="0.3">
      <c r="A333" t="str">
        <f t="shared" si="34"/>
        <v>2015David6</v>
      </c>
      <c r="B333">
        <f t="shared" si="30"/>
        <v>371</v>
      </c>
      <c r="C333">
        <f t="shared" si="31"/>
        <v>1648</v>
      </c>
      <c r="D333" t="s">
        <v>29</v>
      </c>
      <c r="E333" t="str">
        <f>D332</f>
        <v>Watty</v>
      </c>
      <c r="F333">
        <v>2015</v>
      </c>
      <c r="G333">
        <v>6</v>
      </c>
      <c r="H333">
        <v>6.2</v>
      </c>
      <c r="I333" s="14">
        <v>73</v>
      </c>
      <c r="J333">
        <f>I333-I332</f>
        <v>27</v>
      </c>
      <c r="K333" t="str">
        <f t="shared" si="32"/>
        <v>W</v>
      </c>
      <c r="L333" t="str">
        <f t="shared" si="33"/>
        <v>David</v>
      </c>
      <c r="M333" t="str">
        <f>VLOOKUP(L333,References!$A$2:$B$16,2,FALSE)</f>
        <v>TEXAROK</v>
      </c>
      <c r="N333" s="19" t="str">
        <f>IF(M333=M332,"N","Y")</f>
        <v>Y</v>
      </c>
      <c r="O333">
        <f>SUM(I332:I333)</f>
        <v>119</v>
      </c>
      <c r="P333">
        <f t="shared" si="35"/>
        <v>46</v>
      </c>
    </row>
    <row r="334" spans="1:16" hidden="1" x14ac:dyDescent="0.3">
      <c r="A334" t="str">
        <f t="shared" si="34"/>
        <v>2015Russell7</v>
      </c>
      <c r="B334">
        <f t="shared" si="30"/>
        <v>1952</v>
      </c>
      <c r="C334">
        <f t="shared" si="31"/>
        <v>1406</v>
      </c>
      <c r="D334" t="s">
        <v>28</v>
      </c>
      <c r="E334" t="str">
        <f>D335</f>
        <v>Charles</v>
      </c>
      <c r="F334">
        <v>2015</v>
      </c>
      <c r="G334">
        <v>7</v>
      </c>
      <c r="H334">
        <v>1.1000000000000001</v>
      </c>
      <c r="I334" s="14">
        <v>80</v>
      </c>
      <c r="J334">
        <f>I334-I335</f>
        <v>-46</v>
      </c>
      <c r="K334" t="str">
        <f t="shared" si="32"/>
        <v>L</v>
      </c>
      <c r="L334" t="str">
        <f t="shared" si="33"/>
        <v>Russell</v>
      </c>
      <c r="M334" t="str">
        <f>VLOOKUP(L334,References!$A$2:$B$16,2,FALSE)</f>
        <v>TEXAROK</v>
      </c>
      <c r="N334" s="19" t="str">
        <f>IF(M334=M335,"N","Y")</f>
        <v>Y</v>
      </c>
      <c r="O334">
        <f>SUM(I334:I335)</f>
        <v>206</v>
      </c>
      <c r="P334">
        <f t="shared" si="35"/>
        <v>126</v>
      </c>
    </row>
    <row r="335" spans="1:16" hidden="1" x14ac:dyDescent="0.3">
      <c r="A335" t="str">
        <f t="shared" si="34"/>
        <v>2015Charles7</v>
      </c>
      <c r="B335">
        <f t="shared" si="30"/>
        <v>130</v>
      </c>
      <c r="C335">
        <f t="shared" si="31"/>
        <v>150</v>
      </c>
      <c r="D335" t="s">
        <v>48</v>
      </c>
      <c r="E335" t="str">
        <f>D334</f>
        <v>Russell</v>
      </c>
      <c r="F335">
        <v>2015</v>
      </c>
      <c r="G335">
        <v>7</v>
      </c>
      <c r="H335">
        <v>1.2</v>
      </c>
      <c r="I335" s="14">
        <v>126</v>
      </c>
      <c r="J335">
        <f>I335-I334</f>
        <v>46</v>
      </c>
      <c r="K335" t="str">
        <f t="shared" si="32"/>
        <v>W</v>
      </c>
      <c r="L335" t="str">
        <f t="shared" si="33"/>
        <v>Charles</v>
      </c>
      <c r="M335" t="str">
        <f>VLOOKUP(L335,References!$A$2:$B$16,2,FALSE)</f>
        <v>AKCOVA</v>
      </c>
      <c r="N335" s="19" t="str">
        <f>IF(M335=M334,"N","Y")</f>
        <v>Y</v>
      </c>
      <c r="O335">
        <f>SUM(I334:I335)</f>
        <v>206</v>
      </c>
      <c r="P335">
        <f t="shared" si="35"/>
        <v>80</v>
      </c>
    </row>
    <row r="336" spans="1:16" hidden="1" x14ac:dyDescent="0.3">
      <c r="A336" t="str">
        <f t="shared" si="34"/>
        <v>2015Matt7</v>
      </c>
      <c r="B336">
        <f t="shared" si="30"/>
        <v>1090</v>
      </c>
      <c r="C336">
        <f t="shared" si="31"/>
        <v>1717</v>
      </c>
      <c r="D336" t="s">
        <v>30</v>
      </c>
      <c r="E336" t="str">
        <f>D337</f>
        <v>Abby</v>
      </c>
      <c r="F336">
        <v>2015</v>
      </c>
      <c r="G336">
        <v>7</v>
      </c>
      <c r="H336">
        <v>2.1</v>
      </c>
      <c r="I336" s="14">
        <v>71</v>
      </c>
      <c r="J336">
        <f>I336-I337</f>
        <v>-2</v>
      </c>
      <c r="K336" t="str">
        <f t="shared" si="32"/>
        <v>L</v>
      </c>
      <c r="L336" t="str">
        <f t="shared" si="33"/>
        <v>Matt</v>
      </c>
      <c r="M336" t="str">
        <f>VLOOKUP(L336,References!$A$2:$B$16,2,FALSE)</f>
        <v>TEXAROK</v>
      </c>
      <c r="N336" s="19" t="str">
        <f>IF(M336=M337,"N","Y")</f>
        <v>Y</v>
      </c>
      <c r="O336">
        <f>SUM(I336:I337)</f>
        <v>144</v>
      </c>
      <c r="P336">
        <f t="shared" si="35"/>
        <v>73</v>
      </c>
    </row>
    <row r="337" spans="1:16" hidden="1" x14ac:dyDescent="0.3">
      <c r="A337" t="str">
        <f t="shared" si="34"/>
        <v>2015Abby7</v>
      </c>
      <c r="B337">
        <f t="shared" si="30"/>
        <v>977</v>
      </c>
      <c r="C337">
        <f t="shared" si="31"/>
        <v>1648</v>
      </c>
      <c r="D337" t="s">
        <v>27</v>
      </c>
      <c r="E337" t="str">
        <f>D336</f>
        <v>Matt</v>
      </c>
      <c r="F337">
        <v>2015</v>
      </c>
      <c r="G337">
        <v>7</v>
      </c>
      <c r="H337">
        <v>2.2000000000000002</v>
      </c>
      <c r="I337" s="14">
        <v>73</v>
      </c>
      <c r="J337">
        <f>I337-I336</f>
        <v>2</v>
      </c>
      <c r="K337" t="str">
        <f t="shared" si="32"/>
        <v>W</v>
      </c>
      <c r="L337" t="str">
        <f t="shared" si="33"/>
        <v>Abby</v>
      </c>
      <c r="M337" t="str">
        <f>VLOOKUP(L337,References!$A$2:$B$16,2,FALSE)</f>
        <v>AKCOVA</v>
      </c>
      <c r="N337" s="19" t="str">
        <f>IF(M337=M336,"N","Y")</f>
        <v>Y</v>
      </c>
      <c r="O337">
        <f>SUM(I336:I337)</f>
        <v>144</v>
      </c>
      <c r="P337">
        <f t="shared" si="35"/>
        <v>71</v>
      </c>
    </row>
    <row r="338" spans="1:16" hidden="1" x14ac:dyDescent="0.3">
      <c r="A338" t="str">
        <f t="shared" si="34"/>
        <v>2015Emily7</v>
      </c>
      <c r="B338">
        <f t="shared" si="30"/>
        <v>639</v>
      </c>
      <c r="C338">
        <f t="shared" si="31"/>
        <v>1549</v>
      </c>
      <c r="D338" t="s">
        <v>43</v>
      </c>
      <c r="E338" t="str">
        <f>D339</f>
        <v>Mark</v>
      </c>
      <c r="F338">
        <v>2015</v>
      </c>
      <c r="G338">
        <v>7</v>
      </c>
      <c r="H338">
        <v>3.1</v>
      </c>
      <c r="I338" s="14">
        <v>76</v>
      </c>
      <c r="J338">
        <f>I338-I339</f>
        <v>15</v>
      </c>
      <c r="K338" t="str">
        <f t="shared" si="32"/>
        <v>W</v>
      </c>
      <c r="L338" t="str">
        <f t="shared" si="33"/>
        <v>Emily</v>
      </c>
      <c r="M338" t="str">
        <f>VLOOKUP(L338,References!$A$2:$B$16,2,FALSE)</f>
        <v>TEXAROK</v>
      </c>
      <c r="N338" s="19" t="str">
        <f>IF(M338=M339,"N","Y")</f>
        <v>Y</v>
      </c>
      <c r="O338">
        <f>SUM(I338:I339)</f>
        <v>137</v>
      </c>
      <c r="P338">
        <f t="shared" si="35"/>
        <v>61</v>
      </c>
    </row>
    <row r="339" spans="1:16" hidden="1" x14ac:dyDescent="0.3">
      <c r="A339" t="str">
        <f t="shared" si="34"/>
        <v>2015Mark7</v>
      </c>
      <c r="B339">
        <f t="shared" si="30"/>
        <v>1434</v>
      </c>
      <c r="C339">
        <f t="shared" si="31"/>
        <v>1927</v>
      </c>
      <c r="D339" t="s">
        <v>22</v>
      </c>
      <c r="E339" t="str">
        <f>D338</f>
        <v>Emily</v>
      </c>
      <c r="F339">
        <v>2015</v>
      </c>
      <c r="G339">
        <v>7</v>
      </c>
      <c r="H339">
        <v>3.2</v>
      </c>
      <c r="I339" s="14">
        <v>61</v>
      </c>
      <c r="J339">
        <f>I339-I338</f>
        <v>-15</v>
      </c>
      <c r="K339" t="str">
        <f t="shared" si="32"/>
        <v>L</v>
      </c>
      <c r="L339" t="str">
        <f t="shared" si="33"/>
        <v>Mark</v>
      </c>
      <c r="M339" t="str">
        <f>VLOOKUP(L339,References!$A$2:$B$16,2,FALSE)</f>
        <v>AKCOVA</v>
      </c>
      <c r="N339" s="19" t="str">
        <f>IF(M339=M338,"N","Y")</f>
        <v>Y</v>
      </c>
      <c r="O339">
        <f>SUM(I338:I339)</f>
        <v>137</v>
      </c>
      <c r="P339">
        <f t="shared" si="35"/>
        <v>76</v>
      </c>
    </row>
    <row r="340" spans="1:16" hidden="1" x14ac:dyDescent="0.3">
      <c r="A340" t="str">
        <f t="shared" si="34"/>
        <v>2015Brent7</v>
      </c>
      <c r="B340">
        <f t="shared" si="30"/>
        <v>1434</v>
      </c>
      <c r="C340">
        <f t="shared" si="31"/>
        <v>746</v>
      </c>
      <c r="D340" t="s">
        <v>47</v>
      </c>
      <c r="E340" t="str">
        <f>D341</f>
        <v>BR</v>
      </c>
      <c r="F340">
        <v>2015</v>
      </c>
      <c r="G340">
        <v>7</v>
      </c>
      <c r="H340">
        <v>4.0999999999999996</v>
      </c>
      <c r="I340" s="14">
        <v>98</v>
      </c>
      <c r="J340">
        <f>I340-I341</f>
        <v>-15</v>
      </c>
      <c r="K340" t="str">
        <f t="shared" si="32"/>
        <v>L</v>
      </c>
      <c r="L340" t="str">
        <f t="shared" si="33"/>
        <v>Brent</v>
      </c>
      <c r="M340" t="str">
        <f>VLOOKUP(L340,References!$A$2:$B$16,2,FALSE)</f>
        <v>TEXAROK</v>
      </c>
      <c r="N340" s="19" t="str">
        <f>IF(M340=M341,"N","Y")</f>
        <v>Y</v>
      </c>
      <c r="O340">
        <f>SUM(I340:I341)</f>
        <v>211</v>
      </c>
      <c r="P340">
        <f t="shared" si="35"/>
        <v>113</v>
      </c>
    </row>
    <row r="341" spans="1:16" hidden="1" x14ac:dyDescent="0.3">
      <c r="A341" t="str">
        <f t="shared" si="34"/>
        <v>2015BR7</v>
      </c>
      <c r="B341">
        <f t="shared" si="30"/>
        <v>639</v>
      </c>
      <c r="C341">
        <f t="shared" si="31"/>
        <v>339</v>
      </c>
      <c r="D341" t="s">
        <v>25</v>
      </c>
      <c r="E341" t="str">
        <f>D340</f>
        <v>Brent</v>
      </c>
      <c r="F341">
        <v>2015</v>
      </c>
      <c r="G341">
        <v>7</v>
      </c>
      <c r="H341">
        <v>4.2</v>
      </c>
      <c r="I341" s="14">
        <v>113</v>
      </c>
      <c r="J341">
        <f>I341-I340</f>
        <v>15</v>
      </c>
      <c r="K341" t="str">
        <f t="shared" si="32"/>
        <v>W</v>
      </c>
      <c r="L341" t="str">
        <f t="shared" si="33"/>
        <v>BR</v>
      </c>
      <c r="M341" t="str">
        <f>VLOOKUP(L341,References!$A$2:$B$16,2,FALSE)</f>
        <v>AKCOVA</v>
      </c>
      <c r="N341" s="19" t="str">
        <f>IF(M341=M340,"N","Y")</f>
        <v>Y</v>
      </c>
      <c r="O341">
        <f>SUM(I340:I341)</f>
        <v>211</v>
      </c>
      <c r="P341">
        <f t="shared" si="35"/>
        <v>98</v>
      </c>
    </row>
    <row r="342" spans="1:16" hidden="1" x14ac:dyDescent="0.3">
      <c r="A342" t="str">
        <f t="shared" si="34"/>
        <v>2015David7</v>
      </c>
      <c r="B342">
        <f t="shared" si="30"/>
        <v>2052</v>
      </c>
      <c r="C342">
        <f t="shared" si="31"/>
        <v>1910</v>
      </c>
      <c r="D342" t="s">
        <v>29</v>
      </c>
      <c r="E342" t="str">
        <f>D343</f>
        <v>Brian</v>
      </c>
      <c r="F342">
        <v>2015</v>
      </c>
      <c r="G342">
        <v>7</v>
      </c>
      <c r="H342">
        <v>5.0999999999999996</v>
      </c>
      <c r="I342" s="14">
        <v>62</v>
      </c>
      <c r="J342">
        <f>I342-I343</f>
        <v>-64</v>
      </c>
      <c r="K342" t="str">
        <f t="shared" si="32"/>
        <v>L</v>
      </c>
      <c r="L342" t="str">
        <f t="shared" si="33"/>
        <v>David</v>
      </c>
      <c r="M342" t="str">
        <f>VLOOKUP(L342,References!$A$2:$B$16,2,FALSE)</f>
        <v>TEXAROK</v>
      </c>
      <c r="N342" s="19" t="str">
        <f>IF(M342=M343,"N","Y")</f>
        <v>N</v>
      </c>
      <c r="O342">
        <f>SUM(I342:I343)</f>
        <v>188</v>
      </c>
      <c r="P342">
        <f t="shared" si="35"/>
        <v>126</v>
      </c>
    </row>
    <row r="343" spans="1:16" hidden="1" x14ac:dyDescent="0.3">
      <c r="A343" t="str">
        <f t="shared" si="34"/>
        <v>2015Brian7</v>
      </c>
      <c r="B343">
        <f t="shared" si="30"/>
        <v>37</v>
      </c>
      <c r="C343">
        <f t="shared" si="31"/>
        <v>150</v>
      </c>
      <c r="D343" t="s">
        <v>26</v>
      </c>
      <c r="E343" t="str">
        <f>D342</f>
        <v>David</v>
      </c>
      <c r="F343">
        <v>2015</v>
      </c>
      <c r="G343">
        <v>7</v>
      </c>
      <c r="H343">
        <v>5.2</v>
      </c>
      <c r="I343" s="14">
        <v>126</v>
      </c>
      <c r="J343">
        <f>I343-I342</f>
        <v>64</v>
      </c>
      <c r="K343" t="str">
        <f t="shared" si="32"/>
        <v>W</v>
      </c>
      <c r="L343" t="str">
        <f t="shared" si="33"/>
        <v>Brian</v>
      </c>
      <c r="M343" t="str">
        <f>VLOOKUP(L343,References!$A$2:$B$16,2,FALSE)</f>
        <v>TEXAROK</v>
      </c>
      <c r="N343" s="19" t="str">
        <f>IF(M343=M342,"N","Y")</f>
        <v>N</v>
      </c>
      <c r="O343">
        <f>SUM(I342:I343)</f>
        <v>188</v>
      </c>
      <c r="P343">
        <f t="shared" si="35"/>
        <v>62</v>
      </c>
    </row>
    <row r="344" spans="1:16" hidden="1" x14ac:dyDescent="0.3">
      <c r="A344" t="str">
        <f t="shared" si="34"/>
        <v>2015Michael7</v>
      </c>
      <c r="B344">
        <f t="shared" si="30"/>
        <v>489</v>
      </c>
      <c r="C344">
        <f t="shared" si="31"/>
        <v>566</v>
      </c>
      <c r="D344" t="s">
        <v>23</v>
      </c>
      <c r="E344" t="str">
        <f>D345</f>
        <v>Watty</v>
      </c>
      <c r="F344">
        <v>2015</v>
      </c>
      <c r="G344">
        <v>7</v>
      </c>
      <c r="H344">
        <v>6.1</v>
      </c>
      <c r="I344" s="14">
        <v>104</v>
      </c>
      <c r="J344">
        <f>I344-I345</f>
        <v>21</v>
      </c>
      <c r="K344" t="str">
        <f t="shared" si="32"/>
        <v>W</v>
      </c>
      <c r="L344" t="str">
        <f t="shared" si="33"/>
        <v>Michael</v>
      </c>
      <c r="M344" t="str">
        <f>VLOOKUP(L344,References!$A$2:$B$16,2,FALSE)</f>
        <v>AKCOVA</v>
      </c>
      <c r="N344" s="19" t="str">
        <f>IF(M344=M345,"N","Y")</f>
        <v>N</v>
      </c>
      <c r="O344">
        <f>SUM(I344:I345)</f>
        <v>187</v>
      </c>
      <c r="P344">
        <f t="shared" si="35"/>
        <v>83</v>
      </c>
    </row>
    <row r="345" spans="1:16" hidden="1" x14ac:dyDescent="0.3">
      <c r="A345" t="str">
        <f t="shared" si="34"/>
        <v>2015Watty7</v>
      </c>
      <c r="B345">
        <f t="shared" si="30"/>
        <v>1577</v>
      </c>
      <c r="C345">
        <f t="shared" si="31"/>
        <v>1282</v>
      </c>
      <c r="D345" t="s">
        <v>24</v>
      </c>
      <c r="E345" t="str">
        <f>D344</f>
        <v>Michael</v>
      </c>
      <c r="F345">
        <v>2015</v>
      </c>
      <c r="G345">
        <v>7</v>
      </c>
      <c r="H345">
        <v>6.2</v>
      </c>
      <c r="I345" s="14">
        <v>83</v>
      </c>
      <c r="J345">
        <f>I345-I344</f>
        <v>-21</v>
      </c>
      <c r="K345" t="str">
        <f t="shared" si="32"/>
        <v>L</v>
      </c>
      <c r="L345" t="str">
        <f t="shared" si="33"/>
        <v>Watty</v>
      </c>
      <c r="M345" t="str">
        <f>VLOOKUP(L345,References!$A$2:$B$16,2,FALSE)</f>
        <v>AKCOVA</v>
      </c>
      <c r="N345" s="19" t="str">
        <f>IF(M345=M344,"N","Y")</f>
        <v>N</v>
      </c>
      <c r="O345">
        <f>SUM(I344:I345)</f>
        <v>187</v>
      </c>
      <c r="P345">
        <f t="shared" si="35"/>
        <v>104</v>
      </c>
    </row>
    <row r="346" spans="1:16" hidden="1" x14ac:dyDescent="0.3">
      <c r="A346" t="str">
        <f t="shared" si="34"/>
        <v>2015Russell8</v>
      </c>
      <c r="B346">
        <f t="shared" si="30"/>
        <v>1856</v>
      </c>
      <c r="C346">
        <f t="shared" si="31"/>
        <v>1210</v>
      </c>
      <c r="D346" t="s">
        <v>28</v>
      </c>
      <c r="E346" t="str">
        <f>D347</f>
        <v>BR</v>
      </c>
      <c r="F346">
        <v>2015</v>
      </c>
      <c r="G346">
        <v>8</v>
      </c>
      <c r="H346">
        <v>1.1000000000000001</v>
      </c>
      <c r="I346" s="14">
        <v>85</v>
      </c>
      <c r="J346">
        <f>I346-I347</f>
        <v>-37</v>
      </c>
      <c r="K346" t="str">
        <f t="shared" si="32"/>
        <v>L</v>
      </c>
      <c r="L346" t="str">
        <f t="shared" si="33"/>
        <v>Russell</v>
      </c>
      <c r="M346" t="str">
        <f>VLOOKUP(L346,References!$A$2:$B$16,2,FALSE)</f>
        <v>TEXAROK</v>
      </c>
      <c r="N346" s="19" t="str">
        <f>IF(M346=M347,"N","Y")</f>
        <v>Y</v>
      </c>
      <c r="O346">
        <f>SUM(I346:I347)</f>
        <v>207</v>
      </c>
      <c r="P346">
        <f t="shared" si="35"/>
        <v>122</v>
      </c>
    </row>
    <row r="347" spans="1:16" hidden="1" x14ac:dyDescent="0.3">
      <c r="A347" t="str">
        <f t="shared" si="34"/>
        <v>2015BR8</v>
      </c>
      <c r="B347">
        <f t="shared" si="30"/>
        <v>225</v>
      </c>
      <c r="C347">
        <f t="shared" si="31"/>
        <v>197</v>
      </c>
      <c r="D347" t="s">
        <v>25</v>
      </c>
      <c r="E347" t="str">
        <f>D346</f>
        <v>Russell</v>
      </c>
      <c r="F347">
        <v>2015</v>
      </c>
      <c r="G347">
        <v>8</v>
      </c>
      <c r="H347">
        <v>1.2</v>
      </c>
      <c r="I347" s="14">
        <v>122</v>
      </c>
      <c r="J347">
        <f>I347-I346</f>
        <v>37</v>
      </c>
      <c r="K347" t="str">
        <f t="shared" si="32"/>
        <v>W</v>
      </c>
      <c r="L347" t="str">
        <f t="shared" si="33"/>
        <v>BR</v>
      </c>
      <c r="M347" t="str">
        <f>VLOOKUP(L347,References!$A$2:$B$16,2,FALSE)</f>
        <v>AKCOVA</v>
      </c>
      <c r="N347" s="19" t="str">
        <f>IF(M347=M346,"N","Y")</f>
        <v>Y</v>
      </c>
      <c r="O347">
        <f>SUM(I346:I347)</f>
        <v>207</v>
      </c>
      <c r="P347">
        <f t="shared" si="35"/>
        <v>85</v>
      </c>
    </row>
    <row r="348" spans="1:16" hidden="1" x14ac:dyDescent="0.3">
      <c r="A348" t="str">
        <f t="shared" si="34"/>
        <v>2015Abby8</v>
      </c>
      <c r="B348">
        <f t="shared" si="30"/>
        <v>1336</v>
      </c>
      <c r="C348">
        <f t="shared" si="31"/>
        <v>1793</v>
      </c>
      <c r="D348" t="s">
        <v>27</v>
      </c>
      <c r="E348" t="str">
        <f>D349</f>
        <v>Emily</v>
      </c>
      <c r="F348">
        <v>2015</v>
      </c>
      <c r="G348">
        <v>8</v>
      </c>
      <c r="H348">
        <v>2.1</v>
      </c>
      <c r="I348" s="14">
        <v>68</v>
      </c>
      <c r="J348">
        <f>I348-I349</f>
        <v>-11</v>
      </c>
      <c r="K348" t="str">
        <f t="shared" si="32"/>
        <v>L</v>
      </c>
      <c r="L348" t="str">
        <f t="shared" si="33"/>
        <v>Abby</v>
      </c>
      <c r="M348" t="str">
        <f>VLOOKUP(L348,References!$A$2:$B$16,2,FALSE)</f>
        <v>AKCOVA</v>
      </c>
      <c r="N348" s="19" t="str">
        <f>IF(M348=M349,"N","Y")</f>
        <v>Y</v>
      </c>
      <c r="O348">
        <f>SUM(I348:I349)</f>
        <v>147</v>
      </c>
      <c r="P348">
        <f t="shared" si="35"/>
        <v>79</v>
      </c>
    </row>
    <row r="349" spans="1:16" hidden="1" x14ac:dyDescent="0.3">
      <c r="A349" t="str">
        <f t="shared" si="34"/>
        <v>2015Emily8</v>
      </c>
      <c r="B349">
        <f t="shared" si="30"/>
        <v>737</v>
      </c>
      <c r="C349">
        <f t="shared" si="31"/>
        <v>1439</v>
      </c>
      <c r="D349" t="s">
        <v>43</v>
      </c>
      <c r="E349" t="str">
        <f>D348</f>
        <v>Abby</v>
      </c>
      <c r="F349">
        <v>2015</v>
      </c>
      <c r="G349">
        <v>8</v>
      </c>
      <c r="H349">
        <v>2.2000000000000002</v>
      </c>
      <c r="I349" s="14">
        <v>79</v>
      </c>
      <c r="J349">
        <f>I349-I348</f>
        <v>11</v>
      </c>
      <c r="K349" t="str">
        <f t="shared" si="32"/>
        <v>W</v>
      </c>
      <c r="L349" t="str">
        <f t="shared" si="33"/>
        <v>Emily</v>
      </c>
      <c r="M349" t="str">
        <f>VLOOKUP(L349,References!$A$2:$B$16,2,FALSE)</f>
        <v>TEXAROK</v>
      </c>
      <c r="N349" s="19" t="str">
        <f>IF(M349=M348,"N","Y")</f>
        <v>Y</v>
      </c>
      <c r="O349">
        <f>SUM(I348:I349)</f>
        <v>147</v>
      </c>
      <c r="P349">
        <f t="shared" si="35"/>
        <v>68</v>
      </c>
    </row>
    <row r="350" spans="1:16" hidden="1" x14ac:dyDescent="0.3">
      <c r="A350" t="str">
        <f t="shared" si="34"/>
        <v>2015Mark8</v>
      </c>
      <c r="B350">
        <f t="shared" si="30"/>
        <v>1229</v>
      </c>
      <c r="C350">
        <f t="shared" si="31"/>
        <v>678</v>
      </c>
      <c r="D350" t="s">
        <v>22</v>
      </c>
      <c r="E350" t="str">
        <f>D351</f>
        <v>Brent</v>
      </c>
      <c r="F350">
        <v>2015</v>
      </c>
      <c r="G350">
        <v>8</v>
      </c>
      <c r="H350">
        <v>3.1</v>
      </c>
      <c r="I350" s="14">
        <v>100</v>
      </c>
      <c r="J350">
        <f>I350-I351</f>
        <v>-7</v>
      </c>
      <c r="K350" t="str">
        <f t="shared" si="32"/>
        <v>L</v>
      </c>
      <c r="L350" t="str">
        <f t="shared" si="33"/>
        <v>Mark</v>
      </c>
      <c r="M350" t="str">
        <f>VLOOKUP(L350,References!$A$2:$B$16,2,FALSE)</f>
        <v>AKCOVA</v>
      </c>
      <c r="N350" s="19" t="str">
        <f>IF(M350=M351,"N","Y")</f>
        <v>Y</v>
      </c>
      <c r="O350">
        <f>SUM(I350:I351)</f>
        <v>207</v>
      </c>
      <c r="P350">
        <f t="shared" si="35"/>
        <v>107</v>
      </c>
    </row>
    <row r="351" spans="1:16" hidden="1" x14ac:dyDescent="0.3">
      <c r="A351" t="str">
        <f t="shared" si="34"/>
        <v>2015Brent8</v>
      </c>
      <c r="B351">
        <f t="shared" si="30"/>
        <v>836</v>
      </c>
      <c r="C351">
        <f t="shared" si="31"/>
        <v>486</v>
      </c>
      <c r="D351" t="s">
        <v>47</v>
      </c>
      <c r="E351" t="str">
        <f>D350</f>
        <v>Mark</v>
      </c>
      <c r="F351">
        <v>2015</v>
      </c>
      <c r="G351">
        <v>8</v>
      </c>
      <c r="H351">
        <v>3.2</v>
      </c>
      <c r="I351" s="14">
        <v>107</v>
      </c>
      <c r="J351">
        <f>I351-I350</f>
        <v>7</v>
      </c>
      <c r="K351" t="str">
        <f t="shared" si="32"/>
        <v>W</v>
      </c>
      <c r="L351" t="str">
        <f t="shared" si="33"/>
        <v>Brent</v>
      </c>
      <c r="M351" t="str">
        <f>VLOOKUP(L351,References!$A$2:$B$16,2,FALSE)</f>
        <v>TEXAROK</v>
      </c>
      <c r="N351" s="19" t="str">
        <f>IF(M351=M350,"N","Y")</f>
        <v>Y</v>
      </c>
      <c r="O351">
        <f>SUM(I350:I351)</f>
        <v>207</v>
      </c>
      <c r="P351">
        <f t="shared" si="35"/>
        <v>100</v>
      </c>
    </row>
    <row r="352" spans="1:16" hidden="1" x14ac:dyDescent="0.3">
      <c r="A352" t="str">
        <f t="shared" si="34"/>
        <v>2015Charles8</v>
      </c>
      <c r="B352">
        <f t="shared" si="30"/>
        <v>356</v>
      </c>
      <c r="C352">
        <f t="shared" si="31"/>
        <v>1439</v>
      </c>
      <c r="D352" t="s">
        <v>48</v>
      </c>
      <c r="E352" t="str">
        <f>D353</f>
        <v>David</v>
      </c>
      <c r="F352">
        <v>2015</v>
      </c>
      <c r="G352">
        <v>8</v>
      </c>
      <c r="H352">
        <v>4.0999999999999996</v>
      </c>
      <c r="I352" s="14">
        <v>79</v>
      </c>
      <c r="J352">
        <f>I352-I353</f>
        <v>28</v>
      </c>
      <c r="K352" t="str">
        <f t="shared" si="32"/>
        <v>W</v>
      </c>
      <c r="L352" t="str">
        <f t="shared" si="33"/>
        <v>Charles</v>
      </c>
      <c r="M352" t="str">
        <f>VLOOKUP(L352,References!$A$2:$B$16,2,FALSE)</f>
        <v>AKCOVA</v>
      </c>
      <c r="N352" s="19" t="str">
        <f>IF(M352=M353,"N","Y")</f>
        <v>Y</v>
      </c>
      <c r="O352">
        <f>SUM(I352:I353)</f>
        <v>130</v>
      </c>
      <c r="P352">
        <f t="shared" si="35"/>
        <v>51</v>
      </c>
    </row>
    <row r="353" spans="1:16" hidden="1" x14ac:dyDescent="0.3">
      <c r="A353" t="str">
        <f t="shared" si="34"/>
        <v>2015David8</v>
      </c>
      <c r="B353">
        <f t="shared" si="30"/>
        <v>1723</v>
      </c>
      <c r="C353">
        <f t="shared" si="31"/>
        <v>2040</v>
      </c>
      <c r="D353" t="s">
        <v>29</v>
      </c>
      <c r="E353" t="str">
        <f>D352</f>
        <v>Charles</v>
      </c>
      <c r="F353">
        <v>2015</v>
      </c>
      <c r="G353">
        <v>8</v>
      </c>
      <c r="H353">
        <v>4.2</v>
      </c>
      <c r="I353" s="14">
        <v>51</v>
      </c>
      <c r="J353">
        <f>I353-I352</f>
        <v>-28</v>
      </c>
      <c r="K353" t="str">
        <f t="shared" si="32"/>
        <v>L</v>
      </c>
      <c r="L353" t="str">
        <f t="shared" si="33"/>
        <v>David</v>
      </c>
      <c r="M353" t="str">
        <f>VLOOKUP(L353,References!$A$2:$B$16,2,FALSE)</f>
        <v>TEXAROK</v>
      </c>
      <c r="N353" s="19" t="str">
        <f>IF(M353=M352,"N","Y")</f>
        <v>Y</v>
      </c>
      <c r="O353">
        <f>SUM(I352:I353)</f>
        <v>130</v>
      </c>
      <c r="P353">
        <f t="shared" si="35"/>
        <v>79</v>
      </c>
    </row>
    <row r="354" spans="1:16" hidden="1" x14ac:dyDescent="0.3">
      <c r="A354" t="str">
        <f t="shared" si="34"/>
        <v>2015Brian8</v>
      </c>
      <c r="B354">
        <f t="shared" si="30"/>
        <v>713</v>
      </c>
      <c r="C354">
        <f t="shared" si="31"/>
        <v>958</v>
      </c>
      <c r="D354" t="s">
        <v>26</v>
      </c>
      <c r="E354" t="str">
        <f>D355</f>
        <v>Michael</v>
      </c>
      <c r="F354">
        <v>2015</v>
      </c>
      <c r="G354">
        <v>8</v>
      </c>
      <c r="H354">
        <v>5.0999999999999996</v>
      </c>
      <c r="I354" s="14">
        <v>92</v>
      </c>
      <c r="J354">
        <f>I354-I355</f>
        <v>12</v>
      </c>
      <c r="K354" t="str">
        <f t="shared" si="32"/>
        <v>W</v>
      </c>
      <c r="L354" t="str">
        <f t="shared" si="33"/>
        <v>Brian</v>
      </c>
      <c r="M354" t="str">
        <f>VLOOKUP(L354,References!$A$2:$B$16,2,FALSE)</f>
        <v>TEXAROK</v>
      </c>
      <c r="N354" s="19" t="str">
        <f>IF(M354=M355,"N","Y")</f>
        <v>Y</v>
      </c>
      <c r="O354">
        <f>SUM(I354:I355)</f>
        <v>172</v>
      </c>
      <c r="P354">
        <f t="shared" si="35"/>
        <v>80</v>
      </c>
    </row>
    <row r="355" spans="1:16" hidden="1" x14ac:dyDescent="0.3">
      <c r="A355" t="str">
        <f t="shared" si="34"/>
        <v>2015Michael8</v>
      </c>
      <c r="B355">
        <f t="shared" si="30"/>
        <v>1357</v>
      </c>
      <c r="C355">
        <f t="shared" si="31"/>
        <v>1406</v>
      </c>
      <c r="D355" t="s">
        <v>23</v>
      </c>
      <c r="E355" t="str">
        <f>D354</f>
        <v>Brian</v>
      </c>
      <c r="F355">
        <v>2015</v>
      </c>
      <c r="G355">
        <v>8</v>
      </c>
      <c r="H355">
        <v>5.2</v>
      </c>
      <c r="I355" s="14">
        <v>80</v>
      </c>
      <c r="J355">
        <f>I355-I354</f>
        <v>-12</v>
      </c>
      <c r="K355" t="str">
        <f t="shared" si="32"/>
        <v>L</v>
      </c>
      <c r="L355" t="str">
        <f t="shared" si="33"/>
        <v>Michael</v>
      </c>
      <c r="M355" t="str">
        <f>VLOOKUP(L355,References!$A$2:$B$16,2,FALSE)</f>
        <v>AKCOVA</v>
      </c>
      <c r="N355" s="19" t="str">
        <f>IF(M355=M354,"N","Y")</f>
        <v>Y</v>
      </c>
      <c r="O355">
        <f>SUM(I354:I355)</f>
        <v>172</v>
      </c>
      <c r="P355">
        <f t="shared" si="35"/>
        <v>92</v>
      </c>
    </row>
    <row r="356" spans="1:16" hidden="1" x14ac:dyDescent="0.3">
      <c r="A356" t="str">
        <f t="shared" si="34"/>
        <v>2015Watty8</v>
      </c>
      <c r="B356">
        <f t="shared" si="30"/>
        <v>2086</v>
      </c>
      <c r="C356">
        <f t="shared" si="31"/>
        <v>2049</v>
      </c>
      <c r="D356" t="s">
        <v>24</v>
      </c>
      <c r="E356" t="str">
        <f>D357</f>
        <v>Matt</v>
      </c>
      <c r="F356">
        <v>2015</v>
      </c>
      <c r="G356">
        <v>8</v>
      </c>
      <c r="H356">
        <v>6.1</v>
      </c>
      <c r="I356" s="14">
        <v>50</v>
      </c>
      <c r="J356">
        <f>I356-I357</f>
        <v>-85</v>
      </c>
      <c r="K356" t="str">
        <f t="shared" si="32"/>
        <v>L</v>
      </c>
      <c r="L356" t="str">
        <f t="shared" si="33"/>
        <v>Watty</v>
      </c>
      <c r="M356" t="str">
        <f>VLOOKUP(L356,References!$A$2:$B$16,2,FALSE)</f>
        <v>AKCOVA</v>
      </c>
      <c r="N356" s="19" t="str">
        <f>IF(M356=M357,"N","Y")</f>
        <v>Y</v>
      </c>
      <c r="O356">
        <f>SUM(I356:I357)</f>
        <v>185</v>
      </c>
      <c r="P356">
        <f t="shared" si="35"/>
        <v>135</v>
      </c>
    </row>
    <row r="357" spans="1:16" hidden="1" x14ac:dyDescent="0.3">
      <c r="A357" t="str">
        <f t="shared" si="34"/>
        <v>2015Matt8</v>
      </c>
      <c r="B357">
        <f t="shared" si="30"/>
        <v>7</v>
      </c>
      <c r="C357">
        <f t="shared" si="31"/>
        <v>78</v>
      </c>
      <c r="D357" t="s">
        <v>30</v>
      </c>
      <c r="E357" t="str">
        <f>D356</f>
        <v>Watty</v>
      </c>
      <c r="F357">
        <v>2015</v>
      </c>
      <c r="G357">
        <v>8</v>
      </c>
      <c r="H357">
        <v>6.2</v>
      </c>
      <c r="I357" s="14">
        <v>135</v>
      </c>
      <c r="J357">
        <f>I357-I356</f>
        <v>85</v>
      </c>
      <c r="K357" t="str">
        <f t="shared" si="32"/>
        <v>W</v>
      </c>
      <c r="L357" t="str">
        <f t="shared" si="33"/>
        <v>Matt</v>
      </c>
      <c r="M357" t="str">
        <f>VLOOKUP(L357,References!$A$2:$B$16,2,FALSE)</f>
        <v>TEXAROK</v>
      </c>
      <c r="N357" s="19" t="str">
        <f>IF(M357=M356,"N","Y")</f>
        <v>Y</v>
      </c>
      <c r="O357">
        <f>SUM(I356:I357)</f>
        <v>185</v>
      </c>
      <c r="P357">
        <f t="shared" si="35"/>
        <v>50</v>
      </c>
    </row>
    <row r="358" spans="1:16" hidden="1" x14ac:dyDescent="0.3">
      <c r="A358" t="str">
        <f t="shared" si="34"/>
        <v>2015Russell9</v>
      </c>
      <c r="B358">
        <f t="shared" si="30"/>
        <v>917</v>
      </c>
      <c r="C358">
        <f t="shared" si="31"/>
        <v>1365</v>
      </c>
      <c r="D358" t="s">
        <v>28</v>
      </c>
      <c r="E358" t="str">
        <f>D359</f>
        <v>Mark</v>
      </c>
      <c r="F358">
        <v>2015</v>
      </c>
      <c r="G358">
        <v>9</v>
      </c>
      <c r="H358">
        <v>1.1000000000000001</v>
      </c>
      <c r="I358" s="14">
        <v>81</v>
      </c>
      <c r="J358">
        <f>I358-I359</f>
        <v>4</v>
      </c>
      <c r="K358" t="str">
        <f t="shared" si="32"/>
        <v>W</v>
      </c>
      <c r="L358" t="str">
        <f t="shared" si="33"/>
        <v>Russell</v>
      </c>
      <c r="M358" t="str">
        <f>VLOOKUP(L358,References!$A$2:$B$16,2,FALSE)</f>
        <v>TEXAROK</v>
      </c>
      <c r="N358" s="19" t="str">
        <f>IF(M358=M359,"N","Y")</f>
        <v>Y</v>
      </c>
      <c r="O358">
        <f>SUM(I358:I359)</f>
        <v>158</v>
      </c>
      <c r="P358">
        <f t="shared" si="35"/>
        <v>77</v>
      </c>
    </row>
    <row r="359" spans="1:16" hidden="1" x14ac:dyDescent="0.3">
      <c r="A359" t="str">
        <f t="shared" si="34"/>
        <v>2015Mark9</v>
      </c>
      <c r="B359">
        <f t="shared" si="30"/>
        <v>1145</v>
      </c>
      <c r="C359">
        <f t="shared" si="31"/>
        <v>1512</v>
      </c>
      <c r="D359" t="s">
        <v>22</v>
      </c>
      <c r="E359" t="str">
        <f>D358</f>
        <v>Russell</v>
      </c>
      <c r="F359">
        <v>2015</v>
      </c>
      <c r="G359">
        <v>9</v>
      </c>
      <c r="H359">
        <v>1.2</v>
      </c>
      <c r="I359" s="14">
        <v>77</v>
      </c>
      <c r="J359">
        <f>I359-I358</f>
        <v>-4</v>
      </c>
      <c r="K359" t="str">
        <f t="shared" si="32"/>
        <v>L</v>
      </c>
      <c r="L359" t="str">
        <f t="shared" si="33"/>
        <v>Mark</v>
      </c>
      <c r="M359" t="str">
        <f>VLOOKUP(L359,References!$A$2:$B$16,2,FALSE)</f>
        <v>AKCOVA</v>
      </c>
      <c r="N359" s="19" t="str">
        <f>IF(M359=M358,"N","Y")</f>
        <v>Y</v>
      </c>
      <c r="O359">
        <f>SUM(I358:I359)</f>
        <v>158</v>
      </c>
      <c r="P359">
        <f t="shared" si="35"/>
        <v>81</v>
      </c>
    </row>
    <row r="360" spans="1:16" hidden="1" x14ac:dyDescent="0.3">
      <c r="A360" t="str">
        <f t="shared" si="34"/>
        <v>2015Brent9</v>
      </c>
      <c r="B360">
        <f t="shared" si="30"/>
        <v>548</v>
      </c>
      <c r="C360">
        <f t="shared" si="31"/>
        <v>992</v>
      </c>
      <c r="D360" t="s">
        <v>47</v>
      </c>
      <c r="E360" t="str">
        <f>D361</f>
        <v>Abby</v>
      </c>
      <c r="F360">
        <v>2015</v>
      </c>
      <c r="G360">
        <v>9</v>
      </c>
      <c r="H360">
        <v>2.1</v>
      </c>
      <c r="I360" s="14">
        <v>91</v>
      </c>
      <c r="J360">
        <f>I360-I361</f>
        <v>19</v>
      </c>
      <c r="K360" t="str">
        <f t="shared" si="32"/>
        <v>W</v>
      </c>
      <c r="L360" t="str">
        <f t="shared" si="33"/>
        <v>Brent</v>
      </c>
      <c r="M360" t="str">
        <f>VLOOKUP(L360,References!$A$2:$B$16,2,FALSE)</f>
        <v>TEXAROK</v>
      </c>
      <c r="N360" s="19" t="str">
        <f>IF(M360=M361,"N","Y")</f>
        <v>Y</v>
      </c>
      <c r="O360">
        <f>SUM(I360:I361)</f>
        <v>163</v>
      </c>
      <c r="P360">
        <f t="shared" si="35"/>
        <v>72</v>
      </c>
    </row>
    <row r="361" spans="1:16" hidden="1" x14ac:dyDescent="0.3">
      <c r="A361" t="str">
        <f t="shared" si="34"/>
        <v>2015Abby9</v>
      </c>
      <c r="B361">
        <f t="shared" si="30"/>
        <v>1523</v>
      </c>
      <c r="C361">
        <f t="shared" si="31"/>
        <v>1684</v>
      </c>
      <c r="D361" t="s">
        <v>27</v>
      </c>
      <c r="E361" t="str">
        <f>D360</f>
        <v>Brent</v>
      </c>
      <c r="F361">
        <v>2015</v>
      </c>
      <c r="G361">
        <v>9</v>
      </c>
      <c r="H361">
        <v>2.2000000000000002</v>
      </c>
      <c r="I361" s="14">
        <v>72</v>
      </c>
      <c r="J361">
        <f>I361-I360</f>
        <v>-19</v>
      </c>
      <c r="K361" t="str">
        <f t="shared" si="32"/>
        <v>L</v>
      </c>
      <c r="L361" t="str">
        <f t="shared" si="33"/>
        <v>Abby</v>
      </c>
      <c r="M361" t="str">
        <f>VLOOKUP(L361,References!$A$2:$B$16,2,FALSE)</f>
        <v>AKCOVA</v>
      </c>
      <c r="N361" s="19" t="str">
        <f>IF(M361=M360,"N","Y")</f>
        <v>Y</v>
      </c>
      <c r="O361">
        <f>SUM(I360:I361)</f>
        <v>163</v>
      </c>
      <c r="P361">
        <f t="shared" si="35"/>
        <v>91</v>
      </c>
    </row>
    <row r="362" spans="1:16" hidden="1" x14ac:dyDescent="0.3">
      <c r="A362" t="str">
        <f t="shared" si="34"/>
        <v>2015David9</v>
      </c>
      <c r="B362">
        <f t="shared" si="30"/>
        <v>685</v>
      </c>
      <c r="C362">
        <f t="shared" si="31"/>
        <v>462</v>
      </c>
      <c r="D362" t="s">
        <v>29</v>
      </c>
      <c r="E362" t="str">
        <f>D363</f>
        <v>BR</v>
      </c>
      <c r="F362">
        <v>2015</v>
      </c>
      <c r="G362">
        <v>9</v>
      </c>
      <c r="H362">
        <v>3.1</v>
      </c>
      <c r="I362" s="14">
        <v>108</v>
      </c>
      <c r="J362">
        <f>I362-I363</f>
        <v>13</v>
      </c>
      <c r="K362" t="str">
        <f t="shared" si="32"/>
        <v>W</v>
      </c>
      <c r="L362" t="str">
        <f t="shared" si="33"/>
        <v>David</v>
      </c>
      <c r="M362" t="str">
        <f>VLOOKUP(L362,References!$A$2:$B$16,2,FALSE)</f>
        <v>TEXAROK</v>
      </c>
      <c r="N362" s="19" t="str">
        <f>IF(M362=M363,"N","Y")</f>
        <v>Y</v>
      </c>
      <c r="O362">
        <f>SUM(I362:I363)</f>
        <v>203</v>
      </c>
      <c r="P362">
        <f t="shared" si="35"/>
        <v>95</v>
      </c>
    </row>
    <row r="363" spans="1:16" hidden="1" x14ac:dyDescent="0.3">
      <c r="A363" t="str">
        <f t="shared" si="34"/>
        <v>2015BR9</v>
      </c>
      <c r="B363">
        <f t="shared" si="30"/>
        <v>1381</v>
      </c>
      <c r="C363">
        <f t="shared" si="31"/>
        <v>857</v>
      </c>
      <c r="D363" t="s">
        <v>25</v>
      </c>
      <c r="E363" t="str">
        <f>D362</f>
        <v>David</v>
      </c>
      <c r="F363">
        <v>2015</v>
      </c>
      <c r="G363">
        <v>9</v>
      </c>
      <c r="H363">
        <v>3.2</v>
      </c>
      <c r="I363" s="14">
        <v>95</v>
      </c>
      <c r="J363">
        <f>I363-I362</f>
        <v>-13</v>
      </c>
      <c r="K363" t="str">
        <f t="shared" si="32"/>
        <v>L</v>
      </c>
      <c r="L363" t="str">
        <f t="shared" si="33"/>
        <v>BR</v>
      </c>
      <c r="M363" t="str">
        <f>VLOOKUP(L363,References!$A$2:$B$16,2,FALSE)</f>
        <v>AKCOVA</v>
      </c>
      <c r="N363" s="19" t="str">
        <f>IF(M363=M362,"N","Y")</f>
        <v>Y</v>
      </c>
      <c r="O363">
        <f>SUM(I362:I363)</f>
        <v>203</v>
      </c>
      <c r="P363">
        <f t="shared" si="35"/>
        <v>108</v>
      </c>
    </row>
    <row r="364" spans="1:16" hidden="1" x14ac:dyDescent="0.3">
      <c r="A364" t="str">
        <f t="shared" si="34"/>
        <v>2015Michael9</v>
      </c>
      <c r="B364">
        <f t="shared" si="30"/>
        <v>1944</v>
      </c>
      <c r="C364">
        <f t="shared" si="31"/>
        <v>1406</v>
      </c>
      <c r="D364" t="s">
        <v>23</v>
      </c>
      <c r="E364" t="str">
        <f>D365</f>
        <v>Charles</v>
      </c>
      <c r="F364">
        <v>2015</v>
      </c>
      <c r="G364">
        <v>9</v>
      </c>
      <c r="H364">
        <v>4.0999999999999996</v>
      </c>
      <c r="I364" s="14">
        <v>80</v>
      </c>
      <c r="J364">
        <f>I364-I365</f>
        <v>-45</v>
      </c>
      <c r="K364" t="str">
        <f t="shared" si="32"/>
        <v>L</v>
      </c>
      <c r="L364" t="str">
        <f t="shared" si="33"/>
        <v>Michael</v>
      </c>
      <c r="M364" t="str">
        <f>VLOOKUP(L364,References!$A$2:$B$16,2,FALSE)</f>
        <v>AKCOVA</v>
      </c>
      <c r="N364" s="19" t="str">
        <f>IF(M364=M365,"N","Y")</f>
        <v>N</v>
      </c>
      <c r="O364">
        <f>SUM(I364:I365)</f>
        <v>205</v>
      </c>
      <c r="P364">
        <f t="shared" si="35"/>
        <v>125</v>
      </c>
    </row>
    <row r="365" spans="1:16" hidden="1" x14ac:dyDescent="0.3">
      <c r="A365" t="str">
        <f t="shared" si="34"/>
        <v>2015Charles9</v>
      </c>
      <c r="B365">
        <f t="shared" si="30"/>
        <v>142</v>
      </c>
      <c r="C365">
        <f t="shared" si="31"/>
        <v>165</v>
      </c>
      <c r="D365" t="s">
        <v>48</v>
      </c>
      <c r="E365" t="str">
        <f>D364</f>
        <v>Michael</v>
      </c>
      <c r="F365">
        <v>2015</v>
      </c>
      <c r="G365">
        <v>9</v>
      </c>
      <c r="H365">
        <v>4.2</v>
      </c>
      <c r="I365" s="14">
        <v>125</v>
      </c>
      <c r="J365">
        <f>I365-I364</f>
        <v>45</v>
      </c>
      <c r="K365" t="str">
        <f t="shared" si="32"/>
        <v>W</v>
      </c>
      <c r="L365" t="str">
        <f t="shared" si="33"/>
        <v>Charles</v>
      </c>
      <c r="M365" t="str">
        <f>VLOOKUP(L365,References!$A$2:$B$16,2,FALSE)</f>
        <v>AKCOVA</v>
      </c>
      <c r="N365" s="19" t="str">
        <f>IF(M365=M364,"N","Y")</f>
        <v>N</v>
      </c>
      <c r="O365">
        <f>SUM(I364:I365)</f>
        <v>205</v>
      </c>
      <c r="P365">
        <f t="shared" si="35"/>
        <v>80</v>
      </c>
    </row>
    <row r="366" spans="1:16" hidden="1" x14ac:dyDescent="0.3">
      <c r="A366" t="str">
        <f t="shared" si="34"/>
        <v>2015Matt9</v>
      </c>
      <c r="B366">
        <f t="shared" si="30"/>
        <v>254</v>
      </c>
      <c r="C366">
        <f t="shared" si="31"/>
        <v>292</v>
      </c>
      <c r="D366" t="s">
        <v>30</v>
      </c>
      <c r="E366" t="str">
        <f>D367</f>
        <v>Brian</v>
      </c>
      <c r="F366">
        <v>2015</v>
      </c>
      <c r="G366">
        <v>9</v>
      </c>
      <c r="H366">
        <v>5.0999999999999996</v>
      </c>
      <c r="I366" s="14">
        <v>116</v>
      </c>
      <c r="J366">
        <f>I366-I367</f>
        <v>35</v>
      </c>
      <c r="K366" t="str">
        <f t="shared" si="32"/>
        <v>W</v>
      </c>
      <c r="L366" t="str">
        <f t="shared" si="33"/>
        <v>Matt</v>
      </c>
      <c r="M366" t="str">
        <f>VLOOKUP(L366,References!$A$2:$B$16,2,FALSE)</f>
        <v>TEXAROK</v>
      </c>
      <c r="N366" s="19" t="str">
        <f>IF(M366=M367,"N","Y")</f>
        <v>N</v>
      </c>
      <c r="O366">
        <f>SUM(I366:I367)</f>
        <v>197</v>
      </c>
      <c r="P366">
        <f t="shared" si="35"/>
        <v>81</v>
      </c>
    </row>
    <row r="367" spans="1:16" hidden="1" x14ac:dyDescent="0.3">
      <c r="A367" t="str">
        <f t="shared" si="34"/>
        <v>2015Brian9</v>
      </c>
      <c r="B367">
        <f t="shared" si="30"/>
        <v>1832</v>
      </c>
      <c r="C367">
        <f t="shared" si="31"/>
        <v>1365</v>
      </c>
      <c r="D367" t="s">
        <v>26</v>
      </c>
      <c r="E367" t="str">
        <f>D366</f>
        <v>Matt</v>
      </c>
      <c r="F367">
        <v>2015</v>
      </c>
      <c r="G367">
        <v>9</v>
      </c>
      <c r="H367">
        <v>5.2</v>
      </c>
      <c r="I367" s="14">
        <v>81</v>
      </c>
      <c r="J367">
        <f>I367-I366</f>
        <v>-35</v>
      </c>
      <c r="K367" t="str">
        <f t="shared" si="32"/>
        <v>L</v>
      </c>
      <c r="L367" t="str">
        <f t="shared" si="33"/>
        <v>Brian</v>
      </c>
      <c r="M367" t="str">
        <f>VLOOKUP(L367,References!$A$2:$B$16,2,FALSE)</f>
        <v>TEXAROK</v>
      </c>
      <c r="N367" s="19" t="str">
        <f>IF(M367=M366,"N","Y")</f>
        <v>N</v>
      </c>
      <c r="O367">
        <f>SUM(I366:I367)</f>
        <v>197</v>
      </c>
      <c r="P367">
        <f t="shared" si="35"/>
        <v>116</v>
      </c>
    </row>
    <row r="368" spans="1:16" hidden="1" x14ac:dyDescent="0.3">
      <c r="A368" t="str">
        <f t="shared" si="34"/>
        <v>2015Emily9</v>
      </c>
      <c r="B368">
        <f t="shared" si="30"/>
        <v>1258</v>
      </c>
      <c r="C368">
        <f t="shared" si="31"/>
        <v>1767</v>
      </c>
      <c r="D368" t="s">
        <v>43</v>
      </c>
      <c r="E368" t="str">
        <f>D369</f>
        <v>Watty</v>
      </c>
      <c r="F368">
        <v>2015</v>
      </c>
      <c r="G368">
        <v>9</v>
      </c>
      <c r="H368">
        <v>6.1</v>
      </c>
      <c r="I368" s="14">
        <v>69</v>
      </c>
      <c r="J368">
        <f>I368-I369</f>
        <v>-8</v>
      </c>
      <c r="K368" t="str">
        <f t="shared" si="32"/>
        <v>L</v>
      </c>
      <c r="L368" t="str">
        <f t="shared" si="33"/>
        <v>Emily</v>
      </c>
      <c r="M368" t="str">
        <f>VLOOKUP(L368,References!$A$2:$B$16,2,FALSE)</f>
        <v>TEXAROK</v>
      </c>
      <c r="N368" s="19" t="str">
        <f>IF(M368=M369,"N","Y")</f>
        <v>Y</v>
      </c>
      <c r="O368">
        <f>SUM(I368:I369)</f>
        <v>146</v>
      </c>
      <c r="P368">
        <f t="shared" si="35"/>
        <v>77</v>
      </c>
    </row>
    <row r="369" spans="1:16" hidden="1" x14ac:dyDescent="0.3">
      <c r="A369" t="str">
        <f t="shared" si="34"/>
        <v>2015Watty9</v>
      </c>
      <c r="B369">
        <f t="shared" si="30"/>
        <v>803</v>
      </c>
      <c r="C369">
        <f t="shared" si="31"/>
        <v>1512</v>
      </c>
      <c r="D369" t="s">
        <v>24</v>
      </c>
      <c r="E369" t="str">
        <f>D368</f>
        <v>Emily</v>
      </c>
      <c r="F369">
        <v>2015</v>
      </c>
      <c r="G369">
        <v>9</v>
      </c>
      <c r="H369">
        <v>6.2</v>
      </c>
      <c r="I369" s="14">
        <v>77</v>
      </c>
      <c r="J369">
        <f>I369-I368</f>
        <v>8</v>
      </c>
      <c r="K369" t="str">
        <f t="shared" si="32"/>
        <v>W</v>
      </c>
      <c r="L369" t="str">
        <f t="shared" si="33"/>
        <v>Watty</v>
      </c>
      <c r="M369" t="str">
        <f>VLOOKUP(L369,References!$A$2:$B$16,2,FALSE)</f>
        <v>AKCOVA</v>
      </c>
      <c r="N369" s="19" t="str">
        <f>IF(M369=M368,"N","Y")</f>
        <v>Y</v>
      </c>
      <c r="O369">
        <f>SUM(I368:I369)</f>
        <v>146</v>
      </c>
      <c r="P369">
        <f t="shared" si="35"/>
        <v>69</v>
      </c>
    </row>
    <row r="370" spans="1:16" hidden="1" x14ac:dyDescent="0.3">
      <c r="A370" t="str">
        <f t="shared" si="34"/>
        <v>2015Russell10</v>
      </c>
      <c r="B370">
        <f t="shared" si="30"/>
        <v>97</v>
      </c>
      <c r="C370">
        <f t="shared" si="31"/>
        <v>1717</v>
      </c>
      <c r="D370" t="s">
        <v>28</v>
      </c>
      <c r="E370" t="str">
        <f>D371</f>
        <v>Abby</v>
      </c>
      <c r="F370">
        <v>2015</v>
      </c>
      <c r="G370">
        <v>10</v>
      </c>
      <c r="H370">
        <v>1.1000000000000001</v>
      </c>
      <c r="I370" s="14">
        <v>71</v>
      </c>
      <c r="J370">
        <f>I370-I371</f>
        <v>52</v>
      </c>
      <c r="K370" t="str">
        <f t="shared" si="32"/>
        <v>W</v>
      </c>
      <c r="L370" t="str">
        <f t="shared" si="33"/>
        <v>Russell</v>
      </c>
      <c r="M370" t="str">
        <f>VLOOKUP(L370,References!$A$2:$B$16,2,FALSE)</f>
        <v>TEXAROK</v>
      </c>
      <c r="N370" s="19" t="str">
        <f>IF(M370=M371,"N","Y")</f>
        <v>Y</v>
      </c>
      <c r="O370">
        <f>SUM(I370:I371)</f>
        <v>90</v>
      </c>
      <c r="P370">
        <f t="shared" si="35"/>
        <v>19</v>
      </c>
    </row>
    <row r="371" spans="1:16" hidden="1" x14ac:dyDescent="0.3">
      <c r="A371" t="str">
        <f t="shared" si="34"/>
        <v>2015Abby10</v>
      </c>
      <c r="B371">
        <f t="shared" si="30"/>
        <v>1991</v>
      </c>
      <c r="C371">
        <f t="shared" si="31"/>
        <v>2092</v>
      </c>
      <c r="D371" t="s">
        <v>27</v>
      </c>
      <c r="E371" t="str">
        <f>D370</f>
        <v>Russell</v>
      </c>
      <c r="F371">
        <v>2015</v>
      </c>
      <c r="G371">
        <v>10</v>
      </c>
      <c r="H371">
        <v>1.2</v>
      </c>
      <c r="I371" s="14">
        <v>19</v>
      </c>
      <c r="J371">
        <f>I371-I370</f>
        <v>-52</v>
      </c>
      <c r="K371" t="str">
        <f t="shared" si="32"/>
        <v>L</v>
      </c>
      <c r="L371" t="str">
        <f t="shared" si="33"/>
        <v>Abby</v>
      </c>
      <c r="M371" t="str">
        <f>VLOOKUP(L371,References!$A$2:$B$16,2,FALSE)</f>
        <v>AKCOVA</v>
      </c>
      <c r="N371" s="19" t="str">
        <f>IF(M371=M370,"N","Y")</f>
        <v>Y</v>
      </c>
      <c r="O371">
        <f>SUM(I370:I371)</f>
        <v>90</v>
      </c>
      <c r="P371">
        <f t="shared" si="35"/>
        <v>71</v>
      </c>
    </row>
    <row r="372" spans="1:16" hidden="1" x14ac:dyDescent="0.3">
      <c r="A372" t="str">
        <f t="shared" si="34"/>
        <v>2015Mark10</v>
      </c>
      <c r="B372">
        <f t="shared" si="30"/>
        <v>1625</v>
      </c>
      <c r="C372">
        <f t="shared" si="31"/>
        <v>1793</v>
      </c>
      <c r="D372" t="s">
        <v>22</v>
      </c>
      <c r="E372" t="str">
        <f>D373</f>
        <v>David</v>
      </c>
      <c r="F372">
        <v>2015</v>
      </c>
      <c r="G372">
        <v>10</v>
      </c>
      <c r="H372">
        <v>2.1</v>
      </c>
      <c r="I372" s="14">
        <v>68</v>
      </c>
      <c r="J372">
        <f>I372-I373</f>
        <v>-23</v>
      </c>
      <c r="K372" t="str">
        <f t="shared" si="32"/>
        <v>L</v>
      </c>
      <c r="L372" t="str">
        <f t="shared" si="33"/>
        <v>Mark</v>
      </c>
      <c r="M372" t="str">
        <f>VLOOKUP(L372,References!$A$2:$B$16,2,FALSE)</f>
        <v>AKCOVA</v>
      </c>
      <c r="N372" s="19" t="str">
        <f>IF(M372=M373,"N","Y")</f>
        <v>Y</v>
      </c>
      <c r="O372">
        <f>SUM(I372:I373)</f>
        <v>159</v>
      </c>
      <c r="P372">
        <f t="shared" si="35"/>
        <v>91</v>
      </c>
    </row>
    <row r="373" spans="1:16" hidden="1" x14ac:dyDescent="0.3">
      <c r="A373" t="str">
        <f t="shared" si="34"/>
        <v>2015David10</v>
      </c>
      <c r="B373">
        <f t="shared" si="30"/>
        <v>450</v>
      </c>
      <c r="C373">
        <f t="shared" si="31"/>
        <v>992</v>
      </c>
      <c r="D373" t="s">
        <v>29</v>
      </c>
      <c r="E373" t="str">
        <f>D372</f>
        <v>Mark</v>
      </c>
      <c r="F373">
        <v>2015</v>
      </c>
      <c r="G373">
        <v>10</v>
      </c>
      <c r="H373">
        <v>2.2000000000000002</v>
      </c>
      <c r="I373" s="14">
        <v>91</v>
      </c>
      <c r="J373">
        <f>I373-I372</f>
        <v>23</v>
      </c>
      <c r="K373" t="str">
        <f t="shared" si="32"/>
        <v>W</v>
      </c>
      <c r="L373" t="str">
        <f t="shared" si="33"/>
        <v>David</v>
      </c>
      <c r="M373" t="str">
        <f>VLOOKUP(L373,References!$A$2:$B$16,2,FALSE)</f>
        <v>TEXAROK</v>
      </c>
      <c r="N373" s="19" t="str">
        <f>IF(M373=M372,"N","Y")</f>
        <v>Y</v>
      </c>
      <c r="O373">
        <f>SUM(I372:I373)</f>
        <v>159</v>
      </c>
      <c r="P373">
        <f t="shared" si="35"/>
        <v>68</v>
      </c>
    </row>
    <row r="374" spans="1:16" hidden="1" x14ac:dyDescent="0.3">
      <c r="A374" t="str">
        <f t="shared" si="34"/>
        <v>2015BR10</v>
      </c>
      <c r="B374">
        <f t="shared" si="30"/>
        <v>1409</v>
      </c>
      <c r="C374">
        <f t="shared" si="31"/>
        <v>1618</v>
      </c>
      <c r="D374" t="s">
        <v>25</v>
      </c>
      <c r="E374" t="str">
        <f>D375</f>
        <v>Michael</v>
      </c>
      <c r="F374">
        <v>2015</v>
      </c>
      <c r="G374">
        <v>10</v>
      </c>
      <c r="H374">
        <v>3.1</v>
      </c>
      <c r="I374" s="14">
        <v>74</v>
      </c>
      <c r="J374">
        <f>I374-I375</f>
        <v>-14</v>
      </c>
      <c r="K374" t="str">
        <f t="shared" si="32"/>
        <v>L</v>
      </c>
      <c r="L374" t="str">
        <f t="shared" si="33"/>
        <v>BR</v>
      </c>
      <c r="M374" t="str">
        <f>VLOOKUP(L374,References!$A$2:$B$16,2,FALSE)</f>
        <v>AKCOVA</v>
      </c>
      <c r="N374" s="19" t="str">
        <f>IF(M374=M375,"N","Y")</f>
        <v>N</v>
      </c>
      <c r="O374">
        <f>SUM(I374:I375)</f>
        <v>162</v>
      </c>
      <c r="P374">
        <f t="shared" si="35"/>
        <v>88</v>
      </c>
    </row>
    <row r="375" spans="1:16" hidden="1" x14ac:dyDescent="0.3">
      <c r="A375" t="str">
        <f t="shared" si="34"/>
        <v>2015Michael10</v>
      </c>
      <c r="B375">
        <f t="shared" si="30"/>
        <v>660</v>
      </c>
      <c r="C375">
        <f t="shared" si="31"/>
        <v>1100</v>
      </c>
      <c r="D375" t="s">
        <v>23</v>
      </c>
      <c r="E375" t="str">
        <f>D374</f>
        <v>BR</v>
      </c>
      <c r="F375">
        <v>2015</v>
      </c>
      <c r="G375">
        <v>10</v>
      </c>
      <c r="H375">
        <v>3.2</v>
      </c>
      <c r="I375" s="14">
        <v>88</v>
      </c>
      <c r="J375">
        <f>I375-I374</f>
        <v>14</v>
      </c>
      <c r="K375" t="str">
        <f t="shared" si="32"/>
        <v>W</v>
      </c>
      <c r="L375" t="str">
        <f t="shared" si="33"/>
        <v>Michael</v>
      </c>
      <c r="M375" t="str">
        <f>VLOOKUP(L375,References!$A$2:$B$16,2,FALSE)</f>
        <v>AKCOVA</v>
      </c>
      <c r="N375" s="19" t="str">
        <f>IF(M375=M374,"N","Y")</f>
        <v>N</v>
      </c>
      <c r="O375">
        <f>SUM(I374:I375)</f>
        <v>162</v>
      </c>
      <c r="P375">
        <f t="shared" si="35"/>
        <v>74</v>
      </c>
    </row>
    <row r="376" spans="1:16" hidden="1" x14ac:dyDescent="0.3">
      <c r="A376" t="str">
        <f t="shared" si="34"/>
        <v>2015Charles10</v>
      </c>
      <c r="B376">
        <f t="shared" si="30"/>
        <v>1055</v>
      </c>
      <c r="C376">
        <f t="shared" si="31"/>
        <v>992</v>
      </c>
      <c r="D376" t="s">
        <v>48</v>
      </c>
      <c r="E376" t="str">
        <f>D377</f>
        <v>Matt</v>
      </c>
      <c r="F376">
        <v>2015</v>
      </c>
      <c r="G376">
        <v>10</v>
      </c>
      <c r="H376">
        <v>4.0999999999999996</v>
      </c>
      <c r="I376" s="14">
        <v>91</v>
      </c>
      <c r="J376">
        <f>I376-I377</f>
        <v>-1</v>
      </c>
      <c r="K376" t="str">
        <f t="shared" si="32"/>
        <v>L</v>
      </c>
      <c r="L376" t="str">
        <f t="shared" si="33"/>
        <v>Charles</v>
      </c>
      <c r="M376" t="str">
        <f>VLOOKUP(L376,References!$A$2:$B$16,2,FALSE)</f>
        <v>AKCOVA</v>
      </c>
      <c r="N376" s="19" t="str">
        <f>IF(M376=M377,"N","Y")</f>
        <v>Y</v>
      </c>
      <c r="O376">
        <f>SUM(I376:I377)</f>
        <v>183</v>
      </c>
      <c r="P376">
        <f t="shared" si="35"/>
        <v>92</v>
      </c>
    </row>
    <row r="377" spans="1:16" hidden="1" x14ac:dyDescent="0.3">
      <c r="A377" t="str">
        <f t="shared" si="34"/>
        <v>2015Matt10</v>
      </c>
      <c r="B377">
        <f t="shared" si="30"/>
        <v>1004</v>
      </c>
      <c r="C377">
        <f t="shared" si="31"/>
        <v>958</v>
      </c>
      <c r="D377" t="s">
        <v>30</v>
      </c>
      <c r="E377" t="str">
        <f>D376</f>
        <v>Charles</v>
      </c>
      <c r="F377">
        <v>2015</v>
      </c>
      <c r="G377">
        <v>10</v>
      </c>
      <c r="H377">
        <v>4.2</v>
      </c>
      <c r="I377" s="14">
        <v>92</v>
      </c>
      <c r="J377">
        <f>I377-I376</f>
        <v>1</v>
      </c>
      <c r="K377" t="str">
        <f t="shared" si="32"/>
        <v>W</v>
      </c>
      <c r="L377" t="str">
        <f t="shared" si="33"/>
        <v>Matt</v>
      </c>
      <c r="M377" t="str">
        <f>VLOOKUP(L377,References!$A$2:$B$16,2,FALSE)</f>
        <v>TEXAROK</v>
      </c>
      <c r="N377" s="19" t="str">
        <f>IF(M377=M376,"N","Y")</f>
        <v>Y</v>
      </c>
      <c r="O377">
        <f>SUM(I376:I377)</f>
        <v>183</v>
      </c>
      <c r="P377">
        <f t="shared" si="35"/>
        <v>91</v>
      </c>
    </row>
    <row r="378" spans="1:16" hidden="1" x14ac:dyDescent="0.3">
      <c r="A378" t="str">
        <f t="shared" si="34"/>
        <v>2015Brian10</v>
      </c>
      <c r="B378">
        <f t="shared" si="30"/>
        <v>803</v>
      </c>
      <c r="C378">
        <f t="shared" si="31"/>
        <v>857</v>
      </c>
      <c r="D378" t="s">
        <v>26</v>
      </c>
      <c r="E378" t="str">
        <f>D379</f>
        <v>Emily</v>
      </c>
      <c r="F378">
        <v>2015</v>
      </c>
      <c r="G378">
        <v>10</v>
      </c>
      <c r="H378">
        <v>5.0999999999999996</v>
      </c>
      <c r="I378" s="14">
        <v>95</v>
      </c>
      <c r="J378">
        <f>I378-I379</f>
        <v>8</v>
      </c>
      <c r="K378" t="str">
        <f t="shared" si="32"/>
        <v>W</v>
      </c>
      <c r="L378" t="str">
        <f t="shared" si="33"/>
        <v>Brian</v>
      </c>
      <c r="M378" t="str">
        <f>VLOOKUP(L378,References!$A$2:$B$16,2,FALSE)</f>
        <v>TEXAROK</v>
      </c>
      <c r="N378" s="19" t="str">
        <f>IF(M378=M379,"N","Y")</f>
        <v>N</v>
      </c>
      <c r="O378">
        <f>SUM(I378:I379)</f>
        <v>182</v>
      </c>
      <c r="P378">
        <f t="shared" si="35"/>
        <v>87</v>
      </c>
    </row>
    <row r="379" spans="1:16" hidden="1" x14ac:dyDescent="0.3">
      <c r="A379" t="str">
        <f t="shared" si="34"/>
        <v>2015Emily10</v>
      </c>
      <c r="B379">
        <f t="shared" si="30"/>
        <v>1258</v>
      </c>
      <c r="C379">
        <f t="shared" si="31"/>
        <v>1143</v>
      </c>
      <c r="D379" t="s">
        <v>43</v>
      </c>
      <c r="E379" t="str">
        <f>D378</f>
        <v>Brian</v>
      </c>
      <c r="F379">
        <v>2015</v>
      </c>
      <c r="G379">
        <v>10</v>
      </c>
      <c r="H379">
        <v>5.2</v>
      </c>
      <c r="I379" s="14">
        <v>87</v>
      </c>
      <c r="J379">
        <f>I379-I378</f>
        <v>-8</v>
      </c>
      <c r="K379" t="str">
        <f t="shared" si="32"/>
        <v>L</v>
      </c>
      <c r="L379" t="str">
        <f t="shared" si="33"/>
        <v>Emily</v>
      </c>
      <c r="M379" t="str">
        <f>VLOOKUP(L379,References!$A$2:$B$16,2,FALSE)</f>
        <v>TEXAROK</v>
      </c>
      <c r="N379" s="19" t="str">
        <f>IF(M379=M378,"N","Y")</f>
        <v>N</v>
      </c>
      <c r="O379">
        <f>SUM(I378:I379)</f>
        <v>182</v>
      </c>
      <c r="P379">
        <f t="shared" si="35"/>
        <v>95</v>
      </c>
    </row>
    <row r="380" spans="1:16" hidden="1" x14ac:dyDescent="0.3">
      <c r="A380" t="str">
        <f t="shared" si="34"/>
        <v>2015Watty10</v>
      </c>
      <c r="B380">
        <f t="shared" si="30"/>
        <v>897</v>
      </c>
      <c r="C380">
        <f t="shared" si="31"/>
        <v>1618</v>
      </c>
      <c r="D380" t="s">
        <v>24</v>
      </c>
      <c r="E380" t="str">
        <f>D381</f>
        <v>Brent</v>
      </c>
      <c r="F380">
        <v>2015</v>
      </c>
      <c r="G380">
        <v>10</v>
      </c>
      <c r="H380">
        <v>6.1</v>
      </c>
      <c r="I380" s="14">
        <v>74</v>
      </c>
      <c r="J380">
        <f>I380-I381</f>
        <v>5</v>
      </c>
      <c r="K380" t="str">
        <f t="shared" si="32"/>
        <v>W</v>
      </c>
      <c r="L380" t="str">
        <f t="shared" si="33"/>
        <v>Watty</v>
      </c>
      <c r="M380" t="str">
        <f>VLOOKUP(L380,References!$A$2:$B$16,2,FALSE)</f>
        <v>AKCOVA</v>
      </c>
      <c r="N380" s="19" t="str">
        <f>IF(M380=M381,"N","Y")</f>
        <v>Y</v>
      </c>
      <c r="O380">
        <f>SUM(I380:I381)</f>
        <v>143</v>
      </c>
      <c r="P380">
        <f t="shared" si="35"/>
        <v>69</v>
      </c>
    </row>
    <row r="381" spans="1:16" hidden="1" x14ac:dyDescent="0.3">
      <c r="A381" t="str">
        <f t="shared" si="34"/>
        <v>2015Brent10</v>
      </c>
      <c r="B381">
        <f t="shared" si="30"/>
        <v>1177</v>
      </c>
      <c r="C381">
        <f t="shared" si="31"/>
        <v>1767</v>
      </c>
      <c r="D381" t="s">
        <v>47</v>
      </c>
      <c r="E381" t="str">
        <f>D380</f>
        <v>Watty</v>
      </c>
      <c r="F381">
        <v>2015</v>
      </c>
      <c r="G381">
        <v>10</v>
      </c>
      <c r="H381">
        <v>6.2</v>
      </c>
      <c r="I381" s="14">
        <v>69</v>
      </c>
      <c r="J381">
        <f>I381-I380</f>
        <v>-5</v>
      </c>
      <c r="K381" t="str">
        <f t="shared" si="32"/>
        <v>L</v>
      </c>
      <c r="L381" t="str">
        <f t="shared" si="33"/>
        <v>Brent</v>
      </c>
      <c r="M381" t="str">
        <f>VLOOKUP(L381,References!$A$2:$B$16,2,FALSE)</f>
        <v>TEXAROK</v>
      </c>
      <c r="N381" s="19" t="str">
        <f>IF(M381=M380,"N","Y")</f>
        <v>Y</v>
      </c>
      <c r="O381">
        <f>SUM(I380:I381)</f>
        <v>143</v>
      </c>
      <c r="P381">
        <f t="shared" si="35"/>
        <v>74</v>
      </c>
    </row>
    <row r="382" spans="1:16" hidden="1" x14ac:dyDescent="0.3">
      <c r="A382" t="str">
        <f t="shared" si="34"/>
        <v>2015Russell11</v>
      </c>
      <c r="B382">
        <f t="shared" si="30"/>
        <v>977</v>
      </c>
      <c r="C382">
        <f t="shared" si="31"/>
        <v>1241</v>
      </c>
      <c r="D382" t="s">
        <v>28</v>
      </c>
      <c r="E382" t="str">
        <f>D383</f>
        <v>Watty</v>
      </c>
      <c r="F382">
        <v>2015</v>
      </c>
      <c r="G382">
        <v>11</v>
      </c>
      <c r="H382">
        <v>1.1000000000000001</v>
      </c>
      <c r="I382" s="14">
        <v>84</v>
      </c>
      <c r="J382">
        <f>I382-I383</f>
        <v>2</v>
      </c>
      <c r="K382" t="str">
        <f t="shared" si="32"/>
        <v>W</v>
      </c>
      <c r="L382" t="str">
        <f t="shared" si="33"/>
        <v>Russell</v>
      </c>
      <c r="M382" t="str">
        <f>VLOOKUP(L382,References!$A$2:$B$16,2,FALSE)</f>
        <v>TEXAROK</v>
      </c>
      <c r="N382" s="19" t="str">
        <f>IF(M382=M383,"N","Y")</f>
        <v>Y</v>
      </c>
      <c r="O382">
        <f>SUM(I382:I383)</f>
        <v>166</v>
      </c>
      <c r="P382">
        <f t="shared" si="35"/>
        <v>82</v>
      </c>
    </row>
    <row r="383" spans="1:16" hidden="1" x14ac:dyDescent="0.3">
      <c r="A383" t="str">
        <f t="shared" si="34"/>
        <v>2015Watty11</v>
      </c>
      <c r="B383">
        <f t="shared" si="30"/>
        <v>1090</v>
      </c>
      <c r="C383">
        <f t="shared" si="31"/>
        <v>1318</v>
      </c>
      <c r="D383" t="s">
        <v>24</v>
      </c>
      <c r="E383" t="str">
        <f>D382</f>
        <v>Russell</v>
      </c>
      <c r="F383">
        <v>2015</v>
      </c>
      <c r="G383">
        <v>11</v>
      </c>
      <c r="H383">
        <v>1.2</v>
      </c>
      <c r="I383" s="14">
        <v>82</v>
      </c>
      <c r="J383">
        <f>I383-I382</f>
        <v>-2</v>
      </c>
      <c r="K383" t="str">
        <f t="shared" si="32"/>
        <v>L</v>
      </c>
      <c r="L383" t="str">
        <f t="shared" si="33"/>
        <v>Watty</v>
      </c>
      <c r="M383" t="str">
        <f>VLOOKUP(L383,References!$A$2:$B$16,2,FALSE)</f>
        <v>AKCOVA</v>
      </c>
      <c r="N383" s="19" t="str">
        <f>IF(M383=M382,"N","Y")</f>
        <v>Y</v>
      </c>
      <c r="O383">
        <f>SUM(I382:I383)</f>
        <v>166</v>
      </c>
      <c r="P383">
        <f t="shared" si="35"/>
        <v>84</v>
      </c>
    </row>
    <row r="384" spans="1:16" hidden="1" x14ac:dyDescent="0.3">
      <c r="A384" t="str">
        <f t="shared" si="34"/>
        <v>2015David11</v>
      </c>
      <c r="B384">
        <f t="shared" si="30"/>
        <v>1644</v>
      </c>
      <c r="C384">
        <f t="shared" si="31"/>
        <v>1951</v>
      </c>
      <c r="D384" t="s">
        <v>29</v>
      </c>
      <c r="E384" t="str">
        <f>D385</f>
        <v>Abby</v>
      </c>
      <c r="F384">
        <v>2015</v>
      </c>
      <c r="G384">
        <v>11</v>
      </c>
      <c r="H384">
        <v>2.1</v>
      </c>
      <c r="I384" s="14">
        <v>59</v>
      </c>
      <c r="J384">
        <f>I384-I385</f>
        <v>-24</v>
      </c>
      <c r="K384" t="str">
        <f t="shared" si="32"/>
        <v>L</v>
      </c>
      <c r="L384" t="str">
        <f t="shared" si="33"/>
        <v>David</v>
      </c>
      <c r="M384" t="str">
        <f>VLOOKUP(L384,References!$A$2:$B$16,2,FALSE)</f>
        <v>TEXAROK</v>
      </c>
      <c r="N384" s="19" t="str">
        <f>IF(M384=M385,"N","Y")</f>
        <v>Y</v>
      </c>
      <c r="O384">
        <f>SUM(I384:I385)</f>
        <v>142</v>
      </c>
      <c r="P384">
        <f t="shared" si="35"/>
        <v>83</v>
      </c>
    </row>
    <row r="385" spans="1:16" hidden="1" x14ac:dyDescent="0.3">
      <c r="A385" t="str">
        <f t="shared" si="34"/>
        <v>2015Abby11</v>
      </c>
      <c r="B385">
        <f t="shared" si="30"/>
        <v>433</v>
      </c>
      <c r="C385">
        <f t="shared" si="31"/>
        <v>1282</v>
      </c>
      <c r="D385" t="s">
        <v>27</v>
      </c>
      <c r="E385" t="str">
        <f>D384</f>
        <v>David</v>
      </c>
      <c r="F385">
        <v>2015</v>
      </c>
      <c r="G385">
        <v>11</v>
      </c>
      <c r="H385">
        <v>2.2000000000000002</v>
      </c>
      <c r="I385" s="14">
        <v>83</v>
      </c>
      <c r="J385">
        <f>I385-I384</f>
        <v>24</v>
      </c>
      <c r="K385" t="str">
        <f t="shared" si="32"/>
        <v>W</v>
      </c>
      <c r="L385" t="str">
        <f t="shared" si="33"/>
        <v>Abby</v>
      </c>
      <c r="M385" t="str">
        <f>VLOOKUP(L385,References!$A$2:$B$16,2,FALSE)</f>
        <v>AKCOVA</v>
      </c>
      <c r="N385" s="19" t="str">
        <f>IF(M385=M384,"N","Y")</f>
        <v>Y</v>
      </c>
      <c r="O385">
        <f>SUM(I384:I385)</f>
        <v>142</v>
      </c>
      <c r="P385">
        <f t="shared" si="35"/>
        <v>59</v>
      </c>
    </row>
    <row r="386" spans="1:16" hidden="1" x14ac:dyDescent="0.3">
      <c r="A386" t="str">
        <f t="shared" si="34"/>
        <v>2015Michael11</v>
      </c>
      <c r="B386">
        <f t="shared" ref="B386:B449" si="36">RANK(J386,diff)</f>
        <v>917</v>
      </c>
      <c r="C386">
        <f t="shared" ref="C386:C449" si="37">RANK(I386,points)</f>
        <v>1241</v>
      </c>
      <c r="D386" t="s">
        <v>23</v>
      </c>
      <c r="E386" t="str">
        <f>D387</f>
        <v>Mark</v>
      </c>
      <c r="F386">
        <v>2015</v>
      </c>
      <c r="G386">
        <v>11</v>
      </c>
      <c r="H386">
        <v>3.1</v>
      </c>
      <c r="I386" s="14">
        <v>84</v>
      </c>
      <c r="J386">
        <f>I386-I387</f>
        <v>4</v>
      </c>
      <c r="K386" t="str">
        <f t="shared" ref="K386:K449" si="38">IF(J386&gt;0,"W",IF(J386&lt;0,"L","T"))</f>
        <v>W</v>
      </c>
      <c r="L386" t="str">
        <f t="shared" ref="L386:L449" si="39">D386</f>
        <v>Michael</v>
      </c>
      <c r="M386" t="str">
        <f>VLOOKUP(L386,References!$A$2:$B$16,2,FALSE)</f>
        <v>AKCOVA</v>
      </c>
      <c r="N386" s="19" t="str">
        <f>IF(M386=M387,"N","Y")</f>
        <v>N</v>
      </c>
      <c r="O386">
        <f>SUM(I386:I387)</f>
        <v>164</v>
      </c>
      <c r="P386">
        <f t="shared" si="35"/>
        <v>80</v>
      </c>
    </row>
    <row r="387" spans="1:16" hidden="1" x14ac:dyDescent="0.3">
      <c r="A387" t="str">
        <f t="shared" ref="A387:A450" si="40">F387&amp;D387&amp;G387</f>
        <v>2015Mark11</v>
      </c>
      <c r="B387">
        <f t="shared" si="36"/>
        <v>1145</v>
      </c>
      <c r="C387">
        <f t="shared" si="37"/>
        <v>1406</v>
      </c>
      <c r="D387" t="s">
        <v>22</v>
      </c>
      <c r="E387" t="str">
        <f>D386</f>
        <v>Michael</v>
      </c>
      <c r="F387">
        <v>2015</v>
      </c>
      <c r="G387">
        <v>11</v>
      </c>
      <c r="H387">
        <v>3.2</v>
      </c>
      <c r="I387" s="14">
        <v>80</v>
      </c>
      <c r="J387">
        <f>I387-I386</f>
        <v>-4</v>
      </c>
      <c r="K387" t="str">
        <f t="shared" si="38"/>
        <v>L</v>
      </c>
      <c r="L387" t="str">
        <f t="shared" si="39"/>
        <v>Mark</v>
      </c>
      <c r="M387" t="str">
        <f>VLOOKUP(L387,References!$A$2:$B$16,2,FALSE)</f>
        <v>AKCOVA</v>
      </c>
      <c r="N387" s="19" t="str">
        <f>IF(M387=M386,"N","Y")</f>
        <v>N</v>
      </c>
      <c r="O387">
        <f>SUM(I386:I387)</f>
        <v>164</v>
      </c>
      <c r="P387">
        <f t="shared" ref="P387:P450" si="41">I387-J387</f>
        <v>84</v>
      </c>
    </row>
    <row r="388" spans="1:16" hidden="1" x14ac:dyDescent="0.3">
      <c r="A388" t="str">
        <f t="shared" si="40"/>
        <v>2015Matt11</v>
      </c>
      <c r="B388">
        <f t="shared" si="36"/>
        <v>15</v>
      </c>
      <c r="C388">
        <f t="shared" si="37"/>
        <v>603</v>
      </c>
      <c r="D388" t="s">
        <v>30</v>
      </c>
      <c r="E388" t="str">
        <f>D389</f>
        <v>BR</v>
      </c>
      <c r="F388">
        <v>2015</v>
      </c>
      <c r="G388">
        <v>11</v>
      </c>
      <c r="H388">
        <v>4.0999999999999996</v>
      </c>
      <c r="I388" s="14">
        <v>103</v>
      </c>
      <c r="J388">
        <f>I388-I389</f>
        <v>75</v>
      </c>
      <c r="K388" t="str">
        <f t="shared" si="38"/>
        <v>W</v>
      </c>
      <c r="L388" t="str">
        <f t="shared" si="39"/>
        <v>Matt</v>
      </c>
      <c r="M388" t="str">
        <f>VLOOKUP(L388,References!$A$2:$B$16,2,FALSE)</f>
        <v>TEXAROK</v>
      </c>
      <c r="N388" s="19" t="str">
        <f>IF(M388=M389,"N","Y")</f>
        <v>Y</v>
      </c>
      <c r="O388">
        <f>SUM(I388:I389)</f>
        <v>131</v>
      </c>
      <c r="P388">
        <f t="shared" si="41"/>
        <v>28</v>
      </c>
    </row>
    <row r="389" spans="1:16" hidden="1" x14ac:dyDescent="0.3">
      <c r="A389" t="str">
        <f t="shared" si="40"/>
        <v>2015BR11</v>
      </c>
      <c r="B389">
        <f t="shared" si="36"/>
        <v>2078</v>
      </c>
      <c r="C389">
        <f t="shared" si="37"/>
        <v>2091</v>
      </c>
      <c r="D389" t="s">
        <v>25</v>
      </c>
      <c r="E389" t="str">
        <f>D388</f>
        <v>Matt</v>
      </c>
      <c r="F389">
        <v>2015</v>
      </c>
      <c r="G389">
        <v>11</v>
      </c>
      <c r="H389">
        <v>4.2</v>
      </c>
      <c r="I389" s="14">
        <v>28</v>
      </c>
      <c r="J389">
        <f>I389-I388</f>
        <v>-75</v>
      </c>
      <c r="K389" t="str">
        <f t="shared" si="38"/>
        <v>L</v>
      </c>
      <c r="L389" t="str">
        <f t="shared" si="39"/>
        <v>BR</v>
      </c>
      <c r="M389" t="str">
        <f>VLOOKUP(L389,References!$A$2:$B$16,2,FALSE)</f>
        <v>AKCOVA</v>
      </c>
      <c r="N389" s="19" t="str">
        <f>IF(M389=M388,"N","Y")</f>
        <v>Y</v>
      </c>
      <c r="O389">
        <f>SUM(I388:I389)</f>
        <v>131</v>
      </c>
      <c r="P389">
        <f t="shared" si="41"/>
        <v>103</v>
      </c>
    </row>
    <row r="390" spans="1:16" hidden="1" x14ac:dyDescent="0.3">
      <c r="A390" t="str">
        <f t="shared" si="40"/>
        <v>2015Emily11</v>
      </c>
      <c r="B390">
        <f t="shared" si="36"/>
        <v>737</v>
      </c>
      <c r="C390">
        <f t="shared" si="37"/>
        <v>1988</v>
      </c>
      <c r="D390" t="s">
        <v>43</v>
      </c>
      <c r="E390" t="str">
        <f>D391</f>
        <v>Charles</v>
      </c>
      <c r="F390">
        <v>2015</v>
      </c>
      <c r="G390">
        <v>11</v>
      </c>
      <c r="H390">
        <v>5.0999999999999996</v>
      </c>
      <c r="I390" s="14">
        <v>57</v>
      </c>
      <c r="J390">
        <f>I390-I391</f>
        <v>11</v>
      </c>
      <c r="K390" t="str">
        <f t="shared" si="38"/>
        <v>W</v>
      </c>
      <c r="L390" t="str">
        <f t="shared" si="39"/>
        <v>Emily</v>
      </c>
      <c r="M390" t="str">
        <f>VLOOKUP(L390,References!$A$2:$B$16,2,FALSE)</f>
        <v>TEXAROK</v>
      </c>
      <c r="N390" s="19" t="str">
        <f>IF(M390=M391,"N","Y")</f>
        <v>Y</v>
      </c>
      <c r="O390">
        <f>SUM(I390:I391)</f>
        <v>103</v>
      </c>
      <c r="P390">
        <f t="shared" si="41"/>
        <v>46</v>
      </c>
    </row>
    <row r="391" spans="1:16" hidden="1" x14ac:dyDescent="0.3">
      <c r="A391" t="str">
        <f t="shared" si="40"/>
        <v>2015Charles11</v>
      </c>
      <c r="B391">
        <f t="shared" si="36"/>
        <v>1336</v>
      </c>
      <c r="C391">
        <f t="shared" si="37"/>
        <v>2068</v>
      </c>
      <c r="D391" t="s">
        <v>48</v>
      </c>
      <c r="E391" t="str">
        <f>D390</f>
        <v>Emily</v>
      </c>
      <c r="F391">
        <v>2015</v>
      </c>
      <c r="G391">
        <v>11</v>
      </c>
      <c r="H391">
        <v>5.2</v>
      </c>
      <c r="I391" s="14">
        <v>46</v>
      </c>
      <c r="J391">
        <f>I391-I390</f>
        <v>-11</v>
      </c>
      <c r="K391" t="str">
        <f t="shared" si="38"/>
        <v>L</v>
      </c>
      <c r="L391" t="str">
        <f t="shared" si="39"/>
        <v>Charles</v>
      </c>
      <c r="M391" t="str">
        <f>VLOOKUP(L391,References!$A$2:$B$16,2,FALSE)</f>
        <v>AKCOVA</v>
      </c>
      <c r="N391" s="19" t="str">
        <f>IF(M391=M390,"N","Y")</f>
        <v>Y</v>
      </c>
      <c r="O391">
        <f>SUM(I390:I391)</f>
        <v>103</v>
      </c>
      <c r="P391">
        <f t="shared" si="41"/>
        <v>57</v>
      </c>
    </row>
    <row r="392" spans="1:16" hidden="1" x14ac:dyDescent="0.3">
      <c r="A392" t="str">
        <f t="shared" si="40"/>
        <v>2015Brent11</v>
      </c>
      <c r="B392">
        <f t="shared" si="36"/>
        <v>713</v>
      </c>
      <c r="C392">
        <f t="shared" si="37"/>
        <v>1143</v>
      </c>
      <c r="D392" t="s">
        <v>47</v>
      </c>
      <c r="E392" t="str">
        <f>D393</f>
        <v>Brian</v>
      </c>
      <c r="F392">
        <v>2015</v>
      </c>
      <c r="G392">
        <v>11</v>
      </c>
      <c r="H392">
        <v>6.1</v>
      </c>
      <c r="I392" s="14">
        <v>87</v>
      </c>
      <c r="J392">
        <f>I392-I393</f>
        <v>12</v>
      </c>
      <c r="K392" t="str">
        <f t="shared" si="38"/>
        <v>W</v>
      </c>
      <c r="L392" t="str">
        <f t="shared" si="39"/>
        <v>Brent</v>
      </c>
      <c r="M392" t="str">
        <f>VLOOKUP(L392,References!$A$2:$B$16,2,FALSE)</f>
        <v>TEXAROK</v>
      </c>
      <c r="N392" s="19" t="str">
        <f>IF(M392=M393,"N","Y")</f>
        <v>N</v>
      </c>
      <c r="O392">
        <f>SUM(I392:I393)</f>
        <v>162</v>
      </c>
      <c r="P392">
        <f t="shared" si="41"/>
        <v>75</v>
      </c>
    </row>
    <row r="393" spans="1:16" hidden="1" x14ac:dyDescent="0.3">
      <c r="A393" t="str">
        <f t="shared" si="40"/>
        <v>2015Brian11</v>
      </c>
      <c r="B393">
        <f t="shared" si="36"/>
        <v>1357</v>
      </c>
      <c r="C393">
        <f t="shared" si="37"/>
        <v>1595</v>
      </c>
      <c r="D393" t="s">
        <v>26</v>
      </c>
      <c r="E393" t="str">
        <f>D392</f>
        <v>Brent</v>
      </c>
      <c r="F393">
        <v>2015</v>
      </c>
      <c r="G393">
        <v>11</v>
      </c>
      <c r="H393">
        <v>6.2</v>
      </c>
      <c r="I393" s="14">
        <v>75</v>
      </c>
      <c r="J393">
        <f>I393-I392</f>
        <v>-12</v>
      </c>
      <c r="K393" t="str">
        <f t="shared" si="38"/>
        <v>L</v>
      </c>
      <c r="L393" t="str">
        <f t="shared" si="39"/>
        <v>Brian</v>
      </c>
      <c r="M393" t="str">
        <f>VLOOKUP(L393,References!$A$2:$B$16,2,FALSE)</f>
        <v>TEXAROK</v>
      </c>
      <c r="N393" s="19" t="str">
        <f>IF(M393=M392,"N","Y")</f>
        <v>N</v>
      </c>
      <c r="O393">
        <f>SUM(I392:I393)</f>
        <v>162</v>
      </c>
      <c r="P393">
        <f t="shared" si="41"/>
        <v>87</v>
      </c>
    </row>
    <row r="394" spans="1:16" hidden="1" x14ac:dyDescent="0.3">
      <c r="A394" t="str">
        <f t="shared" si="40"/>
        <v>2015Russell12</v>
      </c>
      <c r="B394">
        <f t="shared" si="36"/>
        <v>297</v>
      </c>
      <c r="C394">
        <f t="shared" si="37"/>
        <v>926</v>
      </c>
      <c r="D394" t="s">
        <v>28</v>
      </c>
      <c r="E394" t="str">
        <f>D395</f>
        <v>Brian</v>
      </c>
      <c r="F394">
        <v>2015</v>
      </c>
      <c r="G394">
        <v>12</v>
      </c>
      <c r="H394">
        <v>1.1000000000000001</v>
      </c>
      <c r="I394" s="14">
        <v>93</v>
      </c>
      <c r="J394">
        <f>I394-I395</f>
        <v>31</v>
      </c>
      <c r="K394" t="str">
        <f t="shared" si="38"/>
        <v>W</v>
      </c>
      <c r="L394" t="str">
        <f t="shared" si="39"/>
        <v>Russell</v>
      </c>
      <c r="M394" t="str">
        <f>VLOOKUP(L394,References!$A$2:$B$16,2,FALSE)</f>
        <v>TEXAROK</v>
      </c>
      <c r="N394" s="19" t="str">
        <f>IF(M394=M395,"N","Y")</f>
        <v>N</v>
      </c>
      <c r="O394">
        <f>SUM(I394:I395)</f>
        <v>155</v>
      </c>
      <c r="P394">
        <f t="shared" si="41"/>
        <v>62</v>
      </c>
    </row>
    <row r="395" spans="1:16" hidden="1" x14ac:dyDescent="0.3">
      <c r="A395" t="str">
        <f t="shared" si="40"/>
        <v>2015Brian12</v>
      </c>
      <c r="B395">
        <f t="shared" si="36"/>
        <v>1775</v>
      </c>
      <c r="C395">
        <f t="shared" si="37"/>
        <v>1910</v>
      </c>
      <c r="D395" t="s">
        <v>26</v>
      </c>
      <c r="E395" t="str">
        <f>D394</f>
        <v>Russell</v>
      </c>
      <c r="F395">
        <v>2015</v>
      </c>
      <c r="G395">
        <v>12</v>
      </c>
      <c r="H395">
        <v>1.2</v>
      </c>
      <c r="I395" s="14">
        <v>62</v>
      </c>
      <c r="J395">
        <f>I395-I394</f>
        <v>-31</v>
      </c>
      <c r="K395" t="str">
        <f t="shared" si="38"/>
        <v>L</v>
      </c>
      <c r="L395" t="str">
        <f t="shared" si="39"/>
        <v>Brian</v>
      </c>
      <c r="M395" t="str">
        <f>VLOOKUP(L395,References!$A$2:$B$16,2,FALSE)</f>
        <v>TEXAROK</v>
      </c>
      <c r="N395" s="19" t="str">
        <f>IF(M395=M394,"N","Y")</f>
        <v>N</v>
      </c>
      <c r="O395">
        <f>SUM(I394:I395)</f>
        <v>155</v>
      </c>
      <c r="P395">
        <f t="shared" si="41"/>
        <v>93</v>
      </c>
    </row>
    <row r="396" spans="1:16" hidden="1" x14ac:dyDescent="0.3">
      <c r="A396" t="str">
        <f t="shared" si="40"/>
        <v>2015Michael12</v>
      </c>
      <c r="B396">
        <f t="shared" si="36"/>
        <v>1381</v>
      </c>
      <c r="C396">
        <f t="shared" si="37"/>
        <v>1406</v>
      </c>
      <c r="D396" t="s">
        <v>23</v>
      </c>
      <c r="E396" t="str">
        <f>D397</f>
        <v>Abby</v>
      </c>
      <c r="F396">
        <v>2015</v>
      </c>
      <c r="G396">
        <v>12</v>
      </c>
      <c r="H396">
        <v>2.1</v>
      </c>
      <c r="I396" s="14">
        <v>80</v>
      </c>
      <c r="J396">
        <f>I396-I397</f>
        <v>-13</v>
      </c>
      <c r="K396" t="str">
        <f t="shared" si="38"/>
        <v>L</v>
      </c>
      <c r="L396" t="str">
        <f t="shared" si="39"/>
        <v>Michael</v>
      </c>
      <c r="M396" t="str">
        <f>VLOOKUP(L396,References!$A$2:$B$16,2,FALSE)</f>
        <v>AKCOVA</v>
      </c>
      <c r="N396" s="19" t="str">
        <f>IF(M396=M397,"N","Y")</f>
        <v>N</v>
      </c>
      <c r="O396">
        <f>SUM(I396:I397)</f>
        <v>173</v>
      </c>
      <c r="P396">
        <f t="shared" si="41"/>
        <v>93</v>
      </c>
    </row>
    <row r="397" spans="1:16" hidden="1" x14ac:dyDescent="0.3">
      <c r="A397" t="str">
        <f t="shared" si="40"/>
        <v>2015Abby12</v>
      </c>
      <c r="B397">
        <f t="shared" si="36"/>
        <v>685</v>
      </c>
      <c r="C397">
        <f t="shared" si="37"/>
        <v>926</v>
      </c>
      <c r="D397" t="s">
        <v>27</v>
      </c>
      <c r="E397" t="str">
        <f>D396</f>
        <v>Michael</v>
      </c>
      <c r="F397">
        <v>2015</v>
      </c>
      <c r="G397">
        <v>12</v>
      </c>
      <c r="H397">
        <v>2.2000000000000002</v>
      </c>
      <c r="I397" s="14">
        <v>93</v>
      </c>
      <c r="J397">
        <f>I397-I396</f>
        <v>13</v>
      </c>
      <c r="K397" t="str">
        <f t="shared" si="38"/>
        <v>W</v>
      </c>
      <c r="L397" t="str">
        <f t="shared" si="39"/>
        <v>Abby</v>
      </c>
      <c r="M397" t="str">
        <f>VLOOKUP(L397,References!$A$2:$B$16,2,FALSE)</f>
        <v>AKCOVA</v>
      </c>
      <c r="N397" s="19" t="str">
        <f>IF(M397=M396,"N","Y")</f>
        <v>N</v>
      </c>
      <c r="O397">
        <f>SUM(I396:I397)</f>
        <v>173</v>
      </c>
      <c r="P397">
        <f t="shared" si="41"/>
        <v>80</v>
      </c>
    </row>
    <row r="398" spans="1:16" hidden="1" x14ac:dyDescent="0.3">
      <c r="A398" t="str">
        <f t="shared" si="40"/>
        <v>2015Matt12</v>
      </c>
      <c r="B398">
        <f t="shared" si="36"/>
        <v>1145</v>
      </c>
      <c r="C398">
        <f t="shared" si="37"/>
        <v>1717</v>
      </c>
      <c r="D398" t="s">
        <v>30</v>
      </c>
      <c r="E398" t="str">
        <f>D399</f>
        <v>Mark</v>
      </c>
      <c r="F398">
        <v>2015</v>
      </c>
      <c r="G398">
        <v>12</v>
      </c>
      <c r="H398">
        <v>3.1</v>
      </c>
      <c r="I398" s="14">
        <v>71</v>
      </c>
      <c r="J398">
        <f>I398-I399</f>
        <v>-4</v>
      </c>
      <c r="K398" t="str">
        <f t="shared" si="38"/>
        <v>L</v>
      </c>
      <c r="L398" t="str">
        <f t="shared" si="39"/>
        <v>Matt</v>
      </c>
      <c r="M398" t="str">
        <f>VLOOKUP(L398,References!$A$2:$B$16,2,FALSE)</f>
        <v>TEXAROK</v>
      </c>
      <c r="N398" s="19" t="str">
        <f>IF(M398=M399,"N","Y")</f>
        <v>Y</v>
      </c>
      <c r="O398">
        <f>SUM(I398:I399)</f>
        <v>146</v>
      </c>
      <c r="P398">
        <f t="shared" si="41"/>
        <v>75</v>
      </c>
    </row>
    <row r="399" spans="1:16" hidden="1" x14ac:dyDescent="0.3">
      <c r="A399" t="str">
        <f t="shared" si="40"/>
        <v>2015Mark12</v>
      </c>
      <c r="B399">
        <f t="shared" si="36"/>
        <v>917</v>
      </c>
      <c r="C399">
        <f t="shared" si="37"/>
        <v>1595</v>
      </c>
      <c r="D399" t="s">
        <v>22</v>
      </c>
      <c r="E399" t="str">
        <f>D398</f>
        <v>Matt</v>
      </c>
      <c r="F399">
        <v>2015</v>
      </c>
      <c r="G399">
        <v>12</v>
      </c>
      <c r="H399">
        <v>3.2</v>
      </c>
      <c r="I399" s="14">
        <v>75</v>
      </c>
      <c r="J399">
        <f>I399-I398</f>
        <v>4</v>
      </c>
      <c r="K399" t="str">
        <f t="shared" si="38"/>
        <v>W</v>
      </c>
      <c r="L399" t="str">
        <f t="shared" si="39"/>
        <v>Mark</v>
      </c>
      <c r="M399" t="str">
        <f>VLOOKUP(L399,References!$A$2:$B$16,2,FALSE)</f>
        <v>AKCOVA</v>
      </c>
      <c r="N399" s="19" t="str">
        <f>IF(M399=M398,"N","Y")</f>
        <v>Y</v>
      </c>
      <c r="O399">
        <f>SUM(I398:I399)</f>
        <v>146</v>
      </c>
      <c r="P399">
        <f t="shared" si="41"/>
        <v>71</v>
      </c>
    </row>
    <row r="400" spans="1:16" hidden="1" x14ac:dyDescent="0.3">
      <c r="A400" t="str">
        <f t="shared" si="40"/>
        <v>2015Emily12</v>
      </c>
      <c r="B400">
        <f t="shared" si="36"/>
        <v>1810</v>
      </c>
      <c r="C400">
        <f t="shared" si="37"/>
        <v>1717</v>
      </c>
      <c r="D400" t="s">
        <v>43</v>
      </c>
      <c r="E400" t="str">
        <f>D401</f>
        <v>BR</v>
      </c>
      <c r="F400">
        <v>2015</v>
      </c>
      <c r="G400">
        <v>12</v>
      </c>
      <c r="H400">
        <v>4.0999999999999996</v>
      </c>
      <c r="I400" s="14">
        <v>71</v>
      </c>
      <c r="J400">
        <f>I400-I401</f>
        <v>-33</v>
      </c>
      <c r="K400" t="str">
        <f t="shared" si="38"/>
        <v>L</v>
      </c>
      <c r="L400" t="str">
        <f t="shared" si="39"/>
        <v>Emily</v>
      </c>
      <c r="M400" t="str">
        <f>VLOOKUP(L400,References!$A$2:$B$16,2,FALSE)</f>
        <v>TEXAROK</v>
      </c>
      <c r="N400" s="19" t="str">
        <f>IF(M400=M401,"N","Y")</f>
        <v>Y</v>
      </c>
      <c r="O400">
        <f>SUM(I400:I401)</f>
        <v>175</v>
      </c>
      <c r="P400">
        <f t="shared" si="41"/>
        <v>104</v>
      </c>
    </row>
    <row r="401" spans="1:16" hidden="1" x14ac:dyDescent="0.3">
      <c r="A401" t="str">
        <f t="shared" si="40"/>
        <v>2015BR12</v>
      </c>
      <c r="B401">
        <f t="shared" si="36"/>
        <v>270</v>
      </c>
      <c r="C401">
        <f t="shared" si="37"/>
        <v>566</v>
      </c>
      <c r="D401" t="s">
        <v>25</v>
      </c>
      <c r="E401" t="str">
        <f>D400</f>
        <v>Emily</v>
      </c>
      <c r="F401">
        <v>2015</v>
      </c>
      <c r="G401">
        <v>12</v>
      </c>
      <c r="H401">
        <v>4.2</v>
      </c>
      <c r="I401" s="14">
        <v>104</v>
      </c>
      <c r="J401">
        <f>I401-I400</f>
        <v>33</v>
      </c>
      <c r="K401" t="str">
        <f t="shared" si="38"/>
        <v>W</v>
      </c>
      <c r="L401" t="str">
        <f t="shared" si="39"/>
        <v>BR</v>
      </c>
      <c r="M401" t="str">
        <f>VLOOKUP(L401,References!$A$2:$B$16,2,FALSE)</f>
        <v>AKCOVA</v>
      </c>
      <c r="N401" s="19" t="str">
        <f>IF(M401=M400,"N","Y")</f>
        <v>Y</v>
      </c>
      <c r="O401">
        <f>SUM(I400:I401)</f>
        <v>175</v>
      </c>
      <c r="P401">
        <f t="shared" si="41"/>
        <v>71</v>
      </c>
    </row>
    <row r="402" spans="1:16" hidden="1" x14ac:dyDescent="0.3">
      <c r="A402" t="str">
        <f t="shared" si="40"/>
        <v>2015Brent12</v>
      </c>
      <c r="B402">
        <f t="shared" si="36"/>
        <v>803</v>
      </c>
      <c r="C402">
        <f t="shared" si="37"/>
        <v>566</v>
      </c>
      <c r="D402" t="s">
        <v>47</v>
      </c>
      <c r="E402" t="str">
        <f>D403</f>
        <v>Charles</v>
      </c>
      <c r="F402">
        <v>2015</v>
      </c>
      <c r="G402">
        <v>12</v>
      </c>
      <c r="H402">
        <v>5.0999999999999996</v>
      </c>
      <c r="I402" s="14">
        <v>104</v>
      </c>
      <c r="J402">
        <f>I402-I403</f>
        <v>8</v>
      </c>
      <c r="K402" t="str">
        <f t="shared" si="38"/>
        <v>W</v>
      </c>
      <c r="L402" t="str">
        <f t="shared" si="39"/>
        <v>Brent</v>
      </c>
      <c r="M402" t="str">
        <f>VLOOKUP(L402,References!$A$2:$B$16,2,FALSE)</f>
        <v>TEXAROK</v>
      </c>
      <c r="N402" s="19" t="str">
        <f>IF(M402=M403,"N","Y")</f>
        <v>Y</v>
      </c>
      <c r="O402">
        <f>SUM(I402:I403)</f>
        <v>200</v>
      </c>
      <c r="P402">
        <f t="shared" si="41"/>
        <v>96</v>
      </c>
    </row>
    <row r="403" spans="1:16" hidden="1" x14ac:dyDescent="0.3">
      <c r="A403" t="str">
        <f t="shared" si="40"/>
        <v>2015Charles12</v>
      </c>
      <c r="B403">
        <f t="shared" si="36"/>
        <v>1258</v>
      </c>
      <c r="C403">
        <f t="shared" si="37"/>
        <v>822</v>
      </c>
      <c r="D403" t="s">
        <v>48</v>
      </c>
      <c r="E403" t="str">
        <f>D402</f>
        <v>Brent</v>
      </c>
      <c r="F403">
        <v>2015</v>
      </c>
      <c r="G403">
        <v>12</v>
      </c>
      <c r="H403">
        <v>5.2</v>
      </c>
      <c r="I403" s="14">
        <v>96</v>
      </c>
      <c r="J403">
        <f>I403-I402</f>
        <v>-8</v>
      </c>
      <c r="K403" t="str">
        <f t="shared" si="38"/>
        <v>L</v>
      </c>
      <c r="L403" t="str">
        <f t="shared" si="39"/>
        <v>Charles</v>
      </c>
      <c r="M403" t="str">
        <f>VLOOKUP(L403,References!$A$2:$B$16,2,FALSE)</f>
        <v>AKCOVA</v>
      </c>
      <c r="N403" s="19" t="str">
        <f>IF(M403=M402,"N","Y")</f>
        <v>Y</v>
      </c>
      <c r="O403">
        <f>SUM(I402:I403)</f>
        <v>200</v>
      </c>
      <c r="P403">
        <f t="shared" si="41"/>
        <v>104</v>
      </c>
    </row>
    <row r="404" spans="1:16" hidden="1" x14ac:dyDescent="0.3">
      <c r="A404" t="str">
        <f t="shared" si="40"/>
        <v>2015David12</v>
      </c>
      <c r="B404">
        <f t="shared" si="36"/>
        <v>949</v>
      </c>
      <c r="C404">
        <f t="shared" si="37"/>
        <v>1365</v>
      </c>
      <c r="D404" t="s">
        <v>29</v>
      </c>
      <c r="E404" t="str">
        <f>D405</f>
        <v>Watty</v>
      </c>
      <c r="F404">
        <v>2015</v>
      </c>
      <c r="G404">
        <v>12</v>
      </c>
      <c r="H404">
        <v>6.1</v>
      </c>
      <c r="I404" s="14">
        <v>81</v>
      </c>
      <c r="J404">
        <f>I404-I405</f>
        <v>3</v>
      </c>
      <c r="K404" t="str">
        <f t="shared" si="38"/>
        <v>W</v>
      </c>
      <c r="L404" t="str">
        <f t="shared" si="39"/>
        <v>David</v>
      </c>
      <c r="M404" t="str">
        <f>VLOOKUP(L404,References!$A$2:$B$16,2,FALSE)</f>
        <v>TEXAROK</v>
      </c>
      <c r="N404" s="19" t="str">
        <f>IF(M404=M405,"N","Y")</f>
        <v>Y</v>
      </c>
      <c r="O404">
        <f>SUM(I404:I405)</f>
        <v>159</v>
      </c>
      <c r="P404">
        <f t="shared" si="41"/>
        <v>78</v>
      </c>
    </row>
    <row r="405" spans="1:16" hidden="1" x14ac:dyDescent="0.3">
      <c r="A405" t="str">
        <f t="shared" si="40"/>
        <v>2015Watty12</v>
      </c>
      <c r="B405">
        <f t="shared" si="36"/>
        <v>1117</v>
      </c>
      <c r="C405">
        <f t="shared" si="37"/>
        <v>1468</v>
      </c>
      <c r="D405" t="s">
        <v>24</v>
      </c>
      <c r="E405" t="str">
        <f>D404</f>
        <v>David</v>
      </c>
      <c r="F405">
        <v>2015</v>
      </c>
      <c r="G405">
        <v>12</v>
      </c>
      <c r="H405">
        <v>6.2</v>
      </c>
      <c r="I405" s="14">
        <v>78</v>
      </c>
      <c r="J405">
        <f>I405-I404</f>
        <v>-3</v>
      </c>
      <c r="K405" t="str">
        <f t="shared" si="38"/>
        <v>L</v>
      </c>
      <c r="L405" t="str">
        <f t="shared" si="39"/>
        <v>Watty</v>
      </c>
      <c r="M405" t="str">
        <f>VLOOKUP(L405,References!$A$2:$B$16,2,FALSE)</f>
        <v>AKCOVA</v>
      </c>
      <c r="N405" s="19" t="str">
        <f>IF(M405=M404,"N","Y")</f>
        <v>Y</v>
      </c>
      <c r="O405">
        <f>SUM(I404:I405)</f>
        <v>159</v>
      </c>
      <c r="P405">
        <f t="shared" si="41"/>
        <v>81</v>
      </c>
    </row>
    <row r="406" spans="1:16" hidden="1" x14ac:dyDescent="0.3">
      <c r="A406" t="str">
        <f t="shared" si="40"/>
        <v>2015Russell13</v>
      </c>
      <c r="B406">
        <f t="shared" si="36"/>
        <v>1775</v>
      </c>
      <c r="C406">
        <f t="shared" si="37"/>
        <v>777</v>
      </c>
      <c r="D406" t="s">
        <v>28</v>
      </c>
      <c r="E406" t="str">
        <f>D407</f>
        <v>Charles</v>
      </c>
      <c r="F406">
        <v>2015</v>
      </c>
      <c r="G406">
        <v>13</v>
      </c>
      <c r="H406">
        <v>1.1000000000000001</v>
      </c>
      <c r="I406" s="14">
        <v>97</v>
      </c>
      <c r="J406">
        <f>I406-I407</f>
        <v>-31</v>
      </c>
      <c r="K406" t="str">
        <f t="shared" si="38"/>
        <v>L</v>
      </c>
      <c r="L406" t="str">
        <f t="shared" si="39"/>
        <v>Russell</v>
      </c>
      <c r="M406" t="str">
        <f>VLOOKUP(L406,References!$A$2:$B$16,2,FALSE)</f>
        <v>TEXAROK</v>
      </c>
      <c r="N406" s="19" t="str">
        <f>IF(M406=M407,"N","Y")</f>
        <v>Y</v>
      </c>
      <c r="O406">
        <f>SUM(I406:I407)</f>
        <v>225</v>
      </c>
      <c r="P406">
        <f t="shared" si="41"/>
        <v>128</v>
      </c>
    </row>
    <row r="407" spans="1:16" hidden="1" x14ac:dyDescent="0.3">
      <c r="A407" t="str">
        <f t="shared" si="40"/>
        <v>2015Charles13</v>
      </c>
      <c r="B407">
        <f t="shared" si="36"/>
        <v>297</v>
      </c>
      <c r="C407">
        <f t="shared" si="37"/>
        <v>128</v>
      </c>
      <c r="D407" t="s">
        <v>48</v>
      </c>
      <c r="E407" t="str">
        <f>D406</f>
        <v>Russell</v>
      </c>
      <c r="F407">
        <v>2015</v>
      </c>
      <c r="G407">
        <v>13</v>
      </c>
      <c r="H407">
        <v>1.2</v>
      </c>
      <c r="I407" s="14">
        <v>128</v>
      </c>
      <c r="J407">
        <f>I407-I406</f>
        <v>31</v>
      </c>
      <c r="K407" t="str">
        <f t="shared" si="38"/>
        <v>W</v>
      </c>
      <c r="L407" t="str">
        <f t="shared" si="39"/>
        <v>Charles</v>
      </c>
      <c r="M407" t="str">
        <f>VLOOKUP(L407,References!$A$2:$B$16,2,FALSE)</f>
        <v>AKCOVA</v>
      </c>
      <c r="N407" s="19" t="str">
        <f>IF(M407=M406,"N","Y")</f>
        <v>Y</v>
      </c>
      <c r="O407">
        <f>SUM(I406:I407)</f>
        <v>225</v>
      </c>
      <c r="P407">
        <f t="shared" si="41"/>
        <v>97</v>
      </c>
    </row>
    <row r="408" spans="1:16" hidden="1" x14ac:dyDescent="0.3">
      <c r="A408" t="str">
        <f t="shared" si="40"/>
        <v>2015Abby13</v>
      </c>
      <c r="B408">
        <f t="shared" si="36"/>
        <v>548</v>
      </c>
      <c r="C408">
        <f t="shared" si="37"/>
        <v>509</v>
      </c>
      <c r="D408" t="s">
        <v>27</v>
      </c>
      <c r="E408" t="str">
        <f>D409</f>
        <v>Matt</v>
      </c>
      <c r="F408">
        <v>2015</v>
      </c>
      <c r="G408">
        <v>13</v>
      </c>
      <c r="H408">
        <v>2.1</v>
      </c>
      <c r="I408" s="14">
        <v>106</v>
      </c>
      <c r="J408">
        <f>I408-I409</f>
        <v>19</v>
      </c>
      <c r="K408" t="str">
        <f t="shared" si="38"/>
        <v>W</v>
      </c>
      <c r="L408" t="str">
        <f t="shared" si="39"/>
        <v>Abby</v>
      </c>
      <c r="M408" t="str">
        <f>VLOOKUP(L408,References!$A$2:$B$16,2,FALSE)</f>
        <v>AKCOVA</v>
      </c>
      <c r="N408" s="19" t="str">
        <f>IF(M408=M409,"N","Y")</f>
        <v>Y</v>
      </c>
      <c r="O408">
        <f>SUM(I408:I409)</f>
        <v>193</v>
      </c>
      <c r="P408">
        <f t="shared" si="41"/>
        <v>87</v>
      </c>
    </row>
    <row r="409" spans="1:16" hidden="1" x14ac:dyDescent="0.3">
      <c r="A409" t="str">
        <f t="shared" si="40"/>
        <v>2015Matt13</v>
      </c>
      <c r="B409">
        <f t="shared" si="36"/>
        <v>1523</v>
      </c>
      <c r="C409">
        <f t="shared" si="37"/>
        <v>1143</v>
      </c>
      <c r="D409" t="s">
        <v>30</v>
      </c>
      <c r="E409" t="str">
        <f>D408</f>
        <v>Abby</v>
      </c>
      <c r="F409">
        <v>2015</v>
      </c>
      <c r="G409">
        <v>13</v>
      </c>
      <c r="H409">
        <v>2.2000000000000002</v>
      </c>
      <c r="I409" s="14">
        <v>87</v>
      </c>
      <c r="J409">
        <f>I409-I408</f>
        <v>-19</v>
      </c>
      <c r="K409" t="str">
        <f t="shared" si="38"/>
        <v>L</v>
      </c>
      <c r="L409" t="str">
        <f t="shared" si="39"/>
        <v>Matt</v>
      </c>
      <c r="M409" t="str">
        <f>VLOOKUP(L409,References!$A$2:$B$16,2,FALSE)</f>
        <v>TEXAROK</v>
      </c>
      <c r="N409" s="19" t="str">
        <f>IF(M409=M408,"N","Y")</f>
        <v>Y</v>
      </c>
      <c r="O409">
        <f>SUM(I408:I409)</f>
        <v>193</v>
      </c>
      <c r="P409">
        <f t="shared" si="41"/>
        <v>106</v>
      </c>
    </row>
    <row r="410" spans="1:16" hidden="1" x14ac:dyDescent="0.3">
      <c r="A410" t="str">
        <f t="shared" si="40"/>
        <v>2015Mark13</v>
      </c>
      <c r="B410">
        <f t="shared" si="36"/>
        <v>1856</v>
      </c>
      <c r="C410">
        <f t="shared" si="37"/>
        <v>1793</v>
      </c>
      <c r="D410" t="s">
        <v>22</v>
      </c>
      <c r="E410" t="str">
        <f>D411</f>
        <v>Emily</v>
      </c>
      <c r="F410">
        <v>2015</v>
      </c>
      <c r="G410">
        <v>13</v>
      </c>
      <c r="H410">
        <v>3.1</v>
      </c>
      <c r="I410" s="14">
        <v>68</v>
      </c>
      <c r="J410">
        <f>I410-I411</f>
        <v>-37</v>
      </c>
      <c r="K410" t="str">
        <f t="shared" si="38"/>
        <v>L</v>
      </c>
      <c r="L410" t="str">
        <f t="shared" si="39"/>
        <v>Mark</v>
      </c>
      <c r="M410" t="str">
        <f>VLOOKUP(L410,References!$A$2:$B$16,2,FALSE)</f>
        <v>AKCOVA</v>
      </c>
      <c r="N410" s="19" t="str">
        <f>IF(M410=M411,"N","Y")</f>
        <v>Y</v>
      </c>
      <c r="O410">
        <f>SUM(I410:I411)</f>
        <v>173</v>
      </c>
      <c r="P410">
        <f t="shared" si="41"/>
        <v>105</v>
      </c>
    </row>
    <row r="411" spans="1:16" hidden="1" x14ac:dyDescent="0.3">
      <c r="A411" t="str">
        <f t="shared" si="40"/>
        <v>2015Emily13</v>
      </c>
      <c r="B411">
        <f t="shared" si="36"/>
        <v>225</v>
      </c>
      <c r="C411">
        <f t="shared" si="37"/>
        <v>540</v>
      </c>
      <c r="D411" t="s">
        <v>43</v>
      </c>
      <c r="E411" t="str">
        <f>D410</f>
        <v>Mark</v>
      </c>
      <c r="F411">
        <v>2015</v>
      </c>
      <c r="G411">
        <v>13</v>
      </c>
      <c r="H411">
        <v>3.2</v>
      </c>
      <c r="I411" s="14">
        <v>105</v>
      </c>
      <c r="J411">
        <f>I411-I410</f>
        <v>37</v>
      </c>
      <c r="K411" t="str">
        <f t="shared" si="38"/>
        <v>W</v>
      </c>
      <c r="L411" t="str">
        <f t="shared" si="39"/>
        <v>Emily</v>
      </c>
      <c r="M411" t="str">
        <f>VLOOKUP(L411,References!$A$2:$B$16,2,FALSE)</f>
        <v>TEXAROK</v>
      </c>
      <c r="N411" s="19" t="str">
        <f>IF(M411=M410,"N","Y")</f>
        <v>Y</v>
      </c>
      <c r="O411">
        <f>SUM(I410:I411)</f>
        <v>173</v>
      </c>
      <c r="P411">
        <f t="shared" si="41"/>
        <v>68</v>
      </c>
    </row>
    <row r="412" spans="1:16" hidden="1" x14ac:dyDescent="0.3">
      <c r="A412" t="str">
        <f t="shared" si="40"/>
        <v>2015BR13</v>
      </c>
      <c r="B412">
        <f t="shared" si="36"/>
        <v>1145</v>
      </c>
      <c r="C412">
        <f t="shared" si="37"/>
        <v>678</v>
      </c>
      <c r="D412" t="s">
        <v>25</v>
      </c>
      <c r="E412" t="str">
        <f>D413</f>
        <v>Brent</v>
      </c>
      <c r="F412">
        <v>2015</v>
      </c>
      <c r="G412">
        <v>13</v>
      </c>
      <c r="H412">
        <v>4.0999999999999996</v>
      </c>
      <c r="I412" s="14">
        <v>100</v>
      </c>
      <c r="J412">
        <f>I412-I413</f>
        <v>-4</v>
      </c>
      <c r="K412" t="str">
        <f t="shared" si="38"/>
        <v>L</v>
      </c>
      <c r="L412" t="str">
        <f t="shared" si="39"/>
        <v>BR</v>
      </c>
      <c r="M412" t="str">
        <f>VLOOKUP(L412,References!$A$2:$B$16,2,FALSE)</f>
        <v>AKCOVA</v>
      </c>
      <c r="N412" s="19" t="str">
        <f>IF(M412=M413,"N","Y")</f>
        <v>Y</v>
      </c>
      <c r="O412">
        <f>SUM(I412:I413)</f>
        <v>204</v>
      </c>
      <c r="P412">
        <f t="shared" si="41"/>
        <v>104</v>
      </c>
    </row>
    <row r="413" spans="1:16" hidden="1" x14ac:dyDescent="0.3">
      <c r="A413" t="str">
        <f t="shared" si="40"/>
        <v>2015Brent13</v>
      </c>
      <c r="B413">
        <f t="shared" si="36"/>
        <v>917</v>
      </c>
      <c r="C413">
        <f t="shared" si="37"/>
        <v>566</v>
      </c>
      <c r="D413" t="s">
        <v>47</v>
      </c>
      <c r="E413" t="str">
        <f>D412</f>
        <v>BR</v>
      </c>
      <c r="F413">
        <v>2015</v>
      </c>
      <c r="G413">
        <v>13</v>
      </c>
      <c r="H413">
        <v>4.2</v>
      </c>
      <c r="I413" s="14">
        <v>104</v>
      </c>
      <c r="J413">
        <f>I413-I412</f>
        <v>4</v>
      </c>
      <c r="K413" t="str">
        <f t="shared" si="38"/>
        <v>W</v>
      </c>
      <c r="L413" t="str">
        <f t="shared" si="39"/>
        <v>Brent</v>
      </c>
      <c r="M413" t="str">
        <f>VLOOKUP(L413,References!$A$2:$B$16,2,FALSE)</f>
        <v>TEXAROK</v>
      </c>
      <c r="N413" s="19" t="str">
        <f>IF(M413=M412,"N","Y")</f>
        <v>Y</v>
      </c>
      <c r="O413">
        <f>SUM(I412:I413)</f>
        <v>204</v>
      </c>
      <c r="P413">
        <f t="shared" si="41"/>
        <v>100</v>
      </c>
    </row>
    <row r="414" spans="1:16" hidden="1" x14ac:dyDescent="0.3">
      <c r="A414" t="str">
        <f t="shared" si="40"/>
        <v>2015Brian13</v>
      </c>
      <c r="B414">
        <f t="shared" si="36"/>
        <v>782</v>
      </c>
      <c r="C414">
        <f t="shared" si="37"/>
        <v>1684</v>
      </c>
      <c r="D414" t="s">
        <v>26</v>
      </c>
      <c r="E414" t="str">
        <f>D415</f>
        <v>David</v>
      </c>
      <c r="F414">
        <v>2015</v>
      </c>
      <c r="G414">
        <v>13</v>
      </c>
      <c r="H414">
        <v>5.0999999999999996</v>
      </c>
      <c r="I414" s="14">
        <v>72</v>
      </c>
      <c r="J414">
        <f>I414-I415</f>
        <v>9</v>
      </c>
      <c r="K414" t="str">
        <f t="shared" si="38"/>
        <v>W</v>
      </c>
      <c r="L414" t="str">
        <f t="shared" si="39"/>
        <v>Brian</v>
      </c>
      <c r="M414" t="str">
        <f>VLOOKUP(L414,References!$A$2:$B$16,2,FALSE)</f>
        <v>TEXAROK</v>
      </c>
      <c r="N414" s="19" t="str">
        <f>IF(M414=M415,"N","Y")</f>
        <v>N</v>
      </c>
      <c r="O414">
        <f>SUM(I414:I415)</f>
        <v>135</v>
      </c>
      <c r="P414">
        <f t="shared" si="41"/>
        <v>63</v>
      </c>
    </row>
    <row r="415" spans="1:16" hidden="1" x14ac:dyDescent="0.3">
      <c r="A415" t="str">
        <f t="shared" si="40"/>
        <v>2015David13</v>
      </c>
      <c r="B415">
        <f t="shared" si="36"/>
        <v>1291</v>
      </c>
      <c r="C415">
        <f t="shared" si="37"/>
        <v>1885</v>
      </c>
      <c r="D415" t="s">
        <v>29</v>
      </c>
      <c r="E415" t="str">
        <f>D414</f>
        <v>Brian</v>
      </c>
      <c r="F415">
        <v>2015</v>
      </c>
      <c r="G415">
        <v>13</v>
      </c>
      <c r="H415">
        <v>5.2</v>
      </c>
      <c r="I415" s="14">
        <v>63</v>
      </c>
      <c r="J415">
        <f>I415-I414</f>
        <v>-9</v>
      </c>
      <c r="K415" t="str">
        <f t="shared" si="38"/>
        <v>L</v>
      </c>
      <c r="L415" t="str">
        <f t="shared" si="39"/>
        <v>David</v>
      </c>
      <c r="M415" t="str">
        <f>VLOOKUP(L415,References!$A$2:$B$16,2,FALSE)</f>
        <v>TEXAROK</v>
      </c>
      <c r="N415" s="19" t="str">
        <f>IF(M415=M414,"N","Y")</f>
        <v>N</v>
      </c>
      <c r="O415">
        <f>SUM(I414:I415)</f>
        <v>135</v>
      </c>
      <c r="P415">
        <f t="shared" si="41"/>
        <v>72</v>
      </c>
    </row>
    <row r="416" spans="1:16" hidden="1" x14ac:dyDescent="0.3">
      <c r="A416" t="str">
        <f t="shared" si="40"/>
        <v>2015Watty13</v>
      </c>
      <c r="B416">
        <f t="shared" si="36"/>
        <v>1978</v>
      </c>
      <c r="C416">
        <f t="shared" si="37"/>
        <v>1365</v>
      </c>
      <c r="D416" t="s">
        <v>24</v>
      </c>
      <c r="E416" t="str">
        <f>D417</f>
        <v>Michael</v>
      </c>
      <c r="F416">
        <v>2015</v>
      </c>
      <c r="G416">
        <v>13</v>
      </c>
      <c r="H416">
        <v>6.1</v>
      </c>
      <c r="I416" s="14">
        <v>81</v>
      </c>
      <c r="J416">
        <f>I416-I417</f>
        <v>-50</v>
      </c>
      <c r="K416" t="str">
        <f t="shared" si="38"/>
        <v>L</v>
      </c>
      <c r="L416" t="str">
        <f t="shared" si="39"/>
        <v>Watty</v>
      </c>
      <c r="M416" t="str">
        <f>VLOOKUP(L416,References!$A$2:$B$16,2,FALSE)</f>
        <v>AKCOVA</v>
      </c>
      <c r="N416" s="19" t="str">
        <f>IF(M416=M417,"N","Y")</f>
        <v>N</v>
      </c>
      <c r="O416">
        <f>SUM(I416:I417)</f>
        <v>212</v>
      </c>
      <c r="P416">
        <f t="shared" si="41"/>
        <v>131</v>
      </c>
    </row>
    <row r="417" spans="1:16" hidden="1" x14ac:dyDescent="0.3">
      <c r="A417" t="str">
        <f t="shared" si="40"/>
        <v>2015Michael13</v>
      </c>
      <c r="B417">
        <f t="shared" si="36"/>
        <v>107</v>
      </c>
      <c r="C417">
        <f t="shared" si="37"/>
        <v>102</v>
      </c>
      <c r="D417" t="s">
        <v>23</v>
      </c>
      <c r="E417" t="str">
        <f>D416</f>
        <v>Watty</v>
      </c>
      <c r="F417">
        <v>2015</v>
      </c>
      <c r="G417">
        <v>13</v>
      </c>
      <c r="H417">
        <v>6.2</v>
      </c>
      <c r="I417" s="14">
        <v>131</v>
      </c>
      <c r="J417">
        <f>I417-I416</f>
        <v>50</v>
      </c>
      <c r="K417" t="str">
        <f t="shared" si="38"/>
        <v>W</v>
      </c>
      <c r="L417" t="str">
        <f t="shared" si="39"/>
        <v>Michael</v>
      </c>
      <c r="M417" t="str">
        <f>VLOOKUP(L417,References!$A$2:$B$16,2,FALSE)</f>
        <v>AKCOVA</v>
      </c>
      <c r="N417" s="19" t="str">
        <f>IF(M417=M416,"N","Y")</f>
        <v>N</v>
      </c>
      <c r="O417">
        <f>SUM(I416:I417)</f>
        <v>212</v>
      </c>
      <c r="P417">
        <f t="shared" si="41"/>
        <v>81</v>
      </c>
    </row>
    <row r="418" spans="1:16" hidden="1" x14ac:dyDescent="0.3">
      <c r="A418" t="str">
        <f t="shared" si="40"/>
        <v>2016Michael1</v>
      </c>
      <c r="B418">
        <f t="shared" si="36"/>
        <v>897</v>
      </c>
      <c r="C418">
        <f t="shared" si="37"/>
        <v>1468</v>
      </c>
      <c r="D418" t="s">
        <v>23</v>
      </c>
      <c r="E418" t="str">
        <f>D419</f>
        <v>Matt</v>
      </c>
      <c r="F418">
        <v>2016</v>
      </c>
      <c r="G418">
        <v>1</v>
      </c>
      <c r="H418">
        <v>1.1000000000000001</v>
      </c>
      <c r="I418" s="14">
        <v>78</v>
      </c>
      <c r="J418">
        <f>I418-I419</f>
        <v>5</v>
      </c>
      <c r="K418" t="str">
        <f t="shared" si="38"/>
        <v>W</v>
      </c>
      <c r="L418" t="str">
        <f t="shared" si="39"/>
        <v>Michael</v>
      </c>
      <c r="M418" t="str">
        <f>VLOOKUP(L418,References!$A$2:$B$16,2,FALSE)</f>
        <v>AKCOVA</v>
      </c>
      <c r="N418" s="19" t="str">
        <f>IF(M418=M419,"N","Y")</f>
        <v>Y</v>
      </c>
      <c r="O418">
        <f>SUM(I418:I419)</f>
        <v>151</v>
      </c>
      <c r="P418">
        <f t="shared" si="41"/>
        <v>73</v>
      </c>
    </row>
    <row r="419" spans="1:16" hidden="1" x14ac:dyDescent="0.3">
      <c r="A419" t="str">
        <f t="shared" si="40"/>
        <v>2016Matt1</v>
      </c>
      <c r="B419">
        <f t="shared" si="36"/>
        <v>1177</v>
      </c>
      <c r="C419">
        <f t="shared" si="37"/>
        <v>1648</v>
      </c>
      <c r="D419" t="s">
        <v>30</v>
      </c>
      <c r="E419" t="str">
        <f>D418</f>
        <v>Michael</v>
      </c>
      <c r="F419">
        <v>2016</v>
      </c>
      <c r="G419">
        <v>1</v>
      </c>
      <c r="H419">
        <v>1.2</v>
      </c>
      <c r="I419" s="14">
        <v>73</v>
      </c>
      <c r="J419">
        <f>I419-I418</f>
        <v>-5</v>
      </c>
      <c r="K419" t="str">
        <f t="shared" si="38"/>
        <v>L</v>
      </c>
      <c r="L419" t="str">
        <f t="shared" si="39"/>
        <v>Matt</v>
      </c>
      <c r="M419" t="str">
        <f>VLOOKUP(L419,References!$A$2:$B$16,2,FALSE)</f>
        <v>TEXAROK</v>
      </c>
      <c r="N419" s="19" t="str">
        <f>IF(M419=M418,"N","Y")</f>
        <v>Y</v>
      </c>
      <c r="O419">
        <f>SUM(I418:I419)</f>
        <v>151</v>
      </c>
      <c r="P419">
        <f t="shared" si="41"/>
        <v>78</v>
      </c>
    </row>
    <row r="420" spans="1:16" hidden="1" x14ac:dyDescent="0.3">
      <c r="A420" t="str">
        <f t="shared" si="40"/>
        <v>2016Abby1</v>
      </c>
      <c r="B420">
        <f t="shared" si="36"/>
        <v>1914</v>
      </c>
      <c r="C420">
        <f t="shared" si="37"/>
        <v>857</v>
      </c>
      <c r="D420" t="s">
        <v>27</v>
      </c>
      <c r="E420" t="str">
        <f>D421</f>
        <v>Russell</v>
      </c>
      <c r="F420">
        <v>2016</v>
      </c>
      <c r="G420">
        <v>1</v>
      </c>
      <c r="H420">
        <v>2.1</v>
      </c>
      <c r="I420" s="14">
        <v>95</v>
      </c>
      <c r="J420">
        <f>I420-I421</f>
        <v>-42</v>
      </c>
      <c r="K420" t="str">
        <f t="shared" si="38"/>
        <v>L</v>
      </c>
      <c r="L420" t="str">
        <f t="shared" si="39"/>
        <v>Abby</v>
      </c>
      <c r="M420" t="str">
        <f>VLOOKUP(L420,References!$A$2:$B$16,2,FALSE)</f>
        <v>AKCOVA</v>
      </c>
      <c r="N420" s="19" t="str">
        <f>IF(M420=M421,"N","Y")</f>
        <v>Y</v>
      </c>
      <c r="O420">
        <f>SUM(I420:I421)</f>
        <v>232</v>
      </c>
      <c r="P420">
        <f t="shared" si="41"/>
        <v>137</v>
      </c>
    </row>
    <row r="421" spans="1:16" hidden="1" x14ac:dyDescent="0.3">
      <c r="A421" t="str">
        <f t="shared" si="40"/>
        <v>2016Russell1</v>
      </c>
      <c r="B421">
        <f t="shared" si="36"/>
        <v>173</v>
      </c>
      <c r="C421">
        <f t="shared" si="37"/>
        <v>70</v>
      </c>
      <c r="D421" t="s">
        <v>28</v>
      </c>
      <c r="E421" t="str">
        <f>D420</f>
        <v>Abby</v>
      </c>
      <c r="F421">
        <v>2016</v>
      </c>
      <c r="G421">
        <v>1</v>
      </c>
      <c r="H421">
        <v>2.2000000000000002</v>
      </c>
      <c r="I421" s="14">
        <v>137</v>
      </c>
      <c r="J421">
        <f>I421-I420</f>
        <v>42</v>
      </c>
      <c r="K421" t="str">
        <f t="shared" si="38"/>
        <v>W</v>
      </c>
      <c r="L421" t="str">
        <f t="shared" si="39"/>
        <v>Russell</v>
      </c>
      <c r="M421" t="str">
        <f>VLOOKUP(L421,References!$A$2:$B$16,2,FALSE)</f>
        <v>TEXAROK</v>
      </c>
      <c r="N421" s="19" t="str">
        <f>IF(M421=M420,"N","Y")</f>
        <v>Y</v>
      </c>
      <c r="O421">
        <f>SUM(I420:I421)</f>
        <v>232</v>
      </c>
      <c r="P421">
        <f t="shared" si="41"/>
        <v>95</v>
      </c>
    </row>
    <row r="422" spans="1:16" hidden="1" x14ac:dyDescent="0.3">
      <c r="A422" t="str">
        <f t="shared" si="40"/>
        <v>2016BR1</v>
      </c>
      <c r="B422">
        <f t="shared" si="36"/>
        <v>897</v>
      </c>
      <c r="C422">
        <f t="shared" si="37"/>
        <v>462</v>
      </c>
      <c r="D422" t="s">
        <v>25</v>
      </c>
      <c r="E422" t="str">
        <f>D423</f>
        <v>Watty</v>
      </c>
      <c r="F422">
        <v>2016</v>
      </c>
      <c r="G422">
        <v>1</v>
      </c>
      <c r="H422">
        <v>3.1</v>
      </c>
      <c r="I422" s="14">
        <v>108</v>
      </c>
      <c r="J422">
        <f>I422-I423</f>
        <v>5</v>
      </c>
      <c r="K422" t="str">
        <f t="shared" si="38"/>
        <v>W</v>
      </c>
      <c r="L422" t="str">
        <f t="shared" si="39"/>
        <v>BR</v>
      </c>
      <c r="M422" t="str">
        <f>VLOOKUP(L422,References!$A$2:$B$16,2,FALSE)</f>
        <v>AKCOVA</v>
      </c>
      <c r="N422" s="19" t="str">
        <f>IF(M422=M423,"N","Y")</f>
        <v>N</v>
      </c>
      <c r="O422">
        <f>SUM(I422:I423)</f>
        <v>211</v>
      </c>
      <c r="P422">
        <f t="shared" si="41"/>
        <v>103</v>
      </c>
    </row>
    <row r="423" spans="1:16" hidden="1" x14ac:dyDescent="0.3">
      <c r="A423" t="str">
        <f t="shared" si="40"/>
        <v>2016Watty1</v>
      </c>
      <c r="B423">
        <f t="shared" si="36"/>
        <v>1177</v>
      </c>
      <c r="C423">
        <f t="shared" si="37"/>
        <v>603</v>
      </c>
      <c r="D423" t="s">
        <v>24</v>
      </c>
      <c r="E423" t="str">
        <f>D422</f>
        <v>BR</v>
      </c>
      <c r="F423">
        <v>2016</v>
      </c>
      <c r="G423">
        <v>1</v>
      </c>
      <c r="H423">
        <v>3.2</v>
      </c>
      <c r="I423" s="14">
        <v>103</v>
      </c>
      <c r="J423">
        <f>I423-I422</f>
        <v>-5</v>
      </c>
      <c r="K423" t="str">
        <f t="shared" si="38"/>
        <v>L</v>
      </c>
      <c r="L423" t="str">
        <f t="shared" si="39"/>
        <v>Watty</v>
      </c>
      <c r="M423" t="str">
        <f>VLOOKUP(L423,References!$A$2:$B$16,2,FALSE)</f>
        <v>AKCOVA</v>
      </c>
      <c r="N423" s="19" t="str">
        <f>IF(M423=M422,"N","Y")</f>
        <v>N</v>
      </c>
      <c r="O423">
        <f>SUM(I422:I423)</f>
        <v>211</v>
      </c>
      <c r="P423">
        <f t="shared" si="41"/>
        <v>108</v>
      </c>
    </row>
    <row r="424" spans="1:16" hidden="1" x14ac:dyDescent="0.3">
      <c r="A424" t="str">
        <f t="shared" si="40"/>
        <v>2016Emily1</v>
      </c>
      <c r="B424">
        <f t="shared" si="36"/>
        <v>1497</v>
      </c>
      <c r="C424">
        <f t="shared" si="37"/>
        <v>1684</v>
      </c>
      <c r="D424" t="s">
        <v>43</v>
      </c>
      <c r="E424" t="str">
        <f>D425</f>
        <v>David</v>
      </c>
      <c r="F424">
        <v>2016</v>
      </c>
      <c r="G424">
        <v>1</v>
      </c>
      <c r="H424">
        <v>4.0999999999999996</v>
      </c>
      <c r="I424" s="14">
        <v>72</v>
      </c>
      <c r="J424">
        <f>I424-I425</f>
        <v>-18</v>
      </c>
      <c r="K424" t="str">
        <f t="shared" si="38"/>
        <v>L</v>
      </c>
      <c r="L424" t="str">
        <f t="shared" si="39"/>
        <v>Emily</v>
      </c>
      <c r="M424" t="str">
        <f>VLOOKUP(L424,References!$A$2:$B$16,2,FALSE)</f>
        <v>TEXAROK</v>
      </c>
      <c r="N424" s="19" t="str">
        <f>IF(M424=M425,"N","Y")</f>
        <v>N</v>
      </c>
      <c r="O424">
        <f>SUM(I424:I425)</f>
        <v>162</v>
      </c>
      <c r="P424">
        <f t="shared" si="41"/>
        <v>90</v>
      </c>
    </row>
    <row r="425" spans="1:16" hidden="1" x14ac:dyDescent="0.3">
      <c r="A425" t="str">
        <f t="shared" si="40"/>
        <v>2016David1</v>
      </c>
      <c r="B425">
        <f t="shared" si="36"/>
        <v>571</v>
      </c>
      <c r="C425">
        <f t="shared" si="37"/>
        <v>1027</v>
      </c>
      <c r="D425" t="s">
        <v>29</v>
      </c>
      <c r="E425" t="str">
        <f>D424</f>
        <v>Emily</v>
      </c>
      <c r="F425">
        <v>2016</v>
      </c>
      <c r="G425">
        <v>1</v>
      </c>
      <c r="H425">
        <v>4.2</v>
      </c>
      <c r="I425" s="14">
        <v>90</v>
      </c>
      <c r="J425">
        <f>I425-I424</f>
        <v>18</v>
      </c>
      <c r="K425" t="str">
        <f t="shared" si="38"/>
        <v>W</v>
      </c>
      <c r="L425" t="str">
        <f t="shared" si="39"/>
        <v>David</v>
      </c>
      <c r="M425" t="str">
        <f>VLOOKUP(L425,References!$A$2:$B$16,2,FALSE)</f>
        <v>TEXAROK</v>
      </c>
      <c r="N425" s="19" t="str">
        <f>IF(M425=M424,"N","Y")</f>
        <v>N</v>
      </c>
      <c r="O425">
        <f>SUM(I424:I425)</f>
        <v>162</v>
      </c>
      <c r="P425">
        <f t="shared" si="41"/>
        <v>72</v>
      </c>
    </row>
    <row r="426" spans="1:16" hidden="1" x14ac:dyDescent="0.3">
      <c r="A426" t="str">
        <f t="shared" si="40"/>
        <v>2016Brent1</v>
      </c>
      <c r="B426">
        <f t="shared" si="36"/>
        <v>489</v>
      </c>
      <c r="C426">
        <f t="shared" si="37"/>
        <v>540</v>
      </c>
      <c r="D426" t="s">
        <v>47</v>
      </c>
      <c r="E426" t="str">
        <f>D427</f>
        <v>Mark</v>
      </c>
      <c r="F426">
        <v>2016</v>
      </c>
      <c r="G426">
        <v>1</v>
      </c>
      <c r="H426">
        <v>5.0999999999999996</v>
      </c>
      <c r="I426" s="14">
        <v>105</v>
      </c>
      <c r="J426">
        <f>I426-I427</f>
        <v>21</v>
      </c>
      <c r="K426" t="str">
        <f t="shared" si="38"/>
        <v>W</v>
      </c>
      <c r="L426" t="str">
        <f t="shared" si="39"/>
        <v>Brent</v>
      </c>
      <c r="M426" t="str">
        <f>VLOOKUP(L426,References!$A$2:$B$16,2,FALSE)</f>
        <v>TEXAROK</v>
      </c>
      <c r="N426" s="19" t="str">
        <f>IF(M426=M427,"N","Y")</f>
        <v>Y</v>
      </c>
      <c r="O426">
        <f>SUM(I426:I427)</f>
        <v>189</v>
      </c>
      <c r="P426">
        <f t="shared" si="41"/>
        <v>84</v>
      </c>
    </row>
    <row r="427" spans="1:16" hidden="1" x14ac:dyDescent="0.3">
      <c r="A427" t="str">
        <f t="shared" si="40"/>
        <v>2016Mark1</v>
      </c>
      <c r="B427">
        <f t="shared" si="36"/>
        <v>1577</v>
      </c>
      <c r="C427">
        <f t="shared" si="37"/>
        <v>1241</v>
      </c>
      <c r="D427" t="s">
        <v>22</v>
      </c>
      <c r="E427" t="str">
        <f>D426</f>
        <v>Brent</v>
      </c>
      <c r="F427">
        <v>2016</v>
      </c>
      <c r="G427">
        <v>1</v>
      </c>
      <c r="H427">
        <v>5.2</v>
      </c>
      <c r="I427" s="14">
        <v>84</v>
      </c>
      <c r="J427">
        <f>I427-I426</f>
        <v>-21</v>
      </c>
      <c r="K427" t="str">
        <f t="shared" si="38"/>
        <v>L</v>
      </c>
      <c r="L427" t="str">
        <f t="shared" si="39"/>
        <v>Mark</v>
      </c>
      <c r="M427" t="str">
        <f>VLOOKUP(L427,References!$A$2:$B$16,2,FALSE)</f>
        <v>AKCOVA</v>
      </c>
      <c r="N427" s="19" t="str">
        <f>IF(M427=M426,"N","Y")</f>
        <v>Y</v>
      </c>
      <c r="O427">
        <f>SUM(I426:I427)</f>
        <v>189</v>
      </c>
      <c r="P427">
        <f t="shared" si="41"/>
        <v>105</v>
      </c>
    </row>
    <row r="428" spans="1:16" hidden="1" x14ac:dyDescent="0.3">
      <c r="A428" t="str">
        <f t="shared" si="40"/>
        <v>2016Charles1</v>
      </c>
      <c r="B428">
        <f t="shared" si="36"/>
        <v>5</v>
      </c>
      <c r="C428">
        <f t="shared" si="37"/>
        <v>52</v>
      </c>
      <c r="D428" t="s">
        <v>48</v>
      </c>
      <c r="E428" t="str">
        <f>D429</f>
        <v>Brian</v>
      </c>
      <c r="F428">
        <v>2016</v>
      </c>
      <c r="G428">
        <v>1</v>
      </c>
      <c r="H428">
        <v>6.1</v>
      </c>
      <c r="I428" s="14">
        <v>141</v>
      </c>
      <c r="J428">
        <f>I428-I429</f>
        <v>87</v>
      </c>
      <c r="K428" t="str">
        <f t="shared" si="38"/>
        <v>W</v>
      </c>
      <c r="L428" t="str">
        <f t="shared" si="39"/>
        <v>Charles</v>
      </c>
      <c r="M428" t="str">
        <f>VLOOKUP(L428,References!$A$2:$B$16,2,FALSE)</f>
        <v>AKCOVA</v>
      </c>
      <c r="N428" s="19" t="str">
        <f>IF(M428=M429,"N","Y")</f>
        <v>Y</v>
      </c>
      <c r="O428">
        <f>SUM(I428:I429)</f>
        <v>195</v>
      </c>
      <c r="P428">
        <f t="shared" si="41"/>
        <v>54</v>
      </c>
    </row>
    <row r="429" spans="1:16" hidden="1" x14ac:dyDescent="0.3">
      <c r="A429" t="str">
        <f t="shared" si="40"/>
        <v>2016Brian1</v>
      </c>
      <c r="B429">
        <f t="shared" si="36"/>
        <v>2088</v>
      </c>
      <c r="C429">
        <f t="shared" si="37"/>
        <v>2017</v>
      </c>
      <c r="D429" t="s">
        <v>26</v>
      </c>
      <c r="E429" t="str">
        <f>D428</f>
        <v>Charles</v>
      </c>
      <c r="F429">
        <v>2016</v>
      </c>
      <c r="G429">
        <v>1</v>
      </c>
      <c r="H429">
        <v>6.2</v>
      </c>
      <c r="I429" s="14">
        <v>54</v>
      </c>
      <c r="J429">
        <f>I429-I428</f>
        <v>-87</v>
      </c>
      <c r="K429" t="str">
        <f t="shared" si="38"/>
        <v>L</v>
      </c>
      <c r="L429" t="str">
        <f t="shared" si="39"/>
        <v>Brian</v>
      </c>
      <c r="M429" t="str">
        <f>VLOOKUP(L429,References!$A$2:$B$16,2,FALSE)</f>
        <v>TEXAROK</v>
      </c>
      <c r="N429" s="19" t="str">
        <f>IF(M429=M428,"N","Y")</f>
        <v>Y</v>
      </c>
      <c r="O429">
        <f>SUM(I428:I429)</f>
        <v>195</v>
      </c>
      <c r="P429">
        <f t="shared" si="41"/>
        <v>141</v>
      </c>
    </row>
    <row r="430" spans="1:16" hidden="1" x14ac:dyDescent="0.3">
      <c r="A430" t="str">
        <f t="shared" si="40"/>
        <v>2016Emily2</v>
      </c>
      <c r="B430">
        <f t="shared" si="36"/>
        <v>1869</v>
      </c>
      <c r="C430">
        <f t="shared" si="37"/>
        <v>2017</v>
      </c>
      <c r="D430" t="s">
        <v>43</v>
      </c>
      <c r="E430" t="str">
        <f>D431</f>
        <v>Michael</v>
      </c>
      <c r="F430">
        <v>2016</v>
      </c>
      <c r="G430">
        <v>2</v>
      </c>
      <c r="H430">
        <v>1.1000000000000001</v>
      </c>
      <c r="I430" s="14">
        <v>54</v>
      </c>
      <c r="J430">
        <f>I430-I431</f>
        <v>-38</v>
      </c>
      <c r="K430" t="str">
        <f t="shared" si="38"/>
        <v>L</v>
      </c>
      <c r="L430" t="str">
        <f t="shared" si="39"/>
        <v>Emily</v>
      </c>
      <c r="M430" t="str">
        <f>VLOOKUP(L430,References!$A$2:$B$16,2,FALSE)</f>
        <v>TEXAROK</v>
      </c>
      <c r="N430" s="19" t="str">
        <f>IF(M430=M431,"N","Y")</f>
        <v>Y</v>
      </c>
      <c r="O430">
        <f>SUM(I430:I431)</f>
        <v>146</v>
      </c>
      <c r="P430">
        <f t="shared" si="41"/>
        <v>92</v>
      </c>
    </row>
    <row r="431" spans="1:16" hidden="1" x14ac:dyDescent="0.3">
      <c r="A431" t="str">
        <f t="shared" si="40"/>
        <v>2016Michael2</v>
      </c>
      <c r="B431">
        <f t="shared" si="36"/>
        <v>210</v>
      </c>
      <c r="C431">
        <f t="shared" si="37"/>
        <v>958</v>
      </c>
      <c r="D431" t="s">
        <v>23</v>
      </c>
      <c r="E431" t="str">
        <f>D430</f>
        <v>Emily</v>
      </c>
      <c r="F431">
        <v>2016</v>
      </c>
      <c r="G431">
        <v>2</v>
      </c>
      <c r="H431">
        <v>1.2</v>
      </c>
      <c r="I431" s="14">
        <v>92</v>
      </c>
      <c r="J431">
        <f>I431-I430</f>
        <v>38</v>
      </c>
      <c r="K431" t="str">
        <f t="shared" si="38"/>
        <v>W</v>
      </c>
      <c r="L431" t="str">
        <f t="shared" si="39"/>
        <v>Michael</v>
      </c>
      <c r="M431" t="str">
        <f>VLOOKUP(L431,References!$A$2:$B$16,2,FALSE)</f>
        <v>AKCOVA</v>
      </c>
      <c r="N431" s="19" t="str">
        <f>IF(M431=M430,"N","Y")</f>
        <v>Y</v>
      </c>
      <c r="O431">
        <f>SUM(I430:I431)</f>
        <v>146</v>
      </c>
      <c r="P431">
        <f t="shared" si="41"/>
        <v>54</v>
      </c>
    </row>
    <row r="432" spans="1:16" hidden="1" x14ac:dyDescent="0.3">
      <c r="A432" t="str">
        <f t="shared" si="40"/>
        <v>2016David2</v>
      </c>
      <c r="B432">
        <f t="shared" si="36"/>
        <v>865</v>
      </c>
      <c r="C432">
        <f t="shared" si="37"/>
        <v>1648</v>
      </c>
      <c r="D432" t="s">
        <v>29</v>
      </c>
      <c r="E432" t="str">
        <f>D433</f>
        <v>Russell</v>
      </c>
      <c r="F432">
        <v>2016</v>
      </c>
      <c r="G432">
        <v>2</v>
      </c>
      <c r="H432">
        <v>2.1</v>
      </c>
      <c r="I432" s="14">
        <v>73</v>
      </c>
      <c r="J432">
        <f>I432-I433</f>
        <v>6</v>
      </c>
      <c r="K432" t="str">
        <f t="shared" si="38"/>
        <v>W</v>
      </c>
      <c r="L432" t="str">
        <f t="shared" si="39"/>
        <v>David</v>
      </c>
      <c r="M432" t="str">
        <f>VLOOKUP(L432,References!$A$2:$B$16,2,FALSE)</f>
        <v>TEXAROK</v>
      </c>
      <c r="N432" s="19" t="str">
        <f>IF(M432=M433,"N","Y")</f>
        <v>N</v>
      </c>
      <c r="O432">
        <f>SUM(I432:I433)</f>
        <v>140</v>
      </c>
      <c r="P432">
        <f t="shared" si="41"/>
        <v>67</v>
      </c>
    </row>
    <row r="433" spans="1:16" hidden="1" x14ac:dyDescent="0.3">
      <c r="A433" t="str">
        <f t="shared" si="40"/>
        <v>2016Russell2</v>
      </c>
      <c r="B433">
        <f t="shared" si="36"/>
        <v>1197</v>
      </c>
      <c r="C433">
        <f t="shared" si="37"/>
        <v>1815</v>
      </c>
      <c r="D433" t="s">
        <v>28</v>
      </c>
      <c r="E433" t="str">
        <f>D432</f>
        <v>David</v>
      </c>
      <c r="F433">
        <v>2016</v>
      </c>
      <c r="G433">
        <v>2</v>
      </c>
      <c r="H433">
        <v>2.2000000000000002</v>
      </c>
      <c r="I433" s="14">
        <v>67</v>
      </c>
      <c r="J433">
        <f>I433-I432</f>
        <v>-6</v>
      </c>
      <c r="K433" t="str">
        <f t="shared" si="38"/>
        <v>L</v>
      </c>
      <c r="L433" t="str">
        <f t="shared" si="39"/>
        <v>Russell</v>
      </c>
      <c r="M433" t="str">
        <f>VLOOKUP(L433,References!$A$2:$B$16,2,FALSE)</f>
        <v>TEXAROK</v>
      </c>
      <c r="N433" s="19" t="str">
        <f>IF(M433=M432,"N","Y")</f>
        <v>N</v>
      </c>
      <c r="O433">
        <f>SUM(I432:I433)</f>
        <v>140</v>
      </c>
      <c r="P433">
        <f t="shared" si="41"/>
        <v>73</v>
      </c>
    </row>
    <row r="434" spans="1:16" hidden="1" x14ac:dyDescent="0.3">
      <c r="A434" t="str">
        <f t="shared" si="40"/>
        <v>2016Mark2</v>
      </c>
      <c r="B434">
        <f t="shared" si="36"/>
        <v>1258</v>
      </c>
      <c r="C434">
        <f t="shared" si="37"/>
        <v>1055</v>
      </c>
      <c r="D434" t="s">
        <v>22</v>
      </c>
      <c r="E434" t="str">
        <f>D435</f>
        <v>Charles</v>
      </c>
      <c r="F434">
        <v>2016</v>
      </c>
      <c r="G434">
        <v>2</v>
      </c>
      <c r="H434">
        <v>3.1</v>
      </c>
      <c r="I434" s="14">
        <v>89</v>
      </c>
      <c r="J434">
        <f>I434-I435</f>
        <v>-8</v>
      </c>
      <c r="K434" t="str">
        <f t="shared" si="38"/>
        <v>L</v>
      </c>
      <c r="L434" t="str">
        <f t="shared" si="39"/>
        <v>Mark</v>
      </c>
      <c r="M434" t="str">
        <f>VLOOKUP(L434,References!$A$2:$B$16,2,FALSE)</f>
        <v>AKCOVA</v>
      </c>
      <c r="N434" s="19" t="str">
        <f>IF(M434=M435,"N","Y")</f>
        <v>N</v>
      </c>
      <c r="O434">
        <f>SUM(I434:I435)</f>
        <v>186</v>
      </c>
      <c r="P434">
        <f t="shared" si="41"/>
        <v>97</v>
      </c>
    </row>
    <row r="435" spans="1:16" hidden="1" x14ac:dyDescent="0.3">
      <c r="A435" t="str">
        <f t="shared" si="40"/>
        <v>2016Charles2</v>
      </c>
      <c r="B435">
        <f t="shared" si="36"/>
        <v>803</v>
      </c>
      <c r="C435">
        <f t="shared" si="37"/>
        <v>777</v>
      </c>
      <c r="D435" t="s">
        <v>48</v>
      </c>
      <c r="E435" t="str">
        <f>D434</f>
        <v>Mark</v>
      </c>
      <c r="F435">
        <v>2016</v>
      </c>
      <c r="G435">
        <v>2</v>
      </c>
      <c r="H435">
        <v>3.2</v>
      </c>
      <c r="I435" s="14">
        <v>97</v>
      </c>
      <c r="J435">
        <f>I435-I434</f>
        <v>8</v>
      </c>
      <c r="K435" t="str">
        <f t="shared" si="38"/>
        <v>W</v>
      </c>
      <c r="L435" t="str">
        <f t="shared" si="39"/>
        <v>Charles</v>
      </c>
      <c r="M435" t="str">
        <f>VLOOKUP(L435,References!$A$2:$B$16,2,FALSE)</f>
        <v>AKCOVA</v>
      </c>
      <c r="N435" s="19" t="str">
        <f>IF(M435=M434,"N","Y")</f>
        <v>N</v>
      </c>
      <c r="O435">
        <f>SUM(I434:I435)</f>
        <v>186</v>
      </c>
      <c r="P435">
        <f t="shared" si="41"/>
        <v>89</v>
      </c>
    </row>
    <row r="436" spans="1:16" hidden="1" x14ac:dyDescent="0.3">
      <c r="A436" t="str">
        <f t="shared" si="40"/>
        <v>2016Matt2</v>
      </c>
      <c r="B436">
        <f t="shared" si="36"/>
        <v>1055</v>
      </c>
      <c r="C436">
        <f t="shared" si="37"/>
        <v>1100</v>
      </c>
      <c r="D436" t="s">
        <v>30</v>
      </c>
      <c r="E436" t="str">
        <f>D437</f>
        <v>Brent</v>
      </c>
      <c r="F436">
        <v>2016</v>
      </c>
      <c r="G436">
        <v>2</v>
      </c>
      <c r="H436">
        <v>4.0999999999999996</v>
      </c>
      <c r="I436" s="14">
        <v>88</v>
      </c>
      <c r="J436">
        <f>I436-I437</f>
        <v>-1</v>
      </c>
      <c r="K436" t="str">
        <f t="shared" si="38"/>
        <v>L</v>
      </c>
      <c r="L436" t="str">
        <f t="shared" si="39"/>
        <v>Matt</v>
      </c>
      <c r="M436" t="str">
        <f>VLOOKUP(L436,References!$A$2:$B$16,2,FALSE)</f>
        <v>TEXAROK</v>
      </c>
      <c r="N436" s="19" t="str">
        <f>IF(M436=M437,"N","Y")</f>
        <v>N</v>
      </c>
      <c r="O436">
        <f>SUM(I436:I437)</f>
        <v>177</v>
      </c>
      <c r="P436">
        <f t="shared" si="41"/>
        <v>89</v>
      </c>
    </row>
    <row r="437" spans="1:16" hidden="1" x14ac:dyDescent="0.3">
      <c r="A437" t="str">
        <f t="shared" si="40"/>
        <v>2016Brent2</v>
      </c>
      <c r="B437">
        <f t="shared" si="36"/>
        <v>1004</v>
      </c>
      <c r="C437">
        <f t="shared" si="37"/>
        <v>1055</v>
      </c>
      <c r="D437" t="s">
        <v>47</v>
      </c>
      <c r="E437" t="str">
        <f>D436</f>
        <v>Matt</v>
      </c>
      <c r="F437">
        <v>2016</v>
      </c>
      <c r="G437">
        <v>2</v>
      </c>
      <c r="H437">
        <v>4.2</v>
      </c>
      <c r="I437" s="14">
        <v>89</v>
      </c>
      <c r="J437">
        <f>I437-I436</f>
        <v>1</v>
      </c>
      <c r="K437" t="str">
        <f t="shared" si="38"/>
        <v>W</v>
      </c>
      <c r="L437" t="str">
        <f t="shared" si="39"/>
        <v>Brent</v>
      </c>
      <c r="M437" t="str">
        <f>VLOOKUP(L437,References!$A$2:$B$16,2,FALSE)</f>
        <v>TEXAROK</v>
      </c>
      <c r="N437" s="19" t="str">
        <f>IF(M437=M436,"N","Y")</f>
        <v>N</v>
      </c>
      <c r="O437">
        <f>SUM(I436:I437)</f>
        <v>177</v>
      </c>
      <c r="P437">
        <f t="shared" si="41"/>
        <v>88</v>
      </c>
    </row>
    <row r="438" spans="1:16" hidden="1" x14ac:dyDescent="0.3">
      <c r="A438" t="str">
        <f t="shared" si="40"/>
        <v>2016BR2</v>
      </c>
      <c r="B438">
        <f t="shared" si="36"/>
        <v>1546</v>
      </c>
      <c r="C438">
        <f t="shared" si="37"/>
        <v>1055</v>
      </c>
      <c r="D438" t="s">
        <v>25</v>
      </c>
      <c r="E438" t="str">
        <f>D439</f>
        <v>Abby</v>
      </c>
      <c r="F438">
        <v>2016</v>
      </c>
      <c r="G438">
        <v>2</v>
      </c>
      <c r="H438">
        <v>5.0999999999999996</v>
      </c>
      <c r="I438" s="14">
        <v>89</v>
      </c>
      <c r="J438">
        <f>I438-I439</f>
        <v>-20</v>
      </c>
      <c r="K438" t="str">
        <f t="shared" si="38"/>
        <v>L</v>
      </c>
      <c r="L438" t="str">
        <f t="shared" si="39"/>
        <v>BR</v>
      </c>
      <c r="M438" t="str">
        <f>VLOOKUP(L438,References!$A$2:$B$16,2,FALSE)</f>
        <v>AKCOVA</v>
      </c>
      <c r="N438" s="19" t="str">
        <f>IF(M438=M439,"N","Y")</f>
        <v>N</v>
      </c>
      <c r="O438">
        <f>SUM(I438:I439)</f>
        <v>198</v>
      </c>
      <c r="P438">
        <f t="shared" si="41"/>
        <v>109</v>
      </c>
    </row>
    <row r="439" spans="1:16" hidden="1" x14ac:dyDescent="0.3">
      <c r="A439" t="str">
        <f t="shared" si="40"/>
        <v>2016Abby2</v>
      </c>
      <c r="B439">
        <f t="shared" si="36"/>
        <v>517</v>
      </c>
      <c r="C439">
        <f t="shared" si="37"/>
        <v>435</v>
      </c>
      <c r="D439" t="s">
        <v>27</v>
      </c>
      <c r="E439" t="str">
        <f>D438</f>
        <v>BR</v>
      </c>
      <c r="F439">
        <v>2016</v>
      </c>
      <c r="G439">
        <v>2</v>
      </c>
      <c r="H439">
        <v>5.2</v>
      </c>
      <c r="I439" s="14">
        <v>109</v>
      </c>
      <c r="J439">
        <f>I439-I438</f>
        <v>20</v>
      </c>
      <c r="K439" t="str">
        <f t="shared" si="38"/>
        <v>W</v>
      </c>
      <c r="L439" t="str">
        <f t="shared" si="39"/>
        <v>Abby</v>
      </c>
      <c r="M439" t="str">
        <f>VLOOKUP(L439,References!$A$2:$B$16,2,FALSE)</f>
        <v>AKCOVA</v>
      </c>
      <c r="N439" s="19" t="str">
        <f>IF(M439=M438,"N","Y")</f>
        <v>N</v>
      </c>
      <c r="O439">
        <f>SUM(I438:I439)</f>
        <v>198</v>
      </c>
      <c r="P439">
        <f t="shared" si="41"/>
        <v>89</v>
      </c>
    </row>
    <row r="440" spans="1:16" hidden="1" x14ac:dyDescent="0.3">
      <c r="A440" t="str">
        <f t="shared" si="40"/>
        <v>2016Watty2</v>
      </c>
      <c r="B440">
        <f t="shared" si="36"/>
        <v>1702</v>
      </c>
      <c r="C440">
        <f t="shared" si="37"/>
        <v>926</v>
      </c>
      <c r="D440" t="s">
        <v>24</v>
      </c>
      <c r="E440" t="str">
        <f>D441</f>
        <v>Brian</v>
      </c>
      <c r="F440">
        <v>2016</v>
      </c>
      <c r="G440">
        <v>2</v>
      </c>
      <c r="H440">
        <v>6.1</v>
      </c>
      <c r="I440" s="14">
        <v>93</v>
      </c>
      <c r="J440">
        <f>I440-I441</f>
        <v>-27</v>
      </c>
      <c r="K440" t="str">
        <f t="shared" si="38"/>
        <v>L</v>
      </c>
      <c r="L440" t="str">
        <f t="shared" si="39"/>
        <v>Watty</v>
      </c>
      <c r="M440" t="str">
        <f>VLOOKUP(L440,References!$A$2:$B$16,2,FALSE)</f>
        <v>AKCOVA</v>
      </c>
      <c r="N440" s="19" t="str">
        <f>IF(M440=M441,"N","Y")</f>
        <v>Y</v>
      </c>
      <c r="O440">
        <f>SUM(I440:I441)</f>
        <v>213</v>
      </c>
      <c r="P440">
        <f t="shared" si="41"/>
        <v>120</v>
      </c>
    </row>
    <row r="441" spans="1:16" hidden="1" x14ac:dyDescent="0.3">
      <c r="A441" t="str">
        <f t="shared" si="40"/>
        <v>2016Brian2</v>
      </c>
      <c r="B441">
        <f t="shared" si="36"/>
        <v>371</v>
      </c>
      <c r="C441">
        <f t="shared" si="37"/>
        <v>227</v>
      </c>
      <c r="D441" t="s">
        <v>26</v>
      </c>
      <c r="E441" t="str">
        <f>D440</f>
        <v>Watty</v>
      </c>
      <c r="F441">
        <v>2016</v>
      </c>
      <c r="G441">
        <v>2</v>
      </c>
      <c r="H441">
        <v>6.2</v>
      </c>
      <c r="I441" s="14">
        <v>120</v>
      </c>
      <c r="J441">
        <f>I441-I440</f>
        <v>27</v>
      </c>
      <c r="K441" t="str">
        <f t="shared" si="38"/>
        <v>W</v>
      </c>
      <c r="L441" t="str">
        <f t="shared" si="39"/>
        <v>Brian</v>
      </c>
      <c r="M441" t="str">
        <f>VLOOKUP(L441,References!$A$2:$B$16,2,FALSE)</f>
        <v>TEXAROK</v>
      </c>
      <c r="N441" s="19" t="str">
        <f>IF(M441=M440,"N","Y")</f>
        <v>Y</v>
      </c>
      <c r="O441">
        <f>SUM(I440:I441)</f>
        <v>213</v>
      </c>
      <c r="P441">
        <f t="shared" si="41"/>
        <v>93</v>
      </c>
    </row>
    <row r="442" spans="1:16" hidden="1" x14ac:dyDescent="0.3">
      <c r="A442" t="str">
        <f t="shared" si="40"/>
        <v>2016Michael3</v>
      </c>
      <c r="B442">
        <f t="shared" si="36"/>
        <v>2072</v>
      </c>
      <c r="C442">
        <f t="shared" si="37"/>
        <v>2001</v>
      </c>
      <c r="D442" t="s">
        <v>23</v>
      </c>
      <c r="E442" t="str">
        <f>D443</f>
        <v>Brent</v>
      </c>
      <c r="F442">
        <v>2016</v>
      </c>
      <c r="G442">
        <v>3</v>
      </c>
      <c r="H442">
        <v>1.1000000000000001</v>
      </c>
      <c r="I442" s="14">
        <v>56</v>
      </c>
      <c r="J442">
        <f>I442-I443</f>
        <v>-72</v>
      </c>
      <c r="K442" t="str">
        <f t="shared" si="38"/>
        <v>L</v>
      </c>
      <c r="L442" t="str">
        <f t="shared" si="39"/>
        <v>Michael</v>
      </c>
      <c r="M442" t="str">
        <f>VLOOKUP(L442,References!$A$2:$B$16,2,FALSE)</f>
        <v>AKCOVA</v>
      </c>
      <c r="N442" s="19" t="str">
        <f>IF(M442=M443,"N","Y")</f>
        <v>Y</v>
      </c>
      <c r="O442">
        <f>SUM(I442:I443)</f>
        <v>184</v>
      </c>
      <c r="P442">
        <f t="shared" si="41"/>
        <v>128</v>
      </c>
    </row>
    <row r="443" spans="1:16" hidden="1" x14ac:dyDescent="0.3">
      <c r="A443" t="str">
        <f t="shared" si="40"/>
        <v>2016Brent3</v>
      </c>
      <c r="B443">
        <f t="shared" si="36"/>
        <v>18</v>
      </c>
      <c r="C443">
        <f t="shared" si="37"/>
        <v>128</v>
      </c>
      <c r="D443" t="s">
        <v>47</v>
      </c>
      <c r="E443" t="str">
        <f>D442</f>
        <v>Michael</v>
      </c>
      <c r="F443">
        <v>2016</v>
      </c>
      <c r="G443">
        <v>3</v>
      </c>
      <c r="H443">
        <v>1.2</v>
      </c>
      <c r="I443" s="14">
        <v>128</v>
      </c>
      <c r="J443">
        <f>I443-I442</f>
        <v>72</v>
      </c>
      <c r="K443" t="str">
        <f t="shared" si="38"/>
        <v>W</v>
      </c>
      <c r="L443" t="str">
        <f t="shared" si="39"/>
        <v>Brent</v>
      </c>
      <c r="M443" t="str">
        <f>VLOOKUP(L443,References!$A$2:$B$16,2,FALSE)</f>
        <v>TEXAROK</v>
      </c>
      <c r="N443" s="19" t="str">
        <f>IF(M443=M442,"N","Y")</f>
        <v>Y</v>
      </c>
      <c r="O443">
        <f>SUM(I442:I443)</f>
        <v>184</v>
      </c>
      <c r="P443">
        <f t="shared" si="41"/>
        <v>56</v>
      </c>
    </row>
    <row r="444" spans="1:16" hidden="1" x14ac:dyDescent="0.3">
      <c r="A444" t="str">
        <f t="shared" si="40"/>
        <v>2016David3</v>
      </c>
      <c r="B444">
        <f t="shared" si="36"/>
        <v>356</v>
      </c>
      <c r="C444">
        <f t="shared" si="37"/>
        <v>292</v>
      </c>
      <c r="D444" t="s">
        <v>29</v>
      </c>
      <c r="E444" t="str">
        <f>D445</f>
        <v>Matt</v>
      </c>
      <c r="F444">
        <v>2016</v>
      </c>
      <c r="G444">
        <v>3</v>
      </c>
      <c r="H444">
        <v>2.1</v>
      </c>
      <c r="I444" s="14">
        <v>116</v>
      </c>
      <c r="J444">
        <f>I444-I445</f>
        <v>28</v>
      </c>
      <c r="K444" t="str">
        <f t="shared" si="38"/>
        <v>W</v>
      </c>
      <c r="L444" t="str">
        <f t="shared" si="39"/>
        <v>David</v>
      </c>
      <c r="M444" t="str">
        <f>VLOOKUP(L444,References!$A$2:$B$16,2,FALSE)</f>
        <v>TEXAROK</v>
      </c>
      <c r="N444" s="19" t="str">
        <f>IF(M444=M445,"N","Y")</f>
        <v>N</v>
      </c>
      <c r="O444">
        <f>SUM(I444:I445)</f>
        <v>204</v>
      </c>
      <c r="P444">
        <f t="shared" si="41"/>
        <v>88</v>
      </c>
    </row>
    <row r="445" spans="1:16" hidden="1" x14ac:dyDescent="0.3">
      <c r="A445" t="str">
        <f t="shared" si="40"/>
        <v>2016Matt3</v>
      </c>
      <c r="B445">
        <f t="shared" si="36"/>
        <v>1723</v>
      </c>
      <c r="C445">
        <f t="shared" si="37"/>
        <v>1100</v>
      </c>
      <c r="D445" t="s">
        <v>30</v>
      </c>
      <c r="E445" t="str">
        <f>D444</f>
        <v>David</v>
      </c>
      <c r="F445">
        <v>2016</v>
      </c>
      <c r="G445">
        <v>3</v>
      </c>
      <c r="H445">
        <v>2.2000000000000002</v>
      </c>
      <c r="I445" s="14">
        <v>88</v>
      </c>
      <c r="J445">
        <f>I445-I444</f>
        <v>-28</v>
      </c>
      <c r="K445" t="str">
        <f t="shared" si="38"/>
        <v>L</v>
      </c>
      <c r="L445" t="str">
        <f t="shared" si="39"/>
        <v>Matt</v>
      </c>
      <c r="M445" t="str">
        <f>VLOOKUP(L445,References!$A$2:$B$16,2,FALSE)</f>
        <v>TEXAROK</v>
      </c>
      <c r="N445" s="19" t="str">
        <f>IF(M445=M444,"N","Y")</f>
        <v>N</v>
      </c>
      <c r="O445">
        <f>SUM(I444:I445)</f>
        <v>204</v>
      </c>
      <c r="P445">
        <f t="shared" si="41"/>
        <v>116</v>
      </c>
    </row>
    <row r="446" spans="1:16" hidden="1" x14ac:dyDescent="0.3">
      <c r="A446" t="str">
        <f t="shared" si="40"/>
        <v>2016Brian3</v>
      </c>
      <c r="B446">
        <f t="shared" si="36"/>
        <v>1644</v>
      </c>
      <c r="C446">
        <f t="shared" si="37"/>
        <v>1738</v>
      </c>
      <c r="D446" t="s">
        <v>26</v>
      </c>
      <c r="E446" t="str">
        <f>D447</f>
        <v>BR</v>
      </c>
      <c r="F446">
        <v>2016</v>
      </c>
      <c r="G446">
        <v>3</v>
      </c>
      <c r="H446">
        <v>3.1</v>
      </c>
      <c r="I446" s="14">
        <v>70</v>
      </c>
      <c r="J446">
        <f>I446-I447</f>
        <v>-24</v>
      </c>
      <c r="K446" t="str">
        <f t="shared" si="38"/>
        <v>L</v>
      </c>
      <c r="L446" t="str">
        <f t="shared" si="39"/>
        <v>Brian</v>
      </c>
      <c r="M446" t="str">
        <f>VLOOKUP(L446,References!$A$2:$B$16,2,FALSE)</f>
        <v>TEXAROK</v>
      </c>
      <c r="N446" s="19" t="str">
        <f>IF(M446=M447,"N","Y")</f>
        <v>Y</v>
      </c>
      <c r="O446">
        <f>SUM(I446:I447)</f>
        <v>164</v>
      </c>
      <c r="P446">
        <f t="shared" si="41"/>
        <v>94</v>
      </c>
    </row>
    <row r="447" spans="1:16" hidden="1" x14ac:dyDescent="0.3">
      <c r="A447" t="str">
        <f t="shared" si="40"/>
        <v>2016BR3</v>
      </c>
      <c r="B447">
        <f t="shared" si="36"/>
        <v>433</v>
      </c>
      <c r="C447">
        <f t="shared" si="37"/>
        <v>893</v>
      </c>
      <c r="D447" t="s">
        <v>25</v>
      </c>
      <c r="E447" t="str">
        <f>D446</f>
        <v>Brian</v>
      </c>
      <c r="F447">
        <v>2016</v>
      </c>
      <c r="G447">
        <v>3</v>
      </c>
      <c r="H447">
        <v>3.2</v>
      </c>
      <c r="I447" s="14">
        <v>94</v>
      </c>
      <c r="J447">
        <f>I447-I446</f>
        <v>24</v>
      </c>
      <c r="K447" t="str">
        <f t="shared" si="38"/>
        <v>W</v>
      </c>
      <c r="L447" t="str">
        <f t="shared" si="39"/>
        <v>BR</v>
      </c>
      <c r="M447" t="str">
        <f>VLOOKUP(L447,References!$A$2:$B$16,2,FALSE)</f>
        <v>AKCOVA</v>
      </c>
      <c r="N447" s="19" t="str">
        <f>IF(M447=M446,"N","Y")</f>
        <v>Y</v>
      </c>
      <c r="O447">
        <f>SUM(I446:I447)</f>
        <v>164</v>
      </c>
      <c r="P447">
        <f t="shared" si="41"/>
        <v>70</v>
      </c>
    </row>
    <row r="448" spans="1:16" hidden="1" x14ac:dyDescent="0.3">
      <c r="A448" t="str">
        <f t="shared" si="40"/>
        <v>2016Russell3</v>
      </c>
      <c r="B448">
        <f t="shared" si="36"/>
        <v>1869</v>
      </c>
      <c r="C448">
        <f t="shared" si="37"/>
        <v>958</v>
      </c>
      <c r="D448" t="s">
        <v>28</v>
      </c>
      <c r="E448" t="str">
        <f>D449</f>
        <v>Emily</v>
      </c>
      <c r="F448">
        <v>2016</v>
      </c>
      <c r="G448">
        <v>3</v>
      </c>
      <c r="H448">
        <v>4.0999999999999996</v>
      </c>
      <c r="I448" s="14">
        <v>92</v>
      </c>
      <c r="J448">
        <f>I448-I449</f>
        <v>-38</v>
      </c>
      <c r="K448" t="str">
        <f t="shared" si="38"/>
        <v>L</v>
      </c>
      <c r="L448" t="str">
        <f t="shared" si="39"/>
        <v>Russell</v>
      </c>
      <c r="M448" t="str">
        <f>VLOOKUP(L448,References!$A$2:$B$16,2,FALSE)</f>
        <v>TEXAROK</v>
      </c>
      <c r="N448" s="19" t="str">
        <f>IF(M448=M449,"N","Y")</f>
        <v>N</v>
      </c>
      <c r="O448">
        <f>SUM(I448:I449)</f>
        <v>222</v>
      </c>
      <c r="P448">
        <f t="shared" si="41"/>
        <v>130</v>
      </c>
    </row>
    <row r="449" spans="1:16" hidden="1" x14ac:dyDescent="0.3">
      <c r="A449" t="str">
        <f t="shared" si="40"/>
        <v>2016Emily3</v>
      </c>
      <c r="B449">
        <f t="shared" si="36"/>
        <v>210</v>
      </c>
      <c r="C449">
        <f t="shared" si="37"/>
        <v>111</v>
      </c>
      <c r="D449" t="s">
        <v>43</v>
      </c>
      <c r="E449" t="str">
        <f>D448</f>
        <v>Russell</v>
      </c>
      <c r="F449">
        <v>2016</v>
      </c>
      <c r="G449">
        <v>3</v>
      </c>
      <c r="H449">
        <v>4.2</v>
      </c>
      <c r="I449" s="14">
        <v>130</v>
      </c>
      <c r="J449">
        <f>I449-I448</f>
        <v>38</v>
      </c>
      <c r="K449" t="str">
        <f t="shared" si="38"/>
        <v>W</v>
      </c>
      <c r="L449" t="str">
        <f t="shared" si="39"/>
        <v>Emily</v>
      </c>
      <c r="M449" t="str">
        <f>VLOOKUP(L449,References!$A$2:$B$16,2,FALSE)</f>
        <v>TEXAROK</v>
      </c>
      <c r="N449" s="19" t="str">
        <f>IF(M449=M448,"N","Y")</f>
        <v>N</v>
      </c>
      <c r="O449">
        <f>SUM(I448:I449)</f>
        <v>222</v>
      </c>
      <c r="P449">
        <f t="shared" si="41"/>
        <v>92</v>
      </c>
    </row>
    <row r="450" spans="1:16" hidden="1" x14ac:dyDescent="0.3">
      <c r="A450" t="str">
        <f t="shared" si="40"/>
        <v>2016Abby3</v>
      </c>
      <c r="B450">
        <f t="shared" ref="B450:B513" si="42">RANK(J450,diff)</f>
        <v>262</v>
      </c>
      <c r="C450">
        <f t="shared" ref="C450:C513" si="43">RANK(I450,points)</f>
        <v>566</v>
      </c>
      <c r="D450" t="s">
        <v>27</v>
      </c>
      <c r="E450" t="str">
        <f>D451</f>
        <v>Charles</v>
      </c>
      <c r="F450">
        <v>2016</v>
      </c>
      <c r="G450">
        <v>3</v>
      </c>
      <c r="H450">
        <v>5.0999999999999996</v>
      </c>
      <c r="I450" s="14">
        <v>104</v>
      </c>
      <c r="J450">
        <f>I450-I451</f>
        <v>34</v>
      </c>
      <c r="K450" t="str">
        <f t="shared" ref="K450:K513" si="44">IF(J450&gt;0,"W",IF(J450&lt;0,"L","T"))</f>
        <v>W</v>
      </c>
      <c r="L450" t="str">
        <f t="shared" ref="L450:L513" si="45">D450</f>
        <v>Abby</v>
      </c>
      <c r="M450" t="str">
        <f>VLOOKUP(L450,References!$A$2:$B$16,2,FALSE)</f>
        <v>AKCOVA</v>
      </c>
      <c r="N450" s="19" t="str">
        <f>IF(M450=M451,"N","Y")</f>
        <v>N</v>
      </c>
      <c r="O450">
        <f>SUM(I450:I451)</f>
        <v>174</v>
      </c>
      <c r="P450">
        <f t="shared" si="41"/>
        <v>70</v>
      </c>
    </row>
    <row r="451" spans="1:16" hidden="1" x14ac:dyDescent="0.3">
      <c r="A451" t="str">
        <f t="shared" ref="A451:A514" si="46">F451&amp;D451&amp;G451</f>
        <v>2016Charles3</v>
      </c>
      <c r="B451">
        <f t="shared" si="42"/>
        <v>1824</v>
      </c>
      <c r="C451">
        <f t="shared" si="43"/>
        <v>1738</v>
      </c>
      <c r="D451" t="s">
        <v>48</v>
      </c>
      <c r="E451" t="str">
        <f>D450</f>
        <v>Abby</v>
      </c>
      <c r="F451">
        <v>2016</v>
      </c>
      <c r="G451">
        <v>3</v>
      </c>
      <c r="H451">
        <v>5.2</v>
      </c>
      <c r="I451" s="14">
        <v>70</v>
      </c>
      <c r="J451">
        <f>I451-I450</f>
        <v>-34</v>
      </c>
      <c r="K451" t="str">
        <f t="shared" si="44"/>
        <v>L</v>
      </c>
      <c r="L451" t="str">
        <f t="shared" si="45"/>
        <v>Charles</v>
      </c>
      <c r="M451" t="str">
        <f>VLOOKUP(L451,References!$A$2:$B$16,2,FALSE)</f>
        <v>AKCOVA</v>
      </c>
      <c r="N451" s="19" t="str">
        <f>IF(M451=M450,"N","Y")</f>
        <v>N</v>
      </c>
      <c r="O451">
        <f>SUM(I450:I451)</f>
        <v>174</v>
      </c>
      <c r="P451">
        <f t="shared" ref="P451:P514" si="47">I451-J451</f>
        <v>104</v>
      </c>
    </row>
    <row r="452" spans="1:16" hidden="1" x14ac:dyDescent="0.3">
      <c r="A452" t="str">
        <f t="shared" si="46"/>
        <v>2016Watty3</v>
      </c>
      <c r="B452">
        <f t="shared" si="42"/>
        <v>1684</v>
      </c>
      <c r="C452">
        <f t="shared" si="43"/>
        <v>1512</v>
      </c>
      <c r="D452" t="s">
        <v>24</v>
      </c>
      <c r="E452" t="str">
        <f>D453</f>
        <v>Mark</v>
      </c>
      <c r="F452">
        <v>2016</v>
      </c>
      <c r="G452">
        <v>3</v>
      </c>
      <c r="H452">
        <v>6.1</v>
      </c>
      <c r="I452" s="14">
        <v>77</v>
      </c>
      <c r="J452">
        <f>I452-I453</f>
        <v>-26</v>
      </c>
      <c r="K452" t="str">
        <f t="shared" si="44"/>
        <v>L</v>
      </c>
      <c r="L452" t="str">
        <f t="shared" si="45"/>
        <v>Watty</v>
      </c>
      <c r="M452" t="str">
        <f>VLOOKUP(L452,References!$A$2:$B$16,2,FALSE)</f>
        <v>AKCOVA</v>
      </c>
      <c r="N452" s="19" t="str">
        <f>IF(M452=M453,"N","Y")</f>
        <v>N</v>
      </c>
      <c r="O452">
        <f>SUM(I452:I453)</f>
        <v>180</v>
      </c>
      <c r="P452">
        <f t="shared" si="47"/>
        <v>103</v>
      </c>
    </row>
    <row r="453" spans="1:16" hidden="1" x14ac:dyDescent="0.3">
      <c r="A453" t="str">
        <f t="shared" si="46"/>
        <v>2016Mark3</v>
      </c>
      <c r="B453">
        <f t="shared" si="42"/>
        <v>392</v>
      </c>
      <c r="C453">
        <f t="shared" si="43"/>
        <v>603</v>
      </c>
      <c r="D453" t="s">
        <v>22</v>
      </c>
      <c r="E453" t="str">
        <f>D452</f>
        <v>Watty</v>
      </c>
      <c r="F453">
        <v>2016</v>
      </c>
      <c r="G453">
        <v>3</v>
      </c>
      <c r="H453">
        <v>6.2</v>
      </c>
      <c r="I453" s="14">
        <v>103</v>
      </c>
      <c r="J453">
        <f>I453-I452</f>
        <v>26</v>
      </c>
      <c r="K453" t="str">
        <f t="shared" si="44"/>
        <v>W</v>
      </c>
      <c r="L453" t="str">
        <f t="shared" si="45"/>
        <v>Mark</v>
      </c>
      <c r="M453" t="str">
        <f>VLOOKUP(L453,References!$A$2:$B$16,2,FALSE)</f>
        <v>AKCOVA</v>
      </c>
      <c r="N453" s="19" t="str">
        <f>IF(M453=M452,"N","Y")</f>
        <v>N</v>
      </c>
      <c r="O453">
        <f>SUM(I452:I453)</f>
        <v>180</v>
      </c>
      <c r="P453">
        <f t="shared" si="47"/>
        <v>77</v>
      </c>
    </row>
    <row r="454" spans="1:16" hidden="1" x14ac:dyDescent="0.3">
      <c r="A454" t="str">
        <f t="shared" si="46"/>
        <v>2016Russell4</v>
      </c>
      <c r="B454">
        <f t="shared" si="42"/>
        <v>836</v>
      </c>
      <c r="C454">
        <f t="shared" si="43"/>
        <v>1173</v>
      </c>
      <c r="D454" t="s">
        <v>28</v>
      </c>
      <c r="E454" t="str">
        <f>D455</f>
        <v>Michael</v>
      </c>
      <c r="F454">
        <v>2016</v>
      </c>
      <c r="G454">
        <v>4</v>
      </c>
      <c r="H454">
        <v>1.1000000000000001</v>
      </c>
      <c r="I454" s="14">
        <v>86</v>
      </c>
      <c r="J454">
        <f>I454-I455</f>
        <v>7</v>
      </c>
      <c r="K454" t="str">
        <f t="shared" si="44"/>
        <v>W</v>
      </c>
      <c r="L454" t="str">
        <f t="shared" si="45"/>
        <v>Russell</v>
      </c>
      <c r="M454" t="str">
        <f>VLOOKUP(L454,References!$A$2:$B$16,2,FALSE)</f>
        <v>TEXAROK</v>
      </c>
      <c r="N454" s="19" t="str">
        <f>IF(M454=M455,"N","Y")</f>
        <v>Y</v>
      </c>
      <c r="O454">
        <f>SUM(I454:I455)</f>
        <v>165</v>
      </c>
      <c r="P454">
        <f t="shared" si="47"/>
        <v>79</v>
      </c>
    </row>
    <row r="455" spans="1:16" x14ac:dyDescent="0.3">
      <c r="A455" t="str">
        <f t="shared" si="46"/>
        <v>2016Michael4</v>
      </c>
      <c r="B455">
        <f t="shared" si="42"/>
        <v>1229</v>
      </c>
      <c r="C455">
        <f t="shared" si="43"/>
        <v>1439</v>
      </c>
      <c r="D455" t="s">
        <v>23</v>
      </c>
      <c r="E455" t="str">
        <f>D454</f>
        <v>Russell</v>
      </c>
      <c r="F455">
        <v>2016</v>
      </c>
      <c r="G455">
        <v>4</v>
      </c>
      <c r="H455">
        <v>1.2</v>
      </c>
      <c r="I455" s="14">
        <v>79</v>
      </c>
      <c r="J455">
        <f>I455-I454</f>
        <v>-7</v>
      </c>
      <c r="K455" t="str">
        <f t="shared" si="44"/>
        <v>L</v>
      </c>
      <c r="L455" t="str">
        <f t="shared" si="45"/>
        <v>Michael</v>
      </c>
      <c r="M455" t="str">
        <f>VLOOKUP(L455,References!$A$2:$B$16,2,FALSE)</f>
        <v>AKCOVA</v>
      </c>
      <c r="N455" s="19" t="str">
        <f>IF(M455=M454,"N","Y")</f>
        <v>Y</v>
      </c>
      <c r="O455">
        <f>SUM(I454:I455)</f>
        <v>165</v>
      </c>
      <c r="P455">
        <f t="shared" si="47"/>
        <v>86</v>
      </c>
    </row>
    <row r="456" spans="1:16" hidden="1" x14ac:dyDescent="0.3">
      <c r="A456" t="str">
        <f t="shared" si="46"/>
        <v>2016Emily4</v>
      </c>
      <c r="B456">
        <f t="shared" si="42"/>
        <v>1970</v>
      </c>
      <c r="C456">
        <f t="shared" si="43"/>
        <v>1767</v>
      </c>
      <c r="D456" t="s">
        <v>43</v>
      </c>
      <c r="E456" t="str">
        <f>D457</f>
        <v>Matt</v>
      </c>
      <c r="F456">
        <v>2016</v>
      </c>
      <c r="G456">
        <v>4</v>
      </c>
      <c r="H456">
        <v>2.1</v>
      </c>
      <c r="I456" s="14">
        <v>69</v>
      </c>
      <c r="J456">
        <f>I456-I457</f>
        <v>-48</v>
      </c>
      <c r="K456" t="str">
        <f t="shared" si="44"/>
        <v>L</v>
      </c>
      <c r="L456" t="str">
        <f t="shared" si="45"/>
        <v>Emily</v>
      </c>
      <c r="M456" t="str">
        <f>VLOOKUP(L456,References!$A$2:$B$16,2,FALSE)</f>
        <v>TEXAROK</v>
      </c>
      <c r="N456" s="19" t="str">
        <f>IF(M456=M457,"N","Y")</f>
        <v>N</v>
      </c>
      <c r="O456">
        <f>SUM(I456:I457)</f>
        <v>186</v>
      </c>
      <c r="P456">
        <f t="shared" si="47"/>
        <v>117</v>
      </c>
    </row>
    <row r="457" spans="1:16" hidden="1" x14ac:dyDescent="0.3">
      <c r="A457" t="str">
        <f t="shared" si="46"/>
        <v>2016Matt4</v>
      </c>
      <c r="B457">
        <f t="shared" si="42"/>
        <v>119</v>
      </c>
      <c r="C457">
        <f t="shared" si="43"/>
        <v>275</v>
      </c>
      <c r="D457" t="s">
        <v>30</v>
      </c>
      <c r="E457" t="str">
        <f>D456</f>
        <v>Emily</v>
      </c>
      <c r="F457">
        <v>2016</v>
      </c>
      <c r="G457">
        <v>4</v>
      </c>
      <c r="H457">
        <v>2.2000000000000002</v>
      </c>
      <c r="I457" s="14">
        <v>117</v>
      </c>
      <c r="J457">
        <f>I457-I456</f>
        <v>48</v>
      </c>
      <c r="K457" t="str">
        <f t="shared" si="44"/>
        <v>W</v>
      </c>
      <c r="L457" t="str">
        <f t="shared" si="45"/>
        <v>Matt</v>
      </c>
      <c r="M457" t="str">
        <f>VLOOKUP(L457,References!$A$2:$B$16,2,FALSE)</f>
        <v>TEXAROK</v>
      </c>
      <c r="N457" s="19" t="str">
        <f>IF(M457=M456,"N","Y")</f>
        <v>N</v>
      </c>
      <c r="O457">
        <f>SUM(I456:I457)</f>
        <v>186</v>
      </c>
      <c r="P457">
        <f t="shared" si="47"/>
        <v>69</v>
      </c>
    </row>
    <row r="458" spans="1:16" hidden="1" x14ac:dyDescent="0.3">
      <c r="A458" t="str">
        <f t="shared" si="46"/>
        <v>2016Charles4</v>
      </c>
      <c r="B458">
        <f t="shared" si="42"/>
        <v>1357</v>
      </c>
      <c r="C458">
        <f t="shared" si="43"/>
        <v>714</v>
      </c>
      <c r="D458" t="s">
        <v>48</v>
      </c>
      <c r="E458" t="str">
        <f>D459</f>
        <v>Watty</v>
      </c>
      <c r="F458">
        <v>2016</v>
      </c>
      <c r="G458">
        <v>4</v>
      </c>
      <c r="H458">
        <v>3.1</v>
      </c>
      <c r="I458" s="14">
        <v>99</v>
      </c>
      <c r="J458">
        <f>I458-I459</f>
        <v>-12</v>
      </c>
      <c r="K458" t="str">
        <f t="shared" si="44"/>
        <v>L</v>
      </c>
      <c r="L458" t="str">
        <f t="shared" si="45"/>
        <v>Charles</v>
      </c>
      <c r="M458" t="str">
        <f>VLOOKUP(L458,References!$A$2:$B$16,2,FALSE)</f>
        <v>AKCOVA</v>
      </c>
      <c r="N458" s="19" t="str">
        <f>IF(M458=M459,"N","Y")</f>
        <v>N</v>
      </c>
      <c r="O458">
        <f>SUM(I458:I459)</f>
        <v>210</v>
      </c>
      <c r="P458">
        <f t="shared" si="47"/>
        <v>111</v>
      </c>
    </row>
    <row r="459" spans="1:16" hidden="1" x14ac:dyDescent="0.3">
      <c r="A459" t="str">
        <f t="shared" si="46"/>
        <v>2016Watty4</v>
      </c>
      <c r="B459">
        <f t="shared" si="42"/>
        <v>713</v>
      </c>
      <c r="C459">
        <f t="shared" si="43"/>
        <v>383</v>
      </c>
      <c r="D459" t="s">
        <v>24</v>
      </c>
      <c r="E459" t="str">
        <f>D458</f>
        <v>Charles</v>
      </c>
      <c r="F459">
        <v>2016</v>
      </c>
      <c r="G459">
        <v>4</v>
      </c>
      <c r="H459">
        <v>3.2</v>
      </c>
      <c r="I459" s="14">
        <v>111</v>
      </c>
      <c r="J459">
        <f>I459-I458</f>
        <v>12</v>
      </c>
      <c r="K459" t="str">
        <f t="shared" si="44"/>
        <v>W</v>
      </c>
      <c r="L459" t="str">
        <f t="shared" si="45"/>
        <v>Watty</v>
      </c>
      <c r="M459" t="str">
        <f>VLOOKUP(L459,References!$A$2:$B$16,2,FALSE)</f>
        <v>AKCOVA</v>
      </c>
      <c r="N459" s="19" t="str">
        <f>IF(M459=M458,"N","Y")</f>
        <v>N</v>
      </c>
      <c r="O459">
        <f>SUM(I458:I459)</f>
        <v>210</v>
      </c>
      <c r="P459">
        <f t="shared" si="47"/>
        <v>99</v>
      </c>
    </row>
    <row r="460" spans="1:16" hidden="1" x14ac:dyDescent="0.3">
      <c r="A460" t="str">
        <f t="shared" si="46"/>
        <v>2016Brent4</v>
      </c>
      <c r="B460">
        <f t="shared" si="42"/>
        <v>210</v>
      </c>
      <c r="C460">
        <f t="shared" si="43"/>
        <v>486</v>
      </c>
      <c r="D460" t="s">
        <v>47</v>
      </c>
      <c r="E460" t="str">
        <f>D461</f>
        <v>David</v>
      </c>
      <c r="F460">
        <v>2016</v>
      </c>
      <c r="G460">
        <v>4</v>
      </c>
      <c r="H460">
        <v>4.0999999999999996</v>
      </c>
      <c r="I460" s="14">
        <v>107</v>
      </c>
      <c r="J460">
        <f>I460-I461</f>
        <v>38</v>
      </c>
      <c r="K460" t="str">
        <f t="shared" si="44"/>
        <v>W</v>
      </c>
      <c r="L460" t="str">
        <f t="shared" si="45"/>
        <v>Brent</v>
      </c>
      <c r="M460" t="str">
        <f>VLOOKUP(L460,References!$A$2:$B$16,2,FALSE)</f>
        <v>TEXAROK</v>
      </c>
      <c r="N460" s="19" t="str">
        <f>IF(M460=M461,"N","Y")</f>
        <v>N</v>
      </c>
      <c r="O460">
        <f>SUM(I460:I461)</f>
        <v>176</v>
      </c>
      <c r="P460">
        <f t="shared" si="47"/>
        <v>69</v>
      </c>
    </row>
    <row r="461" spans="1:16" hidden="1" x14ac:dyDescent="0.3">
      <c r="A461" t="str">
        <f t="shared" si="46"/>
        <v>2016David4</v>
      </c>
      <c r="B461">
        <f t="shared" si="42"/>
        <v>1869</v>
      </c>
      <c r="C461">
        <f t="shared" si="43"/>
        <v>1767</v>
      </c>
      <c r="D461" t="s">
        <v>29</v>
      </c>
      <c r="E461" t="str">
        <f>D460</f>
        <v>Brent</v>
      </c>
      <c r="F461">
        <v>2016</v>
      </c>
      <c r="G461">
        <v>4</v>
      </c>
      <c r="H461">
        <v>4.2</v>
      </c>
      <c r="I461" s="14">
        <v>69</v>
      </c>
      <c r="J461">
        <f>I461-I460</f>
        <v>-38</v>
      </c>
      <c r="K461" t="str">
        <f t="shared" si="44"/>
        <v>L</v>
      </c>
      <c r="L461" t="str">
        <f t="shared" si="45"/>
        <v>David</v>
      </c>
      <c r="M461" t="str">
        <f>VLOOKUP(L461,References!$A$2:$B$16,2,FALSE)</f>
        <v>TEXAROK</v>
      </c>
      <c r="N461" s="19" t="str">
        <f>IF(M461=M460,"N","Y")</f>
        <v>N</v>
      </c>
      <c r="O461">
        <f>SUM(I460:I461)</f>
        <v>176</v>
      </c>
      <c r="P461">
        <f t="shared" si="47"/>
        <v>107</v>
      </c>
    </row>
    <row r="462" spans="1:16" hidden="1" x14ac:dyDescent="0.3">
      <c r="A462" t="str">
        <f t="shared" si="46"/>
        <v>2016Brian4</v>
      </c>
      <c r="B462">
        <f t="shared" si="42"/>
        <v>1177</v>
      </c>
      <c r="C462">
        <f t="shared" si="43"/>
        <v>1927</v>
      </c>
      <c r="D462" t="s">
        <v>26</v>
      </c>
      <c r="E462" t="str">
        <f>D463</f>
        <v>Abby</v>
      </c>
      <c r="F462">
        <v>2016</v>
      </c>
      <c r="G462">
        <v>4</v>
      </c>
      <c r="H462">
        <v>5.0999999999999996</v>
      </c>
      <c r="I462" s="14">
        <v>61</v>
      </c>
      <c r="J462">
        <f>I462-I463</f>
        <v>-5</v>
      </c>
      <c r="K462" t="str">
        <f t="shared" si="44"/>
        <v>L</v>
      </c>
      <c r="L462" t="str">
        <f t="shared" si="45"/>
        <v>Brian</v>
      </c>
      <c r="M462" t="str">
        <f>VLOOKUP(L462,References!$A$2:$B$16,2,FALSE)</f>
        <v>TEXAROK</v>
      </c>
      <c r="N462" s="19" t="str">
        <f>IF(M462=M463,"N","Y")</f>
        <v>Y</v>
      </c>
      <c r="O462">
        <f>SUM(I462:I463)</f>
        <v>127</v>
      </c>
      <c r="P462">
        <f t="shared" si="47"/>
        <v>66</v>
      </c>
    </row>
    <row r="463" spans="1:16" hidden="1" x14ac:dyDescent="0.3">
      <c r="A463" t="str">
        <f t="shared" si="46"/>
        <v>2016Abby4</v>
      </c>
      <c r="B463">
        <f t="shared" si="42"/>
        <v>897</v>
      </c>
      <c r="C463">
        <f t="shared" si="43"/>
        <v>1833</v>
      </c>
      <c r="D463" t="s">
        <v>27</v>
      </c>
      <c r="E463" t="str">
        <f>D462</f>
        <v>Brian</v>
      </c>
      <c r="F463">
        <v>2016</v>
      </c>
      <c r="G463">
        <v>4</v>
      </c>
      <c r="H463">
        <v>5.2</v>
      </c>
      <c r="I463" s="14">
        <v>66</v>
      </c>
      <c r="J463">
        <f>I463-I462</f>
        <v>5</v>
      </c>
      <c r="K463" t="str">
        <f t="shared" si="44"/>
        <v>W</v>
      </c>
      <c r="L463" t="str">
        <f t="shared" si="45"/>
        <v>Abby</v>
      </c>
      <c r="M463" t="str">
        <f>VLOOKUP(L463,References!$A$2:$B$16,2,FALSE)</f>
        <v>AKCOVA</v>
      </c>
      <c r="N463" s="19" t="str">
        <f>IF(M463=M462,"N","Y")</f>
        <v>Y</v>
      </c>
      <c r="O463">
        <f>SUM(I462:I463)</f>
        <v>127</v>
      </c>
      <c r="P463">
        <f t="shared" si="47"/>
        <v>61</v>
      </c>
    </row>
    <row r="464" spans="1:16" hidden="1" x14ac:dyDescent="0.3">
      <c r="A464" t="str">
        <f t="shared" si="46"/>
        <v>2016BR4</v>
      </c>
      <c r="B464">
        <f t="shared" si="42"/>
        <v>897</v>
      </c>
      <c r="C464">
        <f t="shared" si="43"/>
        <v>822</v>
      </c>
      <c r="D464" t="s">
        <v>25</v>
      </c>
      <c r="E464" t="str">
        <f>D465</f>
        <v>Mark</v>
      </c>
      <c r="F464">
        <v>2016</v>
      </c>
      <c r="G464">
        <v>4</v>
      </c>
      <c r="H464">
        <v>6.1</v>
      </c>
      <c r="I464" s="14">
        <v>96</v>
      </c>
      <c r="J464">
        <f>I464-I465</f>
        <v>5</v>
      </c>
      <c r="K464" t="str">
        <f t="shared" si="44"/>
        <v>W</v>
      </c>
      <c r="L464" t="str">
        <f t="shared" si="45"/>
        <v>BR</v>
      </c>
      <c r="M464" t="str">
        <f>VLOOKUP(L464,References!$A$2:$B$16,2,FALSE)</f>
        <v>AKCOVA</v>
      </c>
      <c r="N464" s="19" t="str">
        <f>IF(M464=M465,"N","Y")</f>
        <v>N</v>
      </c>
      <c r="O464">
        <f>SUM(I464:I465)</f>
        <v>187</v>
      </c>
      <c r="P464">
        <f t="shared" si="47"/>
        <v>91</v>
      </c>
    </row>
    <row r="465" spans="1:16" hidden="1" x14ac:dyDescent="0.3">
      <c r="A465" t="str">
        <f t="shared" si="46"/>
        <v>2016Mark4</v>
      </c>
      <c r="B465">
        <f t="shared" si="42"/>
        <v>1177</v>
      </c>
      <c r="C465">
        <f t="shared" si="43"/>
        <v>992</v>
      </c>
      <c r="D465" t="s">
        <v>22</v>
      </c>
      <c r="E465" t="str">
        <f>D464</f>
        <v>BR</v>
      </c>
      <c r="F465">
        <v>2016</v>
      </c>
      <c r="G465">
        <v>4</v>
      </c>
      <c r="H465">
        <v>6.2</v>
      </c>
      <c r="I465" s="14">
        <v>91</v>
      </c>
      <c r="J465">
        <f>I465-I464</f>
        <v>-5</v>
      </c>
      <c r="K465" t="str">
        <f t="shared" si="44"/>
        <v>L</v>
      </c>
      <c r="L465" t="str">
        <f t="shared" si="45"/>
        <v>Mark</v>
      </c>
      <c r="M465" t="str">
        <f>VLOOKUP(L465,References!$A$2:$B$16,2,FALSE)</f>
        <v>AKCOVA</v>
      </c>
      <c r="N465" s="19" t="str">
        <f>IF(M465=M464,"N","Y")</f>
        <v>N</v>
      </c>
      <c r="O465">
        <f>SUM(I464:I465)</f>
        <v>187</v>
      </c>
      <c r="P465">
        <f t="shared" si="47"/>
        <v>96</v>
      </c>
    </row>
    <row r="466" spans="1:16" hidden="1" x14ac:dyDescent="0.3">
      <c r="A466" t="str">
        <f t="shared" si="46"/>
        <v>2016Michael5</v>
      </c>
      <c r="B466">
        <f t="shared" si="42"/>
        <v>685</v>
      </c>
      <c r="C466">
        <f t="shared" si="43"/>
        <v>822</v>
      </c>
      <c r="D466" t="s">
        <v>23</v>
      </c>
      <c r="E466" t="str">
        <f>D467</f>
        <v>David</v>
      </c>
      <c r="F466">
        <v>2016</v>
      </c>
      <c r="G466">
        <v>5</v>
      </c>
      <c r="H466">
        <v>1.1000000000000001</v>
      </c>
      <c r="I466" s="14">
        <v>96</v>
      </c>
      <c r="J466">
        <f>I466-I467</f>
        <v>13</v>
      </c>
      <c r="K466" t="str">
        <f t="shared" si="44"/>
        <v>W</v>
      </c>
      <c r="L466" t="str">
        <f t="shared" si="45"/>
        <v>Michael</v>
      </c>
      <c r="M466" t="str">
        <f>VLOOKUP(L466,References!$A$2:$B$16,2,FALSE)</f>
        <v>AKCOVA</v>
      </c>
      <c r="N466" s="19" t="str">
        <f>IF(M466=M467,"N","Y")</f>
        <v>Y</v>
      </c>
      <c r="O466">
        <f>SUM(I466:I467)</f>
        <v>179</v>
      </c>
      <c r="P466">
        <f t="shared" si="47"/>
        <v>83</v>
      </c>
    </row>
    <row r="467" spans="1:16" hidden="1" x14ac:dyDescent="0.3">
      <c r="A467" t="str">
        <f t="shared" si="46"/>
        <v>2016David5</v>
      </c>
      <c r="B467">
        <f t="shared" si="42"/>
        <v>1381</v>
      </c>
      <c r="C467">
        <f t="shared" si="43"/>
        <v>1282</v>
      </c>
      <c r="D467" t="s">
        <v>29</v>
      </c>
      <c r="E467" t="str">
        <f>D466</f>
        <v>Michael</v>
      </c>
      <c r="F467">
        <v>2016</v>
      </c>
      <c r="G467">
        <v>5</v>
      </c>
      <c r="H467">
        <v>1.2</v>
      </c>
      <c r="I467" s="14">
        <v>83</v>
      </c>
      <c r="J467">
        <f>I467-I466</f>
        <v>-13</v>
      </c>
      <c r="K467" t="str">
        <f t="shared" si="44"/>
        <v>L</v>
      </c>
      <c r="L467" t="str">
        <f t="shared" si="45"/>
        <v>David</v>
      </c>
      <c r="M467" t="str">
        <f>VLOOKUP(L467,References!$A$2:$B$16,2,FALSE)</f>
        <v>TEXAROK</v>
      </c>
      <c r="N467" s="19" t="str">
        <f>IF(M467=M466,"N","Y")</f>
        <v>Y</v>
      </c>
      <c r="O467">
        <f>SUM(I466:I467)</f>
        <v>179</v>
      </c>
      <c r="P467">
        <f t="shared" si="47"/>
        <v>96</v>
      </c>
    </row>
    <row r="468" spans="1:16" hidden="1" x14ac:dyDescent="0.3">
      <c r="A468" t="str">
        <f t="shared" si="46"/>
        <v>2016Emily5</v>
      </c>
      <c r="B468">
        <f t="shared" si="42"/>
        <v>1546</v>
      </c>
      <c r="C468">
        <f t="shared" si="43"/>
        <v>1684</v>
      </c>
      <c r="D468" t="s">
        <v>43</v>
      </c>
      <c r="E468" t="str">
        <f>D469</f>
        <v>Brent</v>
      </c>
      <c r="F468">
        <v>2016</v>
      </c>
      <c r="G468">
        <v>5</v>
      </c>
      <c r="H468">
        <v>2.1</v>
      </c>
      <c r="I468" s="14">
        <v>72</v>
      </c>
      <c r="J468">
        <f>I468-I469</f>
        <v>-20</v>
      </c>
      <c r="K468" t="str">
        <f t="shared" si="44"/>
        <v>L</v>
      </c>
      <c r="L468" t="str">
        <f t="shared" si="45"/>
        <v>Emily</v>
      </c>
      <c r="M468" t="str">
        <f>VLOOKUP(L468,References!$A$2:$B$16,2,FALSE)</f>
        <v>TEXAROK</v>
      </c>
      <c r="N468" s="19" t="str">
        <f>IF(M468=M469,"N","Y")</f>
        <v>N</v>
      </c>
      <c r="O468">
        <f>SUM(I468:I469)</f>
        <v>164</v>
      </c>
      <c r="P468">
        <f t="shared" si="47"/>
        <v>92</v>
      </c>
    </row>
    <row r="469" spans="1:16" hidden="1" x14ac:dyDescent="0.3">
      <c r="A469" t="str">
        <f t="shared" si="46"/>
        <v>2016Brent5</v>
      </c>
      <c r="B469">
        <f t="shared" si="42"/>
        <v>517</v>
      </c>
      <c r="C469">
        <f t="shared" si="43"/>
        <v>958</v>
      </c>
      <c r="D469" t="s">
        <v>47</v>
      </c>
      <c r="E469" t="str">
        <f>D468</f>
        <v>Emily</v>
      </c>
      <c r="F469">
        <v>2016</v>
      </c>
      <c r="G469">
        <v>5</v>
      </c>
      <c r="H469">
        <v>2.2000000000000002</v>
      </c>
      <c r="I469" s="14">
        <v>92</v>
      </c>
      <c r="J469">
        <f>I469-I468</f>
        <v>20</v>
      </c>
      <c r="K469" t="str">
        <f t="shared" si="44"/>
        <v>W</v>
      </c>
      <c r="L469" t="str">
        <f t="shared" si="45"/>
        <v>Brent</v>
      </c>
      <c r="M469" t="str">
        <f>VLOOKUP(L469,References!$A$2:$B$16,2,FALSE)</f>
        <v>TEXAROK</v>
      </c>
      <c r="N469" s="19" t="str">
        <f>IF(M469=M468,"N","Y")</f>
        <v>N</v>
      </c>
      <c r="O469">
        <f>SUM(I468:I469)</f>
        <v>164</v>
      </c>
      <c r="P469">
        <f t="shared" si="47"/>
        <v>72</v>
      </c>
    </row>
    <row r="470" spans="1:16" hidden="1" x14ac:dyDescent="0.3">
      <c r="A470" t="str">
        <f t="shared" si="46"/>
        <v>2016Mark5</v>
      </c>
      <c r="B470">
        <f t="shared" si="42"/>
        <v>392</v>
      </c>
      <c r="C470">
        <f t="shared" si="43"/>
        <v>1318</v>
      </c>
      <c r="D470" t="s">
        <v>22</v>
      </c>
      <c r="E470" t="str">
        <f>D471</f>
        <v>Brian</v>
      </c>
      <c r="F470">
        <v>2016</v>
      </c>
      <c r="G470">
        <v>5</v>
      </c>
      <c r="H470">
        <v>3.1</v>
      </c>
      <c r="I470" s="14">
        <v>82</v>
      </c>
      <c r="J470">
        <f>I470-I471</f>
        <v>26</v>
      </c>
      <c r="K470" t="str">
        <f t="shared" si="44"/>
        <v>W</v>
      </c>
      <c r="L470" t="str">
        <f t="shared" si="45"/>
        <v>Mark</v>
      </c>
      <c r="M470" t="str">
        <f>VLOOKUP(L470,References!$A$2:$B$16,2,FALSE)</f>
        <v>AKCOVA</v>
      </c>
      <c r="N470" s="19" t="str">
        <f>IF(M470=M471,"N","Y")</f>
        <v>Y</v>
      </c>
      <c r="O470">
        <f>SUM(I470:I471)</f>
        <v>138</v>
      </c>
      <c r="P470">
        <f t="shared" si="47"/>
        <v>56</v>
      </c>
    </row>
    <row r="471" spans="1:16" hidden="1" x14ac:dyDescent="0.3">
      <c r="A471" t="str">
        <f t="shared" si="46"/>
        <v>2016Brian5</v>
      </c>
      <c r="B471">
        <f t="shared" si="42"/>
        <v>1684</v>
      </c>
      <c r="C471">
        <f t="shared" si="43"/>
        <v>2001</v>
      </c>
      <c r="D471" t="s">
        <v>26</v>
      </c>
      <c r="E471" t="str">
        <f>D470</f>
        <v>Mark</v>
      </c>
      <c r="F471">
        <v>2016</v>
      </c>
      <c r="G471">
        <v>5</v>
      </c>
      <c r="H471">
        <v>3.2</v>
      </c>
      <c r="I471" s="14">
        <v>56</v>
      </c>
      <c r="J471">
        <f>I471-I470</f>
        <v>-26</v>
      </c>
      <c r="K471" t="str">
        <f t="shared" si="44"/>
        <v>L</v>
      </c>
      <c r="L471" t="str">
        <f t="shared" si="45"/>
        <v>Brian</v>
      </c>
      <c r="M471" t="str">
        <f>VLOOKUP(L471,References!$A$2:$B$16,2,FALSE)</f>
        <v>TEXAROK</v>
      </c>
      <c r="N471" s="19" t="str">
        <f>IF(M471=M470,"N","Y")</f>
        <v>Y</v>
      </c>
      <c r="O471">
        <f>SUM(I470:I471)</f>
        <v>138</v>
      </c>
      <c r="P471">
        <f t="shared" si="47"/>
        <v>82</v>
      </c>
    </row>
    <row r="472" spans="1:16" hidden="1" x14ac:dyDescent="0.3">
      <c r="A472" t="str">
        <f t="shared" si="46"/>
        <v>2016Matt5</v>
      </c>
      <c r="B472">
        <f t="shared" si="42"/>
        <v>210</v>
      </c>
      <c r="C472">
        <f t="shared" si="43"/>
        <v>211</v>
      </c>
      <c r="D472" t="s">
        <v>30</v>
      </c>
      <c r="E472" t="str">
        <f>D473</f>
        <v>Russell</v>
      </c>
      <c r="F472">
        <v>2016</v>
      </c>
      <c r="G472">
        <v>5</v>
      </c>
      <c r="H472">
        <v>4.0999999999999996</v>
      </c>
      <c r="I472" s="14">
        <v>121</v>
      </c>
      <c r="J472">
        <f>I472-I473</f>
        <v>38</v>
      </c>
      <c r="K472" t="str">
        <f t="shared" si="44"/>
        <v>W</v>
      </c>
      <c r="L472" t="str">
        <f t="shared" si="45"/>
        <v>Matt</v>
      </c>
      <c r="M472" t="str">
        <f>VLOOKUP(L472,References!$A$2:$B$16,2,FALSE)</f>
        <v>TEXAROK</v>
      </c>
      <c r="N472" s="19" t="str">
        <f>IF(M472=M473,"N","Y")</f>
        <v>N</v>
      </c>
      <c r="O472">
        <f>SUM(I472:I473)</f>
        <v>204</v>
      </c>
      <c r="P472">
        <f t="shared" si="47"/>
        <v>83</v>
      </c>
    </row>
    <row r="473" spans="1:16" hidden="1" x14ac:dyDescent="0.3">
      <c r="A473" t="str">
        <f t="shared" si="46"/>
        <v>2016Russell5</v>
      </c>
      <c r="B473">
        <f t="shared" si="42"/>
        <v>1869</v>
      </c>
      <c r="C473">
        <f t="shared" si="43"/>
        <v>1282</v>
      </c>
      <c r="D473" t="s">
        <v>28</v>
      </c>
      <c r="E473" t="str">
        <f>D472</f>
        <v>Matt</v>
      </c>
      <c r="F473">
        <v>2016</v>
      </c>
      <c r="G473">
        <v>5</v>
      </c>
      <c r="H473">
        <v>4.2</v>
      </c>
      <c r="I473" s="14">
        <v>83</v>
      </c>
      <c r="J473">
        <f>I473-I472</f>
        <v>-38</v>
      </c>
      <c r="K473" t="str">
        <f t="shared" si="44"/>
        <v>L</v>
      </c>
      <c r="L473" t="str">
        <f t="shared" si="45"/>
        <v>Russell</v>
      </c>
      <c r="M473" t="str">
        <f>VLOOKUP(L473,References!$A$2:$B$16,2,FALSE)</f>
        <v>TEXAROK</v>
      </c>
      <c r="N473" s="19" t="str">
        <f>IF(M473=M472,"N","Y")</f>
        <v>N</v>
      </c>
      <c r="O473">
        <f>SUM(I472:I473)</f>
        <v>204</v>
      </c>
      <c r="P473">
        <f t="shared" si="47"/>
        <v>121</v>
      </c>
    </row>
    <row r="474" spans="1:16" hidden="1" x14ac:dyDescent="0.3">
      <c r="A474" t="str">
        <f t="shared" si="46"/>
        <v>2016Abby5</v>
      </c>
      <c r="B474">
        <f t="shared" si="42"/>
        <v>1856</v>
      </c>
      <c r="C474">
        <f t="shared" si="43"/>
        <v>1618</v>
      </c>
      <c r="D474" t="s">
        <v>27</v>
      </c>
      <c r="E474" t="str">
        <f>D475</f>
        <v>Watty</v>
      </c>
      <c r="F474">
        <v>2016</v>
      </c>
      <c r="G474">
        <v>5</v>
      </c>
      <c r="H474">
        <v>5.0999999999999996</v>
      </c>
      <c r="I474" s="14">
        <v>74</v>
      </c>
      <c r="J474">
        <f>I474-I475</f>
        <v>-37</v>
      </c>
      <c r="K474" t="str">
        <f t="shared" si="44"/>
        <v>L</v>
      </c>
      <c r="L474" t="str">
        <f t="shared" si="45"/>
        <v>Abby</v>
      </c>
      <c r="M474" t="str">
        <f>VLOOKUP(L474,References!$A$2:$B$16,2,FALSE)</f>
        <v>AKCOVA</v>
      </c>
      <c r="N474" s="19" t="str">
        <f>IF(M474=M475,"N","Y")</f>
        <v>N</v>
      </c>
      <c r="O474">
        <f>SUM(I474:I475)</f>
        <v>185</v>
      </c>
      <c r="P474">
        <f t="shared" si="47"/>
        <v>111</v>
      </c>
    </row>
    <row r="475" spans="1:16" hidden="1" x14ac:dyDescent="0.3">
      <c r="A475" t="str">
        <f t="shared" si="46"/>
        <v>2016Watty5</v>
      </c>
      <c r="B475">
        <f t="shared" si="42"/>
        <v>225</v>
      </c>
      <c r="C475">
        <f t="shared" si="43"/>
        <v>383</v>
      </c>
      <c r="D475" t="s">
        <v>24</v>
      </c>
      <c r="E475" t="str">
        <f>D474</f>
        <v>Abby</v>
      </c>
      <c r="F475">
        <v>2016</v>
      </c>
      <c r="G475">
        <v>5</v>
      </c>
      <c r="H475">
        <v>5.2</v>
      </c>
      <c r="I475" s="14">
        <v>111</v>
      </c>
      <c r="J475">
        <f>I475-I474</f>
        <v>37</v>
      </c>
      <c r="K475" t="str">
        <f t="shared" si="44"/>
        <v>W</v>
      </c>
      <c r="L475" t="str">
        <f t="shared" si="45"/>
        <v>Watty</v>
      </c>
      <c r="M475" t="str">
        <f>VLOOKUP(L475,References!$A$2:$B$16,2,FALSE)</f>
        <v>AKCOVA</v>
      </c>
      <c r="N475" s="19" t="str">
        <f>IF(M475=M474,"N","Y")</f>
        <v>N</v>
      </c>
      <c r="O475">
        <f>SUM(I474:I475)</f>
        <v>185</v>
      </c>
      <c r="P475">
        <f t="shared" si="47"/>
        <v>74</v>
      </c>
    </row>
    <row r="476" spans="1:16" hidden="1" x14ac:dyDescent="0.3">
      <c r="A476" t="str">
        <f t="shared" si="46"/>
        <v>2016BR5</v>
      </c>
      <c r="B476">
        <f t="shared" si="42"/>
        <v>713</v>
      </c>
      <c r="C476">
        <f t="shared" si="43"/>
        <v>383</v>
      </c>
      <c r="D476" t="s">
        <v>25</v>
      </c>
      <c r="E476" t="str">
        <f>D477</f>
        <v>Charles</v>
      </c>
      <c r="F476">
        <v>2016</v>
      </c>
      <c r="G476">
        <v>5</v>
      </c>
      <c r="H476">
        <v>6.1</v>
      </c>
      <c r="I476" s="14">
        <v>111</v>
      </c>
      <c r="J476">
        <f>I476-I477</f>
        <v>12</v>
      </c>
      <c r="K476" t="str">
        <f t="shared" si="44"/>
        <v>W</v>
      </c>
      <c r="L476" t="str">
        <f t="shared" si="45"/>
        <v>BR</v>
      </c>
      <c r="M476" t="str">
        <f>VLOOKUP(L476,References!$A$2:$B$16,2,FALSE)</f>
        <v>AKCOVA</v>
      </c>
      <c r="N476" s="19" t="str">
        <f>IF(M476=M477,"N","Y")</f>
        <v>N</v>
      </c>
      <c r="O476">
        <f>SUM(I476:I477)</f>
        <v>210</v>
      </c>
      <c r="P476">
        <f t="shared" si="47"/>
        <v>99</v>
      </c>
    </row>
    <row r="477" spans="1:16" hidden="1" x14ac:dyDescent="0.3">
      <c r="A477" t="str">
        <f t="shared" si="46"/>
        <v>2016Charles5</v>
      </c>
      <c r="B477">
        <f t="shared" si="42"/>
        <v>1357</v>
      </c>
      <c r="C477">
        <f t="shared" si="43"/>
        <v>714</v>
      </c>
      <c r="D477" t="s">
        <v>48</v>
      </c>
      <c r="E477" t="str">
        <f>D476</f>
        <v>BR</v>
      </c>
      <c r="F477">
        <v>2016</v>
      </c>
      <c r="G477">
        <v>5</v>
      </c>
      <c r="H477">
        <v>6.2</v>
      </c>
      <c r="I477" s="14">
        <v>99</v>
      </c>
      <c r="J477">
        <f>I477-I476</f>
        <v>-12</v>
      </c>
      <c r="K477" t="str">
        <f t="shared" si="44"/>
        <v>L</v>
      </c>
      <c r="L477" t="str">
        <f t="shared" si="45"/>
        <v>Charles</v>
      </c>
      <c r="M477" t="str">
        <f>VLOOKUP(L477,References!$A$2:$B$16,2,FALSE)</f>
        <v>AKCOVA</v>
      </c>
      <c r="N477" s="19" t="str">
        <f>IF(M477=M476,"N","Y")</f>
        <v>N</v>
      </c>
      <c r="O477">
        <f>SUM(I476:I477)</f>
        <v>210</v>
      </c>
      <c r="P477">
        <f t="shared" si="47"/>
        <v>111</v>
      </c>
    </row>
    <row r="478" spans="1:16" hidden="1" x14ac:dyDescent="0.3">
      <c r="A478" t="str">
        <f t="shared" si="46"/>
        <v>2016Abby6</v>
      </c>
      <c r="B478">
        <f t="shared" si="42"/>
        <v>103</v>
      </c>
      <c r="C478">
        <f t="shared" si="43"/>
        <v>893</v>
      </c>
      <c r="D478" t="s">
        <v>27</v>
      </c>
      <c r="E478" t="str">
        <f>D479</f>
        <v>Michael</v>
      </c>
      <c r="F478">
        <v>2016</v>
      </c>
      <c r="G478">
        <v>6</v>
      </c>
      <c r="H478">
        <v>1.1000000000000001</v>
      </c>
      <c r="I478" s="14">
        <v>94</v>
      </c>
      <c r="J478">
        <f>I478-I479</f>
        <v>51</v>
      </c>
      <c r="K478" t="str">
        <f t="shared" si="44"/>
        <v>W</v>
      </c>
      <c r="L478" t="str">
        <f t="shared" si="45"/>
        <v>Abby</v>
      </c>
      <c r="M478" t="str">
        <f>VLOOKUP(L478,References!$A$2:$B$16,2,FALSE)</f>
        <v>AKCOVA</v>
      </c>
      <c r="N478" s="19" t="str">
        <f>IF(M478=M479,"N","Y")</f>
        <v>N</v>
      </c>
      <c r="O478">
        <f>SUM(I478:I479)</f>
        <v>137</v>
      </c>
      <c r="P478">
        <f t="shared" si="47"/>
        <v>43</v>
      </c>
    </row>
    <row r="479" spans="1:16" hidden="1" x14ac:dyDescent="0.3">
      <c r="A479" t="str">
        <f t="shared" si="46"/>
        <v>2016Michael6</v>
      </c>
      <c r="B479">
        <f t="shared" si="42"/>
        <v>1987</v>
      </c>
      <c r="C479">
        <f t="shared" si="43"/>
        <v>2078</v>
      </c>
      <c r="D479" t="s">
        <v>23</v>
      </c>
      <c r="E479" t="str">
        <f>D478</f>
        <v>Abby</v>
      </c>
      <c r="F479">
        <v>2016</v>
      </c>
      <c r="G479">
        <v>6</v>
      </c>
      <c r="H479">
        <v>1.2</v>
      </c>
      <c r="I479" s="14">
        <v>43</v>
      </c>
      <c r="J479">
        <f>I479-I478</f>
        <v>-51</v>
      </c>
      <c r="K479" t="str">
        <f t="shared" si="44"/>
        <v>L</v>
      </c>
      <c r="L479" t="str">
        <f t="shared" si="45"/>
        <v>Michael</v>
      </c>
      <c r="M479" t="str">
        <f>VLOOKUP(L479,References!$A$2:$B$16,2,FALSE)</f>
        <v>AKCOVA</v>
      </c>
      <c r="N479" s="19" t="str">
        <f>IF(M479=M478,"N","Y")</f>
        <v>N</v>
      </c>
      <c r="O479">
        <f>SUM(I478:I479)</f>
        <v>137</v>
      </c>
      <c r="P479">
        <f t="shared" si="47"/>
        <v>94</v>
      </c>
    </row>
    <row r="480" spans="1:16" hidden="1" x14ac:dyDescent="0.3">
      <c r="A480" t="str">
        <f t="shared" si="46"/>
        <v>2016BR6</v>
      </c>
      <c r="B480">
        <f t="shared" si="42"/>
        <v>1229</v>
      </c>
      <c r="C480">
        <f t="shared" si="43"/>
        <v>746</v>
      </c>
      <c r="D480" t="s">
        <v>25</v>
      </c>
      <c r="E480" t="str">
        <f>D481</f>
        <v>Emily</v>
      </c>
      <c r="F480">
        <v>2016</v>
      </c>
      <c r="G480">
        <v>6</v>
      </c>
      <c r="H480">
        <v>2.1</v>
      </c>
      <c r="I480" s="14">
        <v>98</v>
      </c>
      <c r="J480">
        <f>I480-I481</f>
        <v>-7</v>
      </c>
      <c r="K480" t="str">
        <f t="shared" si="44"/>
        <v>L</v>
      </c>
      <c r="L480" t="str">
        <f t="shared" si="45"/>
        <v>BR</v>
      </c>
      <c r="M480" t="str">
        <f>VLOOKUP(L480,References!$A$2:$B$16,2,FALSE)</f>
        <v>AKCOVA</v>
      </c>
      <c r="N480" s="19" t="str">
        <f>IF(M480=M481,"N","Y")</f>
        <v>Y</v>
      </c>
      <c r="O480">
        <f>SUM(I480:I481)</f>
        <v>203</v>
      </c>
      <c r="P480">
        <f t="shared" si="47"/>
        <v>105</v>
      </c>
    </row>
    <row r="481" spans="1:16" hidden="1" x14ac:dyDescent="0.3">
      <c r="A481" t="str">
        <f t="shared" si="46"/>
        <v>2016Emily6</v>
      </c>
      <c r="B481">
        <f t="shared" si="42"/>
        <v>836</v>
      </c>
      <c r="C481">
        <f t="shared" si="43"/>
        <v>540</v>
      </c>
      <c r="D481" t="s">
        <v>43</v>
      </c>
      <c r="E481" t="str">
        <f>D480</f>
        <v>BR</v>
      </c>
      <c r="F481">
        <v>2016</v>
      </c>
      <c r="G481">
        <v>6</v>
      </c>
      <c r="H481">
        <v>2.2000000000000002</v>
      </c>
      <c r="I481" s="14">
        <v>105</v>
      </c>
      <c r="J481">
        <f>I481-I480</f>
        <v>7</v>
      </c>
      <c r="K481" t="str">
        <f t="shared" si="44"/>
        <v>W</v>
      </c>
      <c r="L481" t="str">
        <f t="shared" si="45"/>
        <v>Emily</v>
      </c>
      <c r="M481" t="str">
        <f>VLOOKUP(L481,References!$A$2:$B$16,2,FALSE)</f>
        <v>TEXAROK</v>
      </c>
      <c r="N481" s="19" t="str">
        <f>IF(M481=M480,"N","Y")</f>
        <v>Y</v>
      </c>
      <c r="O481">
        <f>SUM(I480:I481)</f>
        <v>203</v>
      </c>
      <c r="P481">
        <f t="shared" si="47"/>
        <v>98</v>
      </c>
    </row>
    <row r="482" spans="1:16" hidden="1" x14ac:dyDescent="0.3">
      <c r="A482" t="str">
        <f t="shared" si="46"/>
        <v>2016Brian6</v>
      </c>
      <c r="B482">
        <f t="shared" si="42"/>
        <v>1978</v>
      </c>
      <c r="C482">
        <f t="shared" si="43"/>
        <v>2017</v>
      </c>
      <c r="D482" t="s">
        <v>26</v>
      </c>
      <c r="E482" t="str">
        <f>D483</f>
        <v>Russell</v>
      </c>
      <c r="F482">
        <v>2016</v>
      </c>
      <c r="G482">
        <v>6</v>
      </c>
      <c r="H482">
        <v>3.1</v>
      </c>
      <c r="I482" s="14">
        <v>54</v>
      </c>
      <c r="J482">
        <f>I482-I483</f>
        <v>-50</v>
      </c>
      <c r="K482" t="str">
        <f t="shared" si="44"/>
        <v>L</v>
      </c>
      <c r="L482" t="str">
        <f t="shared" si="45"/>
        <v>Brian</v>
      </c>
      <c r="M482" t="str">
        <f>VLOOKUP(L482,References!$A$2:$B$16,2,FALSE)</f>
        <v>TEXAROK</v>
      </c>
      <c r="N482" s="19" t="str">
        <f>IF(M482=M483,"N","Y")</f>
        <v>N</v>
      </c>
      <c r="O482">
        <f>SUM(I482:I483)</f>
        <v>158</v>
      </c>
      <c r="P482">
        <f t="shared" si="47"/>
        <v>104</v>
      </c>
    </row>
    <row r="483" spans="1:16" hidden="1" x14ac:dyDescent="0.3">
      <c r="A483" t="str">
        <f t="shared" si="46"/>
        <v>2016Russell6</v>
      </c>
      <c r="B483">
        <f t="shared" si="42"/>
        <v>107</v>
      </c>
      <c r="C483">
        <f t="shared" si="43"/>
        <v>566</v>
      </c>
      <c r="D483" t="s">
        <v>28</v>
      </c>
      <c r="E483" t="str">
        <f>D482</f>
        <v>Brian</v>
      </c>
      <c r="F483">
        <v>2016</v>
      </c>
      <c r="G483">
        <v>6</v>
      </c>
      <c r="H483">
        <v>3.2</v>
      </c>
      <c r="I483" s="14">
        <v>104</v>
      </c>
      <c r="J483">
        <f>I483-I482</f>
        <v>50</v>
      </c>
      <c r="K483" t="str">
        <f t="shared" si="44"/>
        <v>W</v>
      </c>
      <c r="L483" t="str">
        <f t="shared" si="45"/>
        <v>Russell</v>
      </c>
      <c r="M483" t="str">
        <f>VLOOKUP(L483,References!$A$2:$B$16,2,FALSE)</f>
        <v>TEXAROK</v>
      </c>
      <c r="N483" s="19" t="str">
        <f>IF(M483=M482,"N","Y")</f>
        <v>N</v>
      </c>
      <c r="O483">
        <f>SUM(I482:I483)</f>
        <v>158</v>
      </c>
      <c r="P483">
        <f t="shared" si="47"/>
        <v>54</v>
      </c>
    </row>
    <row r="484" spans="1:16" hidden="1" x14ac:dyDescent="0.3">
      <c r="A484" t="str">
        <f t="shared" si="46"/>
        <v>2016Mark6</v>
      </c>
      <c r="B484">
        <f t="shared" si="42"/>
        <v>1577</v>
      </c>
      <c r="C484">
        <f t="shared" si="43"/>
        <v>1717</v>
      </c>
      <c r="D484" t="s">
        <v>22</v>
      </c>
      <c r="E484" t="str">
        <f>D485</f>
        <v>Matt</v>
      </c>
      <c r="F484">
        <v>2016</v>
      </c>
      <c r="G484">
        <v>6</v>
      </c>
      <c r="H484">
        <v>4.0999999999999996</v>
      </c>
      <c r="I484" s="14">
        <v>71</v>
      </c>
      <c r="J484">
        <f>I484-I485</f>
        <v>-21</v>
      </c>
      <c r="K484" t="str">
        <f t="shared" si="44"/>
        <v>L</v>
      </c>
      <c r="L484" t="str">
        <f t="shared" si="45"/>
        <v>Mark</v>
      </c>
      <c r="M484" t="str">
        <f>VLOOKUP(L484,References!$A$2:$B$16,2,FALSE)</f>
        <v>AKCOVA</v>
      </c>
      <c r="N484" s="19" t="str">
        <f>IF(M484=M485,"N","Y")</f>
        <v>Y</v>
      </c>
      <c r="O484">
        <f>SUM(I484:I485)</f>
        <v>163</v>
      </c>
      <c r="P484">
        <f t="shared" si="47"/>
        <v>92</v>
      </c>
    </row>
    <row r="485" spans="1:16" hidden="1" x14ac:dyDescent="0.3">
      <c r="A485" t="str">
        <f t="shared" si="46"/>
        <v>2016Matt6</v>
      </c>
      <c r="B485">
        <f t="shared" si="42"/>
        <v>489</v>
      </c>
      <c r="C485">
        <f t="shared" si="43"/>
        <v>958</v>
      </c>
      <c r="D485" t="s">
        <v>30</v>
      </c>
      <c r="E485" t="str">
        <f>D484</f>
        <v>Mark</v>
      </c>
      <c r="F485">
        <v>2016</v>
      </c>
      <c r="G485">
        <v>6</v>
      </c>
      <c r="H485">
        <v>4.2</v>
      </c>
      <c r="I485" s="14">
        <v>92</v>
      </c>
      <c r="J485">
        <f>I485-I484</f>
        <v>21</v>
      </c>
      <c r="K485" t="str">
        <f t="shared" si="44"/>
        <v>W</v>
      </c>
      <c r="L485" t="str">
        <f t="shared" si="45"/>
        <v>Matt</v>
      </c>
      <c r="M485" t="str">
        <f>VLOOKUP(L485,References!$A$2:$B$16,2,FALSE)</f>
        <v>TEXAROK</v>
      </c>
      <c r="N485" s="19" t="str">
        <f>IF(M485=M484,"N","Y")</f>
        <v>Y</v>
      </c>
      <c r="O485">
        <f>SUM(I484:I485)</f>
        <v>163</v>
      </c>
      <c r="P485">
        <f t="shared" si="47"/>
        <v>71</v>
      </c>
    </row>
    <row r="486" spans="1:16" hidden="1" x14ac:dyDescent="0.3">
      <c r="A486" t="str">
        <f t="shared" si="46"/>
        <v>2016Charles6</v>
      </c>
      <c r="B486">
        <f t="shared" si="42"/>
        <v>1775</v>
      </c>
      <c r="C486">
        <f t="shared" si="43"/>
        <v>1210</v>
      </c>
      <c r="D486" t="s">
        <v>48</v>
      </c>
      <c r="E486" t="str">
        <f>D487</f>
        <v>Brent</v>
      </c>
      <c r="F486">
        <v>2016</v>
      </c>
      <c r="G486">
        <v>6</v>
      </c>
      <c r="H486">
        <v>5.0999999999999996</v>
      </c>
      <c r="I486" s="14">
        <v>85</v>
      </c>
      <c r="J486">
        <f>I486-I487</f>
        <v>-31</v>
      </c>
      <c r="K486" t="str">
        <f t="shared" si="44"/>
        <v>L</v>
      </c>
      <c r="L486" t="str">
        <f t="shared" si="45"/>
        <v>Charles</v>
      </c>
      <c r="M486" t="str">
        <f>VLOOKUP(L486,References!$A$2:$B$16,2,FALSE)</f>
        <v>AKCOVA</v>
      </c>
      <c r="N486" s="19" t="str">
        <f>IF(M486=M487,"N","Y")</f>
        <v>Y</v>
      </c>
      <c r="O486">
        <f>SUM(I486:I487)</f>
        <v>201</v>
      </c>
      <c r="P486">
        <f t="shared" si="47"/>
        <v>116</v>
      </c>
    </row>
    <row r="487" spans="1:16" hidden="1" x14ac:dyDescent="0.3">
      <c r="A487" t="str">
        <f t="shared" si="46"/>
        <v>2016Brent6</v>
      </c>
      <c r="B487">
        <f t="shared" si="42"/>
        <v>297</v>
      </c>
      <c r="C487">
        <f t="shared" si="43"/>
        <v>292</v>
      </c>
      <c r="D487" t="s">
        <v>47</v>
      </c>
      <c r="E487" t="str">
        <f>D486</f>
        <v>Charles</v>
      </c>
      <c r="F487">
        <v>2016</v>
      </c>
      <c r="G487">
        <v>6</v>
      </c>
      <c r="H487">
        <v>5.2</v>
      </c>
      <c r="I487" s="14">
        <v>116</v>
      </c>
      <c r="J487">
        <f>I487-I486</f>
        <v>31</v>
      </c>
      <c r="K487" t="str">
        <f t="shared" si="44"/>
        <v>W</v>
      </c>
      <c r="L487" t="str">
        <f t="shared" si="45"/>
        <v>Brent</v>
      </c>
      <c r="M487" t="str">
        <f>VLOOKUP(L487,References!$A$2:$B$16,2,FALSE)</f>
        <v>TEXAROK</v>
      </c>
      <c r="N487" s="19" t="str">
        <f>IF(M487=M486,"N","Y")</f>
        <v>Y</v>
      </c>
      <c r="O487">
        <f>SUM(I486:I487)</f>
        <v>201</v>
      </c>
      <c r="P487">
        <f t="shared" si="47"/>
        <v>85</v>
      </c>
    </row>
    <row r="488" spans="1:16" hidden="1" x14ac:dyDescent="0.3">
      <c r="A488" t="str">
        <f t="shared" si="46"/>
        <v>2016Watty6</v>
      </c>
      <c r="B488">
        <f t="shared" si="42"/>
        <v>1661</v>
      </c>
      <c r="C488">
        <f t="shared" si="43"/>
        <v>2040</v>
      </c>
      <c r="D488" t="s">
        <v>24</v>
      </c>
      <c r="E488" t="str">
        <f>D489</f>
        <v>David</v>
      </c>
      <c r="F488">
        <v>2016</v>
      </c>
      <c r="G488">
        <v>6</v>
      </c>
      <c r="H488">
        <v>6.1</v>
      </c>
      <c r="I488" s="14">
        <v>51</v>
      </c>
      <c r="J488">
        <f>I488-I489</f>
        <v>-25</v>
      </c>
      <c r="K488" t="str">
        <f t="shared" si="44"/>
        <v>L</v>
      </c>
      <c r="L488" t="str">
        <f t="shared" si="45"/>
        <v>Watty</v>
      </c>
      <c r="M488" t="str">
        <f>VLOOKUP(L488,References!$A$2:$B$16,2,FALSE)</f>
        <v>AKCOVA</v>
      </c>
      <c r="N488" s="19" t="str">
        <f>IF(M488=M489,"N","Y")</f>
        <v>Y</v>
      </c>
      <c r="O488">
        <f>SUM(I488:I489)</f>
        <v>127</v>
      </c>
      <c r="P488">
        <f t="shared" si="47"/>
        <v>76</v>
      </c>
    </row>
    <row r="489" spans="1:16" hidden="1" x14ac:dyDescent="0.3">
      <c r="A489" t="str">
        <f t="shared" si="46"/>
        <v>2016David6</v>
      </c>
      <c r="B489">
        <f t="shared" si="42"/>
        <v>410</v>
      </c>
      <c r="C489">
        <f t="shared" si="43"/>
        <v>1549</v>
      </c>
      <c r="D489" t="s">
        <v>29</v>
      </c>
      <c r="E489" t="str">
        <f>D488</f>
        <v>Watty</v>
      </c>
      <c r="F489">
        <v>2016</v>
      </c>
      <c r="G489">
        <v>6</v>
      </c>
      <c r="H489">
        <v>6.2</v>
      </c>
      <c r="I489" s="14">
        <v>76</v>
      </c>
      <c r="J489">
        <f>I489-I488</f>
        <v>25</v>
      </c>
      <c r="K489" t="str">
        <f t="shared" si="44"/>
        <v>W</v>
      </c>
      <c r="L489" t="str">
        <f t="shared" si="45"/>
        <v>David</v>
      </c>
      <c r="M489" t="str">
        <f>VLOOKUP(L489,References!$A$2:$B$16,2,FALSE)</f>
        <v>TEXAROK</v>
      </c>
      <c r="N489" s="19" t="str">
        <f>IF(M489=M488,"N","Y")</f>
        <v>Y</v>
      </c>
      <c r="O489">
        <f>SUM(I488:I489)</f>
        <v>127</v>
      </c>
      <c r="P489">
        <f t="shared" si="47"/>
        <v>51</v>
      </c>
    </row>
    <row r="490" spans="1:16" hidden="1" x14ac:dyDescent="0.3">
      <c r="A490" t="str">
        <f t="shared" si="46"/>
        <v>2016Michael7</v>
      </c>
      <c r="B490">
        <f t="shared" si="42"/>
        <v>1661</v>
      </c>
      <c r="C490">
        <f t="shared" si="43"/>
        <v>1210</v>
      </c>
      <c r="D490" t="s">
        <v>23</v>
      </c>
      <c r="E490" t="str">
        <f>D491</f>
        <v>Watty</v>
      </c>
      <c r="F490">
        <v>2016</v>
      </c>
      <c r="G490">
        <v>7</v>
      </c>
      <c r="H490">
        <v>1.1000000000000001</v>
      </c>
      <c r="I490" s="14">
        <v>85</v>
      </c>
      <c r="J490">
        <f>I490-I491</f>
        <v>-25</v>
      </c>
      <c r="K490" t="str">
        <f t="shared" si="44"/>
        <v>L</v>
      </c>
      <c r="L490" t="str">
        <f t="shared" si="45"/>
        <v>Michael</v>
      </c>
      <c r="M490" t="str">
        <f>VLOOKUP(L490,References!$A$2:$B$16,2,FALSE)</f>
        <v>AKCOVA</v>
      </c>
      <c r="N490" s="19" t="str">
        <f>IF(M490=M491,"N","Y")</f>
        <v>N</v>
      </c>
      <c r="O490">
        <f>SUM(I490:I491)</f>
        <v>195</v>
      </c>
      <c r="P490">
        <f t="shared" si="47"/>
        <v>110</v>
      </c>
    </row>
    <row r="491" spans="1:16" hidden="1" x14ac:dyDescent="0.3">
      <c r="A491" t="str">
        <f t="shared" si="46"/>
        <v>2016Watty7</v>
      </c>
      <c r="B491">
        <f t="shared" si="42"/>
        <v>410</v>
      </c>
      <c r="C491">
        <f t="shared" si="43"/>
        <v>412</v>
      </c>
      <c r="D491" t="s">
        <v>24</v>
      </c>
      <c r="E491" t="str">
        <f>D490</f>
        <v>Michael</v>
      </c>
      <c r="F491">
        <v>2016</v>
      </c>
      <c r="G491">
        <v>7</v>
      </c>
      <c r="H491">
        <v>1.2</v>
      </c>
      <c r="I491" s="14">
        <v>110</v>
      </c>
      <c r="J491">
        <f>I491-I490</f>
        <v>25</v>
      </c>
      <c r="K491" t="str">
        <f t="shared" si="44"/>
        <v>W</v>
      </c>
      <c r="L491" t="str">
        <f t="shared" si="45"/>
        <v>Watty</v>
      </c>
      <c r="M491" t="str">
        <f>VLOOKUP(L491,References!$A$2:$B$16,2,FALSE)</f>
        <v>AKCOVA</v>
      </c>
      <c r="N491" s="19" t="str">
        <f>IF(M491=M490,"N","Y")</f>
        <v>N</v>
      </c>
      <c r="O491">
        <f>SUM(I490:I491)</f>
        <v>195</v>
      </c>
      <c r="P491">
        <f t="shared" si="47"/>
        <v>85</v>
      </c>
    </row>
    <row r="492" spans="1:16" hidden="1" x14ac:dyDescent="0.3">
      <c r="A492" t="str">
        <f t="shared" si="46"/>
        <v>2016Emily7</v>
      </c>
      <c r="B492">
        <f t="shared" si="42"/>
        <v>270</v>
      </c>
      <c r="C492">
        <f t="shared" si="43"/>
        <v>1210</v>
      </c>
      <c r="D492" t="s">
        <v>43</v>
      </c>
      <c r="E492" t="str">
        <f>D493</f>
        <v>Mark</v>
      </c>
      <c r="F492">
        <v>2016</v>
      </c>
      <c r="G492">
        <v>7</v>
      </c>
      <c r="H492">
        <v>2.1</v>
      </c>
      <c r="I492" s="14">
        <v>85</v>
      </c>
      <c r="J492">
        <f>I492-I493</f>
        <v>33</v>
      </c>
      <c r="K492" t="str">
        <f t="shared" si="44"/>
        <v>W</v>
      </c>
      <c r="L492" t="str">
        <f t="shared" si="45"/>
        <v>Emily</v>
      </c>
      <c r="M492" t="str">
        <f>VLOOKUP(L492,References!$A$2:$B$16,2,FALSE)</f>
        <v>TEXAROK</v>
      </c>
      <c r="N492" s="19" t="str">
        <f>IF(M492=M493,"N","Y")</f>
        <v>Y</v>
      </c>
      <c r="O492">
        <f>SUM(I492:I493)</f>
        <v>137</v>
      </c>
      <c r="P492">
        <f t="shared" si="47"/>
        <v>52</v>
      </c>
    </row>
    <row r="493" spans="1:16" hidden="1" x14ac:dyDescent="0.3">
      <c r="A493" t="str">
        <f t="shared" si="46"/>
        <v>2016Mark7</v>
      </c>
      <c r="B493">
        <f t="shared" si="42"/>
        <v>1810</v>
      </c>
      <c r="C493">
        <f t="shared" si="43"/>
        <v>2034</v>
      </c>
      <c r="D493" t="s">
        <v>22</v>
      </c>
      <c r="E493" t="str">
        <f>D492</f>
        <v>Emily</v>
      </c>
      <c r="F493">
        <v>2016</v>
      </c>
      <c r="G493">
        <v>7</v>
      </c>
      <c r="H493">
        <v>2.2000000000000002</v>
      </c>
      <c r="I493" s="14">
        <v>52</v>
      </c>
      <c r="J493">
        <f>I493-I492</f>
        <v>-33</v>
      </c>
      <c r="K493" t="str">
        <f t="shared" si="44"/>
        <v>L</v>
      </c>
      <c r="L493" t="str">
        <f t="shared" si="45"/>
        <v>Mark</v>
      </c>
      <c r="M493" t="str">
        <f>VLOOKUP(L493,References!$A$2:$B$16,2,FALSE)</f>
        <v>AKCOVA</v>
      </c>
      <c r="N493" s="19" t="str">
        <f>IF(M493=M492,"N","Y")</f>
        <v>Y</v>
      </c>
      <c r="O493">
        <f>SUM(I492:I493)</f>
        <v>137</v>
      </c>
      <c r="P493">
        <f t="shared" si="47"/>
        <v>85</v>
      </c>
    </row>
    <row r="494" spans="1:16" hidden="1" x14ac:dyDescent="0.3">
      <c r="A494" t="str">
        <f t="shared" si="46"/>
        <v>2016Russell7</v>
      </c>
      <c r="B494">
        <f t="shared" si="42"/>
        <v>2035</v>
      </c>
      <c r="C494">
        <f t="shared" si="43"/>
        <v>1738</v>
      </c>
      <c r="D494" t="s">
        <v>28</v>
      </c>
      <c r="E494" t="str">
        <f>D495</f>
        <v>Charles</v>
      </c>
      <c r="F494">
        <v>2016</v>
      </c>
      <c r="G494">
        <v>7</v>
      </c>
      <c r="H494">
        <v>3.1</v>
      </c>
      <c r="I494" s="14">
        <v>70</v>
      </c>
      <c r="J494">
        <f>I494-I495</f>
        <v>-60</v>
      </c>
      <c r="K494" t="str">
        <f t="shared" si="44"/>
        <v>L</v>
      </c>
      <c r="L494" t="str">
        <f t="shared" si="45"/>
        <v>Russell</v>
      </c>
      <c r="M494" t="str">
        <f>VLOOKUP(L494,References!$A$2:$B$16,2,FALSE)</f>
        <v>TEXAROK</v>
      </c>
      <c r="N494" s="19" t="str">
        <f>IF(M494=M495,"N","Y")</f>
        <v>Y</v>
      </c>
      <c r="O494">
        <f>SUM(I494:I495)</f>
        <v>200</v>
      </c>
      <c r="P494">
        <f t="shared" si="47"/>
        <v>130</v>
      </c>
    </row>
    <row r="495" spans="1:16" hidden="1" x14ac:dyDescent="0.3">
      <c r="A495" t="str">
        <f t="shared" si="46"/>
        <v>2016Charles7</v>
      </c>
      <c r="B495">
        <f t="shared" si="42"/>
        <v>52</v>
      </c>
      <c r="C495">
        <f t="shared" si="43"/>
        <v>111</v>
      </c>
      <c r="D495" t="s">
        <v>48</v>
      </c>
      <c r="E495" t="str">
        <f>D494</f>
        <v>Russell</v>
      </c>
      <c r="F495">
        <v>2016</v>
      </c>
      <c r="G495">
        <v>7</v>
      </c>
      <c r="H495">
        <v>3.2</v>
      </c>
      <c r="I495" s="14">
        <v>130</v>
      </c>
      <c r="J495">
        <f>I495-I494</f>
        <v>60</v>
      </c>
      <c r="K495" t="str">
        <f t="shared" si="44"/>
        <v>W</v>
      </c>
      <c r="L495" t="str">
        <f t="shared" si="45"/>
        <v>Charles</v>
      </c>
      <c r="M495" t="str">
        <f>VLOOKUP(L495,References!$A$2:$B$16,2,FALSE)</f>
        <v>AKCOVA</v>
      </c>
      <c r="N495" s="19" t="str">
        <f>IF(M495=M494,"N","Y")</f>
        <v>Y</v>
      </c>
      <c r="O495">
        <f>SUM(I494:I495)</f>
        <v>200</v>
      </c>
      <c r="P495">
        <f t="shared" si="47"/>
        <v>70</v>
      </c>
    </row>
    <row r="496" spans="1:16" hidden="1" x14ac:dyDescent="0.3">
      <c r="A496" t="str">
        <f t="shared" si="46"/>
        <v>2016Matt7</v>
      </c>
      <c r="B496">
        <f t="shared" si="42"/>
        <v>836</v>
      </c>
      <c r="C496">
        <f t="shared" si="43"/>
        <v>1143</v>
      </c>
      <c r="D496" t="s">
        <v>30</v>
      </c>
      <c r="E496" t="str">
        <f>D497</f>
        <v>Abby</v>
      </c>
      <c r="F496">
        <v>2016</v>
      </c>
      <c r="G496">
        <v>7</v>
      </c>
      <c r="H496">
        <v>4.0999999999999996</v>
      </c>
      <c r="I496" s="14">
        <v>87</v>
      </c>
      <c r="J496">
        <f>I496-I497</f>
        <v>7</v>
      </c>
      <c r="K496" t="str">
        <f t="shared" si="44"/>
        <v>W</v>
      </c>
      <c r="L496" t="str">
        <f t="shared" si="45"/>
        <v>Matt</v>
      </c>
      <c r="M496" t="str">
        <f>VLOOKUP(L496,References!$A$2:$B$16,2,FALSE)</f>
        <v>TEXAROK</v>
      </c>
      <c r="N496" s="19" t="str">
        <f>IF(M496=M497,"N","Y")</f>
        <v>Y</v>
      </c>
      <c r="O496">
        <f>SUM(I496:I497)</f>
        <v>167</v>
      </c>
      <c r="P496">
        <f t="shared" si="47"/>
        <v>80</v>
      </c>
    </row>
    <row r="497" spans="1:16" hidden="1" x14ac:dyDescent="0.3">
      <c r="A497" t="str">
        <f t="shared" si="46"/>
        <v>2016Abby7</v>
      </c>
      <c r="B497">
        <f t="shared" si="42"/>
        <v>1229</v>
      </c>
      <c r="C497">
        <f t="shared" si="43"/>
        <v>1406</v>
      </c>
      <c r="D497" t="s">
        <v>27</v>
      </c>
      <c r="E497" t="str">
        <f>D496</f>
        <v>Matt</v>
      </c>
      <c r="F497">
        <v>2016</v>
      </c>
      <c r="G497">
        <v>7</v>
      </c>
      <c r="H497">
        <v>4.2</v>
      </c>
      <c r="I497" s="14">
        <v>80</v>
      </c>
      <c r="J497">
        <f>I497-I496</f>
        <v>-7</v>
      </c>
      <c r="K497" t="str">
        <f t="shared" si="44"/>
        <v>L</v>
      </c>
      <c r="L497" t="str">
        <f t="shared" si="45"/>
        <v>Abby</v>
      </c>
      <c r="M497" t="str">
        <f>VLOOKUP(L497,References!$A$2:$B$16,2,FALSE)</f>
        <v>AKCOVA</v>
      </c>
      <c r="N497" s="19" t="str">
        <f>IF(M497=M496,"N","Y")</f>
        <v>Y</v>
      </c>
      <c r="O497">
        <f>SUM(I496:I497)</f>
        <v>167</v>
      </c>
      <c r="P497">
        <f t="shared" si="47"/>
        <v>87</v>
      </c>
    </row>
    <row r="498" spans="1:16" hidden="1" x14ac:dyDescent="0.3">
      <c r="A498" t="str">
        <f t="shared" si="46"/>
        <v>2016Brent7</v>
      </c>
      <c r="B498">
        <f t="shared" si="42"/>
        <v>225</v>
      </c>
      <c r="C498">
        <f t="shared" si="43"/>
        <v>462</v>
      </c>
      <c r="D498" t="s">
        <v>47</v>
      </c>
      <c r="E498" t="str">
        <f>D499</f>
        <v>BR</v>
      </c>
      <c r="F498">
        <v>2016</v>
      </c>
      <c r="G498">
        <v>7</v>
      </c>
      <c r="H498">
        <v>5.0999999999999996</v>
      </c>
      <c r="I498" s="14">
        <v>108</v>
      </c>
      <c r="J498">
        <f>I498-I499</f>
        <v>37</v>
      </c>
      <c r="K498" t="str">
        <f t="shared" si="44"/>
        <v>W</v>
      </c>
      <c r="L498" t="str">
        <f t="shared" si="45"/>
        <v>Brent</v>
      </c>
      <c r="M498" t="str">
        <f>VLOOKUP(L498,References!$A$2:$B$16,2,FALSE)</f>
        <v>TEXAROK</v>
      </c>
      <c r="N498" s="19" t="str">
        <f>IF(M498=M499,"N","Y")</f>
        <v>Y</v>
      </c>
      <c r="O498">
        <f>SUM(I498:I499)</f>
        <v>179</v>
      </c>
      <c r="P498">
        <f t="shared" si="47"/>
        <v>71</v>
      </c>
    </row>
    <row r="499" spans="1:16" hidden="1" x14ac:dyDescent="0.3">
      <c r="A499" t="str">
        <f t="shared" si="46"/>
        <v>2016BR7</v>
      </c>
      <c r="B499">
        <f t="shared" si="42"/>
        <v>1856</v>
      </c>
      <c r="C499">
        <f t="shared" si="43"/>
        <v>1717</v>
      </c>
      <c r="D499" t="s">
        <v>25</v>
      </c>
      <c r="E499" t="str">
        <f>D498</f>
        <v>Brent</v>
      </c>
      <c r="F499">
        <v>2016</v>
      </c>
      <c r="G499">
        <v>7</v>
      </c>
      <c r="H499">
        <v>5.2</v>
      </c>
      <c r="I499" s="14">
        <v>71</v>
      </c>
      <c r="J499">
        <f>I499-I498</f>
        <v>-37</v>
      </c>
      <c r="K499" t="str">
        <f t="shared" si="44"/>
        <v>L</v>
      </c>
      <c r="L499" t="str">
        <f t="shared" si="45"/>
        <v>BR</v>
      </c>
      <c r="M499" t="str">
        <f>VLOOKUP(L499,References!$A$2:$B$16,2,FALSE)</f>
        <v>AKCOVA</v>
      </c>
      <c r="N499" s="19" t="str">
        <f>IF(M499=M498,"N","Y")</f>
        <v>Y</v>
      </c>
      <c r="O499">
        <f>SUM(I498:I499)</f>
        <v>179</v>
      </c>
      <c r="P499">
        <f t="shared" si="47"/>
        <v>108</v>
      </c>
    </row>
    <row r="500" spans="1:16" hidden="1" x14ac:dyDescent="0.3">
      <c r="A500" t="str">
        <f t="shared" si="46"/>
        <v>2016David7</v>
      </c>
      <c r="B500">
        <f t="shared" si="42"/>
        <v>1055</v>
      </c>
      <c r="C500">
        <f t="shared" si="43"/>
        <v>822</v>
      </c>
      <c r="D500" t="s">
        <v>29</v>
      </c>
      <c r="E500" t="str">
        <f>D501</f>
        <v>Brian</v>
      </c>
      <c r="F500">
        <v>2016</v>
      </c>
      <c r="G500">
        <v>7</v>
      </c>
      <c r="H500">
        <v>6.1</v>
      </c>
      <c r="I500" s="14">
        <v>96</v>
      </c>
      <c r="J500">
        <f>I500-I501</f>
        <v>-1</v>
      </c>
      <c r="K500" t="str">
        <f t="shared" si="44"/>
        <v>L</v>
      </c>
      <c r="L500" t="str">
        <f t="shared" si="45"/>
        <v>David</v>
      </c>
      <c r="M500" t="str">
        <f>VLOOKUP(L500,References!$A$2:$B$16,2,FALSE)</f>
        <v>TEXAROK</v>
      </c>
      <c r="N500" s="19" t="str">
        <f>IF(M500=M501,"N","Y")</f>
        <v>N</v>
      </c>
      <c r="O500">
        <f>SUM(I500:I501)</f>
        <v>193</v>
      </c>
      <c r="P500">
        <f t="shared" si="47"/>
        <v>97</v>
      </c>
    </row>
    <row r="501" spans="1:16" hidden="1" x14ac:dyDescent="0.3">
      <c r="A501" t="str">
        <f t="shared" si="46"/>
        <v>2016Brian7</v>
      </c>
      <c r="B501">
        <f t="shared" si="42"/>
        <v>1004</v>
      </c>
      <c r="C501">
        <f t="shared" si="43"/>
        <v>777</v>
      </c>
      <c r="D501" t="s">
        <v>26</v>
      </c>
      <c r="E501" t="str">
        <f>D500</f>
        <v>David</v>
      </c>
      <c r="F501">
        <v>2016</v>
      </c>
      <c r="G501">
        <v>7</v>
      </c>
      <c r="H501">
        <v>6.2</v>
      </c>
      <c r="I501" s="14">
        <v>97</v>
      </c>
      <c r="J501">
        <f>I501-I500</f>
        <v>1</v>
      </c>
      <c r="K501" t="str">
        <f t="shared" si="44"/>
        <v>W</v>
      </c>
      <c r="L501" t="str">
        <f t="shared" si="45"/>
        <v>Brian</v>
      </c>
      <c r="M501" t="str">
        <f>VLOOKUP(L501,References!$A$2:$B$16,2,FALSE)</f>
        <v>TEXAROK</v>
      </c>
      <c r="N501" s="19" t="str">
        <f>IF(M501=M500,"N","Y")</f>
        <v>N</v>
      </c>
      <c r="O501">
        <f>SUM(I500:I501)</f>
        <v>193</v>
      </c>
      <c r="P501">
        <f t="shared" si="47"/>
        <v>96</v>
      </c>
    </row>
    <row r="502" spans="1:16" hidden="1" x14ac:dyDescent="0.3">
      <c r="A502" t="str">
        <f t="shared" si="46"/>
        <v>2016Brian8</v>
      </c>
      <c r="B502">
        <f t="shared" si="42"/>
        <v>517</v>
      </c>
      <c r="C502">
        <f t="shared" si="43"/>
        <v>1318</v>
      </c>
      <c r="D502" t="s">
        <v>26</v>
      </c>
      <c r="E502" t="str">
        <f>D503</f>
        <v>Michael</v>
      </c>
      <c r="F502">
        <v>2016</v>
      </c>
      <c r="G502">
        <v>8</v>
      </c>
      <c r="H502">
        <v>1.1000000000000001</v>
      </c>
      <c r="I502" s="14">
        <v>82</v>
      </c>
      <c r="J502">
        <f>I502-I503</f>
        <v>20</v>
      </c>
      <c r="K502" t="str">
        <f t="shared" si="44"/>
        <v>W</v>
      </c>
      <c r="L502" t="str">
        <f t="shared" si="45"/>
        <v>Brian</v>
      </c>
      <c r="M502" t="str">
        <f>VLOOKUP(L502,References!$A$2:$B$16,2,FALSE)</f>
        <v>TEXAROK</v>
      </c>
      <c r="N502" s="19" t="str">
        <f>IF(M502=M503,"N","Y")</f>
        <v>Y</v>
      </c>
      <c r="O502">
        <f>SUM(I502:I503)</f>
        <v>144</v>
      </c>
      <c r="P502">
        <f t="shared" si="47"/>
        <v>62</v>
      </c>
    </row>
    <row r="503" spans="1:16" hidden="1" x14ac:dyDescent="0.3">
      <c r="A503" t="str">
        <f t="shared" si="46"/>
        <v>2016Michael8</v>
      </c>
      <c r="B503">
        <f t="shared" si="42"/>
        <v>1546</v>
      </c>
      <c r="C503">
        <f t="shared" si="43"/>
        <v>1910</v>
      </c>
      <c r="D503" t="s">
        <v>23</v>
      </c>
      <c r="E503" t="str">
        <f>D502</f>
        <v>Brian</v>
      </c>
      <c r="F503">
        <v>2016</v>
      </c>
      <c r="G503">
        <v>8</v>
      </c>
      <c r="H503">
        <v>1.2</v>
      </c>
      <c r="I503" s="14">
        <v>62</v>
      </c>
      <c r="J503">
        <f>I503-I502</f>
        <v>-20</v>
      </c>
      <c r="K503" t="str">
        <f t="shared" si="44"/>
        <v>L</v>
      </c>
      <c r="L503" t="str">
        <f t="shared" si="45"/>
        <v>Michael</v>
      </c>
      <c r="M503" t="str">
        <f>VLOOKUP(L503,References!$A$2:$B$16,2,FALSE)</f>
        <v>AKCOVA</v>
      </c>
      <c r="N503" s="19" t="str">
        <f>IF(M503=M502,"N","Y")</f>
        <v>Y</v>
      </c>
      <c r="O503">
        <f>SUM(I502:I503)</f>
        <v>144</v>
      </c>
      <c r="P503">
        <f t="shared" si="47"/>
        <v>82</v>
      </c>
    </row>
    <row r="504" spans="1:16" hidden="1" x14ac:dyDescent="0.3">
      <c r="A504" t="str">
        <f t="shared" si="46"/>
        <v>2016Mark8</v>
      </c>
      <c r="B504">
        <f t="shared" si="42"/>
        <v>1455</v>
      </c>
      <c r="C504">
        <f t="shared" si="43"/>
        <v>1027</v>
      </c>
      <c r="D504" t="s">
        <v>22</v>
      </c>
      <c r="E504" t="str">
        <f>D505</f>
        <v>Brent</v>
      </c>
      <c r="F504">
        <v>2016</v>
      </c>
      <c r="G504">
        <v>8</v>
      </c>
      <c r="H504">
        <v>2.1</v>
      </c>
      <c r="I504" s="14">
        <v>90</v>
      </c>
      <c r="J504">
        <f>I504-I505</f>
        <v>-16</v>
      </c>
      <c r="K504" t="str">
        <f t="shared" si="44"/>
        <v>L</v>
      </c>
      <c r="L504" t="str">
        <f t="shared" si="45"/>
        <v>Mark</v>
      </c>
      <c r="M504" t="str">
        <f>VLOOKUP(L504,References!$A$2:$B$16,2,FALSE)</f>
        <v>AKCOVA</v>
      </c>
      <c r="N504" s="19" t="str">
        <f>IF(M504=M505,"N","Y")</f>
        <v>Y</v>
      </c>
      <c r="O504">
        <f>SUM(I504:I505)</f>
        <v>196</v>
      </c>
      <c r="P504">
        <f t="shared" si="47"/>
        <v>106</v>
      </c>
    </row>
    <row r="505" spans="1:16" hidden="1" x14ac:dyDescent="0.3">
      <c r="A505" t="str">
        <f t="shared" si="46"/>
        <v>2016Brent8</v>
      </c>
      <c r="B505">
        <f t="shared" si="42"/>
        <v>619</v>
      </c>
      <c r="C505">
        <f t="shared" si="43"/>
        <v>509</v>
      </c>
      <c r="D505" t="s">
        <v>47</v>
      </c>
      <c r="E505" t="str">
        <f>D504</f>
        <v>Mark</v>
      </c>
      <c r="F505">
        <v>2016</v>
      </c>
      <c r="G505">
        <v>8</v>
      </c>
      <c r="H505">
        <v>2.2000000000000002</v>
      </c>
      <c r="I505" s="14">
        <v>106</v>
      </c>
      <c r="J505">
        <f>I505-I504</f>
        <v>16</v>
      </c>
      <c r="K505" t="str">
        <f t="shared" si="44"/>
        <v>W</v>
      </c>
      <c r="L505" t="str">
        <f t="shared" si="45"/>
        <v>Brent</v>
      </c>
      <c r="M505" t="str">
        <f>VLOOKUP(L505,References!$A$2:$B$16,2,FALSE)</f>
        <v>TEXAROK</v>
      </c>
      <c r="N505" s="19" t="str">
        <f>IF(M505=M504,"N","Y")</f>
        <v>Y</v>
      </c>
      <c r="O505">
        <f>SUM(I504:I505)</f>
        <v>196</v>
      </c>
      <c r="P505">
        <f t="shared" si="47"/>
        <v>90</v>
      </c>
    </row>
    <row r="506" spans="1:16" hidden="1" x14ac:dyDescent="0.3">
      <c r="A506" t="str">
        <f t="shared" si="46"/>
        <v>2016Charles8</v>
      </c>
      <c r="B506">
        <f t="shared" si="42"/>
        <v>1229</v>
      </c>
      <c r="C506">
        <f t="shared" si="43"/>
        <v>1549</v>
      </c>
      <c r="D506" t="s">
        <v>48</v>
      </c>
      <c r="E506" t="str">
        <f>D507</f>
        <v>David</v>
      </c>
      <c r="F506">
        <v>2016</v>
      </c>
      <c r="G506">
        <v>8</v>
      </c>
      <c r="H506">
        <v>3.1</v>
      </c>
      <c r="I506" s="14">
        <v>76</v>
      </c>
      <c r="J506">
        <f>I506-I507</f>
        <v>-7</v>
      </c>
      <c r="K506" t="str">
        <f t="shared" si="44"/>
        <v>L</v>
      </c>
      <c r="L506" t="str">
        <f t="shared" si="45"/>
        <v>Charles</v>
      </c>
      <c r="M506" t="str">
        <f>VLOOKUP(L506,References!$A$2:$B$16,2,FALSE)</f>
        <v>AKCOVA</v>
      </c>
      <c r="N506" s="19" t="str">
        <f>IF(M506=M507,"N","Y")</f>
        <v>Y</v>
      </c>
      <c r="O506">
        <f>SUM(I506:I507)</f>
        <v>159</v>
      </c>
      <c r="P506">
        <f t="shared" si="47"/>
        <v>83</v>
      </c>
    </row>
    <row r="507" spans="1:16" hidden="1" x14ac:dyDescent="0.3">
      <c r="A507" t="str">
        <f t="shared" si="46"/>
        <v>2016David8</v>
      </c>
      <c r="B507">
        <f t="shared" si="42"/>
        <v>836</v>
      </c>
      <c r="C507">
        <f t="shared" si="43"/>
        <v>1282</v>
      </c>
      <c r="D507" t="s">
        <v>29</v>
      </c>
      <c r="E507" t="str">
        <f>D506</f>
        <v>Charles</v>
      </c>
      <c r="F507">
        <v>2016</v>
      </c>
      <c r="G507">
        <v>8</v>
      </c>
      <c r="H507">
        <v>3.2</v>
      </c>
      <c r="I507" s="14">
        <v>83</v>
      </c>
      <c r="J507">
        <f>I507-I506</f>
        <v>7</v>
      </c>
      <c r="K507" t="str">
        <f t="shared" si="44"/>
        <v>W</v>
      </c>
      <c r="L507" t="str">
        <f t="shared" si="45"/>
        <v>David</v>
      </c>
      <c r="M507" t="str">
        <f>VLOOKUP(L507,References!$A$2:$B$16,2,FALSE)</f>
        <v>TEXAROK</v>
      </c>
      <c r="N507" s="19" t="str">
        <f>IF(M507=M506,"N","Y")</f>
        <v>Y</v>
      </c>
      <c r="O507">
        <f>SUM(I506:I507)</f>
        <v>159</v>
      </c>
      <c r="P507">
        <f t="shared" si="47"/>
        <v>76</v>
      </c>
    </row>
    <row r="508" spans="1:16" hidden="1" x14ac:dyDescent="0.3">
      <c r="A508" t="str">
        <f t="shared" si="46"/>
        <v>2016Abby8</v>
      </c>
      <c r="B508">
        <f t="shared" si="42"/>
        <v>897</v>
      </c>
      <c r="C508">
        <f t="shared" si="43"/>
        <v>958</v>
      </c>
      <c r="D508" t="s">
        <v>27</v>
      </c>
      <c r="E508" t="str">
        <f>D509</f>
        <v>Emily</v>
      </c>
      <c r="F508">
        <v>2016</v>
      </c>
      <c r="G508">
        <v>8</v>
      </c>
      <c r="H508">
        <v>4.0999999999999996</v>
      </c>
      <c r="I508" s="14">
        <v>92</v>
      </c>
      <c r="J508">
        <f>I508-I509</f>
        <v>5</v>
      </c>
      <c r="K508" t="str">
        <f t="shared" si="44"/>
        <v>W</v>
      </c>
      <c r="L508" t="str">
        <f t="shared" si="45"/>
        <v>Abby</v>
      </c>
      <c r="M508" t="str">
        <f>VLOOKUP(L508,References!$A$2:$B$16,2,FALSE)</f>
        <v>AKCOVA</v>
      </c>
      <c r="N508" s="19" t="str">
        <f>IF(M508=M509,"N","Y")</f>
        <v>Y</v>
      </c>
      <c r="O508">
        <f>SUM(I508:I509)</f>
        <v>179</v>
      </c>
      <c r="P508">
        <f t="shared" si="47"/>
        <v>87</v>
      </c>
    </row>
    <row r="509" spans="1:16" hidden="1" x14ac:dyDescent="0.3">
      <c r="A509" t="str">
        <f t="shared" si="46"/>
        <v>2016Emily8</v>
      </c>
      <c r="B509">
        <f t="shared" si="42"/>
        <v>1177</v>
      </c>
      <c r="C509">
        <f t="shared" si="43"/>
        <v>1143</v>
      </c>
      <c r="D509" t="s">
        <v>43</v>
      </c>
      <c r="E509" t="str">
        <f>D508</f>
        <v>Abby</v>
      </c>
      <c r="F509">
        <v>2016</v>
      </c>
      <c r="G509">
        <v>8</v>
      </c>
      <c r="H509">
        <v>4.2</v>
      </c>
      <c r="I509" s="14">
        <v>87</v>
      </c>
      <c r="J509">
        <f>I509-I508</f>
        <v>-5</v>
      </c>
      <c r="K509" t="str">
        <f t="shared" si="44"/>
        <v>L</v>
      </c>
      <c r="L509" t="str">
        <f t="shared" si="45"/>
        <v>Emily</v>
      </c>
      <c r="M509" t="str">
        <f>VLOOKUP(L509,References!$A$2:$B$16,2,FALSE)</f>
        <v>TEXAROK</v>
      </c>
      <c r="N509" s="19" t="str">
        <f>IF(M509=M508,"N","Y")</f>
        <v>Y</v>
      </c>
      <c r="O509">
        <f>SUM(I508:I509)</f>
        <v>179</v>
      </c>
      <c r="P509">
        <f t="shared" si="47"/>
        <v>92</v>
      </c>
    </row>
    <row r="510" spans="1:16" hidden="1" x14ac:dyDescent="0.3">
      <c r="A510" t="str">
        <f t="shared" si="46"/>
        <v>2016BR8</v>
      </c>
      <c r="B510">
        <f t="shared" si="42"/>
        <v>1840</v>
      </c>
      <c r="C510">
        <f t="shared" si="43"/>
        <v>1988</v>
      </c>
      <c r="D510" t="s">
        <v>25</v>
      </c>
      <c r="E510" t="str">
        <f>D511</f>
        <v>Russell</v>
      </c>
      <c r="F510">
        <v>2016</v>
      </c>
      <c r="G510">
        <v>8</v>
      </c>
      <c r="H510">
        <v>5.0999999999999996</v>
      </c>
      <c r="I510" s="14">
        <v>57</v>
      </c>
      <c r="J510">
        <f>I510-I511</f>
        <v>-36</v>
      </c>
      <c r="K510" t="str">
        <f t="shared" si="44"/>
        <v>L</v>
      </c>
      <c r="L510" t="str">
        <f t="shared" si="45"/>
        <v>BR</v>
      </c>
      <c r="M510" t="str">
        <f>VLOOKUP(L510,References!$A$2:$B$16,2,FALSE)</f>
        <v>AKCOVA</v>
      </c>
      <c r="N510" s="19" t="str">
        <f>IF(M510=M511,"N","Y")</f>
        <v>Y</v>
      </c>
      <c r="O510">
        <f>SUM(I510:I511)</f>
        <v>150</v>
      </c>
      <c r="P510">
        <f t="shared" si="47"/>
        <v>93</v>
      </c>
    </row>
    <row r="511" spans="1:16" hidden="1" x14ac:dyDescent="0.3">
      <c r="A511" t="str">
        <f t="shared" si="46"/>
        <v>2016Russell8</v>
      </c>
      <c r="B511">
        <f t="shared" si="42"/>
        <v>238</v>
      </c>
      <c r="C511">
        <f t="shared" si="43"/>
        <v>926</v>
      </c>
      <c r="D511" t="s">
        <v>28</v>
      </c>
      <c r="E511" t="str">
        <f>D510</f>
        <v>BR</v>
      </c>
      <c r="F511">
        <v>2016</v>
      </c>
      <c r="G511">
        <v>8</v>
      </c>
      <c r="H511">
        <v>5.2</v>
      </c>
      <c r="I511" s="14">
        <v>93</v>
      </c>
      <c r="J511">
        <f>I511-I510</f>
        <v>36</v>
      </c>
      <c r="K511" t="str">
        <f t="shared" si="44"/>
        <v>W</v>
      </c>
      <c r="L511" t="str">
        <f t="shared" si="45"/>
        <v>Russell</v>
      </c>
      <c r="M511" t="str">
        <f>VLOOKUP(L511,References!$A$2:$B$16,2,FALSE)</f>
        <v>TEXAROK</v>
      </c>
      <c r="N511" s="19" t="str">
        <f>IF(M511=M510,"N","Y")</f>
        <v>Y</v>
      </c>
      <c r="O511">
        <f>SUM(I510:I511)</f>
        <v>150</v>
      </c>
      <c r="P511">
        <f t="shared" si="47"/>
        <v>57</v>
      </c>
    </row>
    <row r="512" spans="1:16" hidden="1" x14ac:dyDescent="0.3">
      <c r="A512" t="str">
        <f t="shared" si="46"/>
        <v>2016Watty8</v>
      </c>
      <c r="B512">
        <f t="shared" si="42"/>
        <v>1004</v>
      </c>
      <c r="C512">
        <f t="shared" si="43"/>
        <v>1549</v>
      </c>
      <c r="D512" t="s">
        <v>24</v>
      </c>
      <c r="E512" t="str">
        <f>D513</f>
        <v>Matt</v>
      </c>
      <c r="F512">
        <v>2016</v>
      </c>
      <c r="G512">
        <v>8</v>
      </c>
      <c r="H512">
        <v>6.1</v>
      </c>
      <c r="I512" s="14">
        <v>76</v>
      </c>
      <c r="J512">
        <f>I512-I513</f>
        <v>1</v>
      </c>
      <c r="K512" t="str">
        <f t="shared" si="44"/>
        <v>W</v>
      </c>
      <c r="L512" t="str">
        <f t="shared" si="45"/>
        <v>Watty</v>
      </c>
      <c r="M512" t="str">
        <f>VLOOKUP(L512,References!$A$2:$B$16,2,FALSE)</f>
        <v>AKCOVA</v>
      </c>
      <c r="N512" s="19" t="str">
        <f>IF(M512=M513,"N","Y")</f>
        <v>Y</v>
      </c>
      <c r="O512">
        <f>SUM(I512:I513)</f>
        <v>151</v>
      </c>
      <c r="P512">
        <f t="shared" si="47"/>
        <v>75</v>
      </c>
    </row>
    <row r="513" spans="1:16" hidden="1" x14ac:dyDescent="0.3">
      <c r="A513" t="str">
        <f t="shared" si="46"/>
        <v>2016Matt8</v>
      </c>
      <c r="B513">
        <f t="shared" si="42"/>
        <v>1055</v>
      </c>
      <c r="C513">
        <f t="shared" si="43"/>
        <v>1595</v>
      </c>
      <c r="D513" t="s">
        <v>30</v>
      </c>
      <c r="E513" t="str">
        <f>D512</f>
        <v>Watty</v>
      </c>
      <c r="F513">
        <v>2016</v>
      </c>
      <c r="G513">
        <v>8</v>
      </c>
      <c r="H513">
        <v>6.2</v>
      </c>
      <c r="I513" s="14">
        <v>75</v>
      </c>
      <c r="J513">
        <f>I513-I512</f>
        <v>-1</v>
      </c>
      <c r="K513" t="str">
        <f t="shared" si="44"/>
        <v>L</v>
      </c>
      <c r="L513" t="str">
        <f t="shared" si="45"/>
        <v>Matt</v>
      </c>
      <c r="M513" t="str">
        <f>VLOOKUP(L513,References!$A$2:$B$16,2,FALSE)</f>
        <v>TEXAROK</v>
      </c>
      <c r="N513" s="19" t="str">
        <f>IF(M513=M512,"N","Y")</f>
        <v>Y</v>
      </c>
      <c r="O513">
        <f>SUM(I512:I513)</f>
        <v>151</v>
      </c>
      <c r="P513">
        <f t="shared" si="47"/>
        <v>76</v>
      </c>
    </row>
    <row r="514" spans="1:16" hidden="1" x14ac:dyDescent="0.3">
      <c r="A514" t="str">
        <f t="shared" si="46"/>
        <v>2016Michael9</v>
      </c>
      <c r="B514">
        <f t="shared" ref="B514:B577" si="48">RANK(J514,diff)</f>
        <v>2035</v>
      </c>
      <c r="C514">
        <f t="shared" ref="C514:C577" si="49">RANK(I514,points)</f>
        <v>2040</v>
      </c>
      <c r="D514" t="s">
        <v>23</v>
      </c>
      <c r="E514" t="str">
        <f>D515</f>
        <v>Charles</v>
      </c>
      <c r="F514">
        <v>2016</v>
      </c>
      <c r="G514">
        <v>9</v>
      </c>
      <c r="H514">
        <v>1.1000000000000001</v>
      </c>
      <c r="I514" s="14">
        <v>51</v>
      </c>
      <c r="J514">
        <f>I514-I515</f>
        <v>-60</v>
      </c>
      <c r="K514" t="str">
        <f t="shared" ref="K514:K577" si="50">IF(J514&gt;0,"W",IF(J514&lt;0,"L","T"))</f>
        <v>L</v>
      </c>
      <c r="L514" t="str">
        <f t="shared" ref="L514:L577" si="51">D514</f>
        <v>Michael</v>
      </c>
      <c r="M514" t="str">
        <f>VLOOKUP(L514,References!$A$2:$B$16,2,FALSE)</f>
        <v>AKCOVA</v>
      </c>
      <c r="N514" s="19" t="str">
        <f>IF(M514=M515,"N","Y")</f>
        <v>N</v>
      </c>
      <c r="O514">
        <f>SUM(I514:I515)</f>
        <v>162</v>
      </c>
      <c r="P514">
        <f t="shared" si="47"/>
        <v>111</v>
      </c>
    </row>
    <row r="515" spans="1:16" hidden="1" x14ac:dyDescent="0.3">
      <c r="A515" t="str">
        <f t="shared" ref="A515:A578" si="52">F515&amp;D515&amp;G515</f>
        <v>2016Charles9</v>
      </c>
      <c r="B515">
        <f t="shared" si="48"/>
        <v>52</v>
      </c>
      <c r="C515">
        <f t="shared" si="49"/>
        <v>383</v>
      </c>
      <c r="D515" t="s">
        <v>48</v>
      </c>
      <c r="E515" t="str">
        <f>D514</f>
        <v>Michael</v>
      </c>
      <c r="F515">
        <v>2016</v>
      </c>
      <c r="G515">
        <v>9</v>
      </c>
      <c r="H515">
        <v>1.2</v>
      </c>
      <c r="I515" s="14">
        <v>111</v>
      </c>
      <c r="J515">
        <f>I515-I514</f>
        <v>60</v>
      </c>
      <c r="K515" t="str">
        <f t="shared" si="50"/>
        <v>W</v>
      </c>
      <c r="L515" t="str">
        <f t="shared" si="51"/>
        <v>Charles</v>
      </c>
      <c r="M515" t="str">
        <f>VLOOKUP(L515,References!$A$2:$B$16,2,FALSE)</f>
        <v>AKCOVA</v>
      </c>
      <c r="N515" s="19" t="str">
        <f>IF(M515=M514,"N","Y")</f>
        <v>N</v>
      </c>
      <c r="O515">
        <f>SUM(I514:I515)</f>
        <v>162</v>
      </c>
      <c r="P515">
        <f t="shared" ref="P515:P578" si="53">I515-J515</f>
        <v>51</v>
      </c>
    </row>
    <row r="516" spans="1:16" hidden="1" x14ac:dyDescent="0.3">
      <c r="A516" t="str">
        <f t="shared" si="52"/>
        <v>2016Russell9</v>
      </c>
      <c r="B516">
        <f t="shared" si="48"/>
        <v>571</v>
      </c>
      <c r="C516">
        <f t="shared" si="49"/>
        <v>1241</v>
      </c>
      <c r="D516" t="s">
        <v>28</v>
      </c>
      <c r="E516" t="str">
        <f>D517</f>
        <v>Mark</v>
      </c>
      <c r="F516">
        <v>2016</v>
      </c>
      <c r="G516">
        <v>9</v>
      </c>
      <c r="H516">
        <v>2.1</v>
      </c>
      <c r="I516" s="14">
        <v>84</v>
      </c>
      <c r="J516">
        <f>I516-I517</f>
        <v>18</v>
      </c>
      <c r="K516" t="str">
        <f t="shared" si="50"/>
        <v>W</v>
      </c>
      <c r="L516" t="str">
        <f t="shared" si="51"/>
        <v>Russell</v>
      </c>
      <c r="M516" t="str">
        <f>VLOOKUP(L516,References!$A$2:$B$16,2,FALSE)</f>
        <v>TEXAROK</v>
      </c>
      <c r="N516" s="19" t="str">
        <f>IF(M516=M517,"N","Y")</f>
        <v>Y</v>
      </c>
      <c r="O516">
        <f>SUM(I516:I517)</f>
        <v>150</v>
      </c>
      <c r="P516">
        <f t="shared" si="53"/>
        <v>66</v>
      </c>
    </row>
    <row r="517" spans="1:16" hidden="1" x14ac:dyDescent="0.3">
      <c r="A517" t="str">
        <f t="shared" si="52"/>
        <v>2016Mark9</v>
      </c>
      <c r="B517">
        <f t="shared" si="48"/>
        <v>1497</v>
      </c>
      <c r="C517">
        <f t="shared" si="49"/>
        <v>1833</v>
      </c>
      <c r="D517" t="s">
        <v>22</v>
      </c>
      <c r="E517" t="str">
        <f>D516</f>
        <v>Russell</v>
      </c>
      <c r="F517">
        <v>2016</v>
      </c>
      <c r="G517">
        <v>9</v>
      </c>
      <c r="H517">
        <v>2.2000000000000002</v>
      </c>
      <c r="I517" s="14">
        <v>66</v>
      </c>
      <c r="J517">
        <f>I517-I516</f>
        <v>-18</v>
      </c>
      <c r="K517" t="str">
        <f t="shared" si="50"/>
        <v>L</v>
      </c>
      <c r="L517" t="str">
        <f t="shared" si="51"/>
        <v>Mark</v>
      </c>
      <c r="M517" t="str">
        <f>VLOOKUP(L517,References!$A$2:$B$16,2,FALSE)</f>
        <v>AKCOVA</v>
      </c>
      <c r="N517" s="19" t="str">
        <f>IF(M517=M516,"N","Y")</f>
        <v>Y</v>
      </c>
      <c r="O517">
        <f>SUM(I516:I517)</f>
        <v>150</v>
      </c>
      <c r="P517">
        <f t="shared" si="53"/>
        <v>84</v>
      </c>
    </row>
    <row r="518" spans="1:16" hidden="1" x14ac:dyDescent="0.3">
      <c r="A518" t="str">
        <f t="shared" si="52"/>
        <v>2016Matt9</v>
      </c>
      <c r="B518">
        <f t="shared" si="48"/>
        <v>371</v>
      </c>
      <c r="C518">
        <f t="shared" si="49"/>
        <v>678</v>
      </c>
      <c r="D518" t="s">
        <v>30</v>
      </c>
      <c r="E518" t="str">
        <f>D519</f>
        <v>Brian</v>
      </c>
      <c r="F518">
        <v>2016</v>
      </c>
      <c r="G518">
        <v>9</v>
      </c>
      <c r="H518">
        <v>3.1</v>
      </c>
      <c r="I518" s="14">
        <v>100</v>
      </c>
      <c r="J518">
        <f>I518-I519</f>
        <v>27</v>
      </c>
      <c r="K518" t="str">
        <f t="shared" si="50"/>
        <v>W</v>
      </c>
      <c r="L518" t="str">
        <f t="shared" si="51"/>
        <v>Matt</v>
      </c>
      <c r="M518" t="str">
        <f>VLOOKUP(L518,References!$A$2:$B$16,2,FALSE)</f>
        <v>TEXAROK</v>
      </c>
      <c r="N518" s="19" t="str">
        <f>IF(M518=M519,"N","Y")</f>
        <v>N</v>
      </c>
      <c r="O518">
        <f>SUM(I518:I519)</f>
        <v>173</v>
      </c>
      <c r="P518">
        <f t="shared" si="53"/>
        <v>73</v>
      </c>
    </row>
    <row r="519" spans="1:16" hidden="1" x14ac:dyDescent="0.3">
      <c r="A519" t="str">
        <f t="shared" si="52"/>
        <v>2016Brian9</v>
      </c>
      <c r="B519">
        <f t="shared" si="48"/>
        <v>1702</v>
      </c>
      <c r="C519">
        <f t="shared" si="49"/>
        <v>1648</v>
      </c>
      <c r="D519" t="s">
        <v>26</v>
      </c>
      <c r="E519" t="str">
        <f>D518</f>
        <v>Matt</v>
      </c>
      <c r="F519">
        <v>2016</v>
      </c>
      <c r="G519">
        <v>9</v>
      </c>
      <c r="H519">
        <v>3.2</v>
      </c>
      <c r="I519" s="14">
        <v>73</v>
      </c>
      <c r="J519">
        <f>I519-I518</f>
        <v>-27</v>
      </c>
      <c r="K519" t="str">
        <f t="shared" si="50"/>
        <v>L</v>
      </c>
      <c r="L519" t="str">
        <f t="shared" si="51"/>
        <v>Brian</v>
      </c>
      <c r="M519" t="str">
        <f>VLOOKUP(L519,References!$A$2:$B$16,2,FALSE)</f>
        <v>TEXAROK</v>
      </c>
      <c r="N519" s="19" t="str">
        <f>IF(M519=M518,"N","Y")</f>
        <v>N</v>
      </c>
      <c r="O519">
        <f>SUM(I518:I519)</f>
        <v>173</v>
      </c>
      <c r="P519">
        <f t="shared" si="53"/>
        <v>100</v>
      </c>
    </row>
    <row r="520" spans="1:16" hidden="1" x14ac:dyDescent="0.3">
      <c r="A520" t="str">
        <f t="shared" si="52"/>
        <v>2016Brent9</v>
      </c>
      <c r="B520">
        <f t="shared" si="48"/>
        <v>341</v>
      </c>
      <c r="C520">
        <f t="shared" si="49"/>
        <v>540</v>
      </c>
      <c r="D520" t="s">
        <v>47</v>
      </c>
      <c r="E520" t="str">
        <f>D521</f>
        <v>Abby</v>
      </c>
      <c r="F520">
        <v>2016</v>
      </c>
      <c r="G520">
        <v>9</v>
      </c>
      <c r="H520">
        <v>4.0999999999999996</v>
      </c>
      <c r="I520" s="14">
        <v>105</v>
      </c>
      <c r="J520">
        <f>I520-I521</f>
        <v>29</v>
      </c>
      <c r="K520" t="str">
        <f t="shared" si="50"/>
        <v>W</v>
      </c>
      <c r="L520" t="str">
        <f t="shared" si="51"/>
        <v>Brent</v>
      </c>
      <c r="M520" t="str">
        <f>VLOOKUP(L520,References!$A$2:$B$16,2,FALSE)</f>
        <v>TEXAROK</v>
      </c>
      <c r="N520" s="19" t="str">
        <f>IF(M520=M521,"N","Y")</f>
        <v>Y</v>
      </c>
      <c r="O520">
        <f>SUM(I520:I521)</f>
        <v>181</v>
      </c>
      <c r="P520">
        <f t="shared" si="53"/>
        <v>76</v>
      </c>
    </row>
    <row r="521" spans="1:16" hidden="1" x14ac:dyDescent="0.3">
      <c r="A521" t="str">
        <f t="shared" si="52"/>
        <v>2016Abby9</v>
      </c>
      <c r="B521">
        <f t="shared" si="48"/>
        <v>1738</v>
      </c>
      <c r="C521">
        <f t="shared" si="49"/>
        <v>1549</v>
      </c>
      <c r="D521" t="s">
        <v>27</v>
      </c>
      <c r="E521" t="str">
        <f>D520</f>
        <v>Brent</v>
      </c>
      <c r="F521">
        <v>2016</v>
      </c>
      <c r="G521">
        <v>9</v>
      </c>
      <c r="H521">
        <v>4.2</v>
      </c>
      <c r="I521" s="14">
        <v>76</v>
      </c>
      <c r="J521">
        <f>I521-I520</f>
        <v>-29</v>
      </c>
      <c r="K521" t="str">
        <f t="shared" si="50"/>
        <v>L</v>
      </c>
      <c r="L521" t="str">
        <f t="shared" si="51"/>
        <v>Abby</v>
      </c>
      <c r="M521" t="str">
        <f>VLOOKUP(L521,References!$A$2:$B$16,2,FALSE)</f>
        <v>AKCOVA</v>
      </c>
      <c r="N521" s="19" t="str">
        <f>IF(M521=M520,"N","Y")</f>
        <v>Y</v>
      </c>
      <c r="O521">
        <f>SUM(I520:I521)</f>
        <v>181</v>
      </c>
      <c r="P521">
        <f t="shared" si="53"/>
        <v>105</v>
      </c>
    </row>
    <row r="522" spans="1:16" hidden="1" x14ac:dyDescent="0.3">
      <c r="A522" t="str">
        <f t="shared" si="52"/>
        <v>2016David9</v>
      </c>
      <c r="B522">
        <f t="shared" si="48"/>
        <v>548</v>
      </c>
      <c r="C522">
        <f t="shared" si="49"/>
        <v>1282</v>
      </c>
      <c r="D522" t="s">
        <v>29</v>
      </c>
      <c r="E522" t="str">
        <f>D523</f>
        <v>BR</v>
      </c>
      <c r="F522">
        <v>2016</v>
      </c>
      <c r="G522">
        <v>9</v>
      </c>
      <c r="H522">
        <v>5.0999999999999996</v>
      </c>
      <c r="I522" s="14">
        <v>83</v>
      </c>
      <c r="J522">
        <f>I522-I523</f>
        <v>19</v>
      </c>
      <c r="K522" t="str">
        <f t="shared" si="50"/>
        <v>W</v>
      </c>
      <c r="L522" t="str">
        <f t="shared" si="51"/>
        <v>David</v>
      </c>
      <c r="M522" t="str">
        <f>VLOOKUP(L522,References!$A$2:$B$16,2,FALSE)</f>
        <v>TEXAROK</v>
      </c>
      <c r="N522" s="19" t="str">
        <f>IF(M522=M523,"N","Y")</f>
        <v>Y</v>
      </c>
      <c r="O522">
        <f>SUM(I522:I523)</f>
        <v>147</v>
      </c>
      <c r="P522">
        <f t="shared" si="53"/>
        <v>64</v>
      </c>
    </row>
    <row r="523" spans="1:16" hidden="1" x14ac:dyDescent="0.3">
      <c r="A523" t="str">
        <f t="shared" si="52"/>
        <v>2016BR9</v>
      </c>
      <c r="B523">
        <f t="shared" si="48"/>
        <v>1523</v>
      </c>
      <c r="C523">
        <f t="shared" si="49"/>
        <v>1867</v>
      </c>
      <c r="D523" t="s">
        <v>25</v>
      </c>
      <c r="E523" t="str">
        <f>D522</f>
        <v>David</v>
      </c>
      <c r="F523">
        <v>2016</v>
      </c>
      <c r="G523">
        <v>9</v>
      </c>
      <c r="H523">
        <v>5.2</v>
      </c>
      <c r="I523" s="14">
        <v>64</v>
      </c>
      <c r="J523">
        <f>I523-I522</f>
        <v>-19</v>
      </c>
      <c r="K523" t="str">
        <f t="shared" si="50"/>
        <v>L</v>
      </c>
      <c r="L523" t="str">
        <f t="shared" si="51"/>
        <v>BR</v>
      </c>
      <c r="M523" t="str">
        <f>VLOOKUP(L523,References!$A$2:$B$16,2,FALSE)</f>
        <v>AKCOVA</v>
      </c>
      <c r="N523" s="19" t="str">
        <f>IF(M523=M522,"N","Y")</f>
        <v>Y</v>
      </c>
      <c r="O523">
        <f>SUM(I522:I523)</f>
        <v>147</v>
      </c>
      <c r="P523">
        <f t="shared" si="53"/>
        <v>83</v>
      </c>
    </row>
    <row r="524" spans="1:16" hidden="1" x14ac:dyDescent="0.3">
      <c r="A524" t="str">
        <f t="shared" si="52"/>
        <v>2016Emily9</v>
      </c>
      <c r="B524">
        <f t="shared" si="48"/>
        <v>737</v>
      </c>
      <c r="C524">
        <f t="shared" si="49"/>
        <v>566</v>
      </c>
      <c r="D524" t="s">
        <v>43</v>
      </c>
      <c r="E524" t="str">
        <f>D525</f>
        <v>Watty</v>
      </c>
      <c r="F524">
        <v>2016</v>
      </c>
      <c r="G524">
        <v>9</v>
      </c>
      <c r="H524">
        <v>6.1</v>
      </c>
      <c r="I524" s="14">
        <v>104</v>
      </c>
      <c r="J524">
        <f>I524-I525</f>
        <v>11</v>
      </c>
      <c r="K524" t="str">
        <f t="shared" si="50"/>
        <v>W</v>
      </c>
      <c r="L524" t="str">
        <f t="shared" si="51"/>
        <v>Emily</v>
      </c>
      <c r="M524" t="str">
        <f>VLOOKUP(L524,References!$A$2:$B$16,2,FALSE)</f>
        <v>TEXAROK</v>
      </c>
      <c r="N524" s="19" t="str">
        <f>IF(M524=M525,"N","Y")</f>
        <v>Y</v>
      </c>
      <c r="O524">
        <f>SUM(I524:I525)</f>
        <v>197</v>
      </c>
      <c r="P524">
        <f t="shared" si="53"/>
        <v>93</v>
      </c>
    </row>
    <row r="525" spans="1:16" hidden="1" x14ac:dyDescent="0.3">
      <c r="A525" t="str">
        <f t="shared" si="52"/>
        <v>2016Watty9</v>
      </c>
      <c r="B525">
        <f t="shared" si="48"/>
        <v>1336</v>
      </c>
      <c r="C525">
        <f t="shared" si="49"/>
        <v>926</v>
      </c>
      <c r="D525" t="s">
        <v>24</v>
      </c>
      <c r="E525" t="str">
        <f>D524</f>
        <v>Emily</v>
      </c>
      <c r="F525">
        <v>2016</v>
      </c>
      <c r="G525">
        <v>9</v>
      </c>
      <c r="H525">
        <v>6.2</v>
      </c>
      <c r="I525" s="14">
        <v>93</v>
      </c>
      <c r="J525">
        <f>I525-I524</f>
        <v>-11</v>
      </c>
      <c r="K525" t="str">
        <f t="shared" si="50"/>
        <v>L</v>
      </c>
      <c r="L525" t="str">
        <f t="shared" si="51"/>
        <v>Watty</v>
      </c>
      <c r="M525" t="str">
        <f>VLOOKUP(L525,References!$A$2:$B$16,2,FALSE)</f>
        <v>AKCOVA</v>
      </c>
      <c r="N525" s="19" t="str">
        <f>IF(M525=M524,"N","Y")</f>
        <v>Y</v>
      </c>
      <c r="O525">
        <f>SUM(I524:I525)</f>
        <v>197</v>
      </c>
      <c r="P525">
        <f t="shared" si="53"/>
        <v>104</v>
      </c>
    </row>
    <row r="526" spans="1:16" hidden="1" x14ac:dyDescent="0.3">
      <c r="A526" t="str">
        <f t="shared" si="52"/>
        <v>2016BR10</v>
      </c>
      <c r="B526">
        <f t="shared" si="48"/>
        <v>1229</v>
      </c>
      <c r="C526">
        <f t="shared" si="49"/>
        <v>1738</v>
      </c>
      <c r="D526" t="s">
        <v>25</v>
      </c>
      <c r="E526" t="str">
        <f>D527</f>
        <v>Michael</v>
      </c>
      <c r="F526">
        <v>2016</v>
      </c>
      <c r="G526">
        <v>10</v>
      </c>
      <c r="H526">
        <v>1.1000000000000001</v>
      </c>
      <c r="I526" s="14">
        <v>70</v>
      </c>
      <c r="J526">
        <f>I526-I527</f>
        <v>-7</v>
      </c>
      <c r="K526" t="str">
        <f t="shared" si="50"/>
        <v>L</v>
      </c>
      <c r="L526" t="str">
        <f t="shared" si="51"/>
        <v>BR</v>
      </c>
      <c r="M526" t="str">
        <f>VLOOKUP(L526,References!$A$2:$B$16,2,FALSE)</f>
        <v>AKCOVA</v>
      </c>
      <c r="N526" s="19" t="str">
        <f>IF(M526=M527,"N","Y")</f>
        <v>N</v>
      </c>
      <c r="O526">
        <f>SUM(I526:I527)</f>
        <v>147</v>
      </c>
      <c r="P526">
        <f t="shared" si="53"/>
        <v>77</v>
      </c>
    </row>
    <row r="527" spans="1:16" hidden="1" x14ac:dyDescent="0.3">
      <c r="A527" t="str">
        <f t="shared" si="52"/>
        <v>2016Michael10</v>
      </c>
      <c r="B527">
        <f t="shared" si="48"/>
        <v>836</v>
      </c>
      <c r="C527">
        <f t="shared" si="49"/>
        <v>1512</v>
      </c>
      <c r="D527" t="s">
        <v>23</v>
      </c>
      <c r="E527" t="str">
        <f>D526</f>
        <v>BR</v>
      </c>
      <c r="F527">
        <v>2016</v>
      </c>
      <c r="G527">
        <v>10</v>
      </c>
      <c r="H527">
        <v>1.2</v>
      </c>
      <c r="I527" s="14">
        <v>77</v>
      </c>
      <c r="J527">
        <f>I527-I526</f>
        <v>7</v>
      </c>
      <c r="K527" t="str">
        <f t="shared" si="50"/>
        <v>W</v>
      </c>
      <c r="L527" t="str">
        <f t="shared" si="51"/>
        <v>Michael</v>
      </c>
      <c r="M527" t="str">
        <f>VLOOKUP(L527,References!$A$2:$B$16,2,FALSE)</f>
        <v>AKCOVA</v>
      </c>
      <c r="N527" s="19" t="str">
        <f>IF(M527=M526,"N","Y")</f>
        <v>N</v>
      </c>
      <c r="O527">
        <f>SUM(I526:I527)</f>
        <v>147</v>
      </c>
      <c r="P527">
        <f t="shared" si="53"/>
        <v>70</v>
      </c>
    </row>
    <row r="528" spans="1:16" hidden="1" x14ac:dyDescent="0.3">
      <c r="A528" t="str">
        <f t="shared" si="52"/>
        <v>2016Mark10</v>
      </c>
      <c r="B528">
        <f t="shared" si="48"/>
        <v>469</v>
      </c>
      <c r="C528">
        <f t="shared" si="49"/>
        <v>1027</v>
      </c>
      <c r="D528" t="s">
        <v>22</v>
      </c>
      <c r="E528" t="str">
        <f>D529</f>
        <v>David</v>
      </c>
      <c r="F528">
        <v>2016</v>
      </c>
      <c r="G528">
        <v>10</v>
      </c>
      <c r="H528">
        <v>2.1</v>
      </c>
      <c r="I528" s="14">
        <v>90</v>
      </c>
      <c r="J528">
        <f>I528-I529</f>
        <v>22</v>
      </c>
      <c r="K528" t="str">
        <f t="shared" si="50"/>
        <v>W</v>
      </c>
      <c r="L528" t="str">
        <f t="shared" si="51"/>
        <v>Mark</v>
      </c>
      <c r="M528" t="str">
        <f>VLOOKUP(L528,References!$A$2:$B$16,2,FALSE)</f>
        <v>AKCOVA</v>
      </c>
      <c r="N528" s="19" t="str">
        <f>IF(M528=M529,"N","Y")</f>
        <v>Y</v>
      </c>
      <c r="O528">
        <f>SUM(I528:I529)</f>
        <v>158</v>
      </c>
      <c r="P528">
        <f t="shared" si="53"/>
        <v>68</v>
      </c>
    </row>
    <row r="529" spans="1:16" hidden="1" x14ac:dyDescent="0.3">
      <c r="A529" t="str">
        <f t="shared" si="52"/>
        <v>2016David10</v>
      </c>
      <c r="B529">
        <f t="shared" si="48"/>
        <v>1605</v>
      </c>
      <c r="C529">
        <f t="shared" si="49"/>
        <v>1793</v>
      </c>
      <c r="D529" t="s">
        <v>29</v>
      </c>
      <c r="E529" t="str">
        <f>D528</f>
        <v>Mark</v>
      </c>
      <c r="F529">
        <v>2016</v>
      </c>
      <c r="G529">
        <v>10</v>
      </c>
      <c r="H529">
        <v>2.2000000000000002</v>
      </c>
      <c r="I529" s="14">
        <v>68</v>
      </c>
      <c r="J529">
        <f>I529-I528</f>
        <v>-22</v>
      </c>
      <c r="K529" t="str">
        <f t="shared" si="50"/>
        <v>L</v>
      </c>
      <c r="L529" t="str">
        <f t="shared" si="51"/>
        <v>David</v>
      </c>
      <c r="M529" t="str">
        <f>VLOOKUP(L529,References!$A$2:$B$16,2,FALSE)</f>
        <v>TEXAROK</v>
      </c>
      <c r="N529" s="19" t="str">
        <f>IF(M529=M528,"N","Y")</f>
        <v>Y</v>
      </c>
      <c r="O529">
        <f>SUM(I528:I529)</f>
        <v>158</v>
      </c>
      <c r="P529">
        <f t="shared" si="53"/>
        <v>90</v>
      </c>
    </row>
    <row r="530" spans="1:16" hidden="1" x14ac:dyDescent="0.3">
      <c r="A530" t="str">
        <f t="shared" si="52"/>
        <v>2016Brian10</v>
      </c>
      <c r="B530">
        <f t="shared" si="48"/>
        <v>97</v>
      </c>
      <c r="C530">
        <f t="shared" si="49"/>
        <v>102</v>
      </c>
      <c r="D530" t="s">
        <v>26</v>
      </c>
      <c r="E530" t="str">
        <f>D531</f>
        <v>Emily</v>
      </c>
      <c r="F530">
        <v>2016</v>
      </c>
      <c r="G530">
        <v>10</v>
      </c>
      <c r="H530">
        <v>3.1</v>
      </c>
      <c r="I530" s="14">
        <v>131</v>
      </c>
      <c r="J530">
        <f>I530-I531</f>
        <v>52</v>
      </c>
      <c r="K530" t="str">
        <f t="shared" si="50"/>
        <v>W</v>
      </c>
      <c r="L530" t="str">
        <f t="shared" si="51"/>
        <v>Brian</v>
      </c>
      <c r="M530" t="str">
        <f>VLOOKUP(L530,References!$A$2:$B$16,2,FALSE)</f>
        <v>TEXAROK</v>
      </c>
      <c r="N530" s="19" t="str">
        <f>IF(M530=M531,"N","Y")</f>
        <v>N</v>
      </c>
      <c r="O530">
        <f>SUM(I530:I531)</f>
        <v>210</v>
      </c>
      <c r="P530">
        <f t="shared" si="53"/>
        <v>79</v>
      </c>
    </row>
    <row r="531" spans="1:16" hidden="1" x14ac:dyDescent="0.3">
      <c r="A531" t="str">
        <f t="shared" si="52"/>
        <v>2016Emily10</v>
      </c>
      <c r="B531">
        <f t="shared" si="48"/>
        <v>1991</v>
      </c>
      <c r="C531">
        <f t="shared" si="49"/>
        <v>1439</v>
      </c>
      <c r="D531" t="s">
        <v>43</v>
      </c>
      <c r="E531" t="str">
        <f>D530</f>
        <v>Brian</v>
      </c>
      <c r="F531">
        <v>2016</v>
      </c>
      <c r="G531">
        <v>10</v>
      </c>
      <c r="H531">
        <v>3.2</v>
      </c>
      <c r="I531" s="14">
        <v>79</v>
      </c>
      <c r="J531">
        <f>I531-I530</f>
        <v>-52</v>
      </c>
      <c r="K531" t="str">
        <f t="shared" si="50"/>
        <v>L</v>
      </c>
      <c r="L531" t="str">
        <f t="shared" si="51"/>
        <v>Emily</v>
      </c>
      <c r="M531" t="str">
        <f>VLOOKUP(L531,References!$A$2:$B$16,2,FALSE)</f>
        <v>TEXAROK</v>
      </c>
      <c r="N531" s="19" t="str">
        <f>IF(M531=M530,"N","Y")</f>
        <v>N</v>
      </c>
      <c r="O531">
        <f>SUM(I530:I531)</f>
        <v>210</v>
      </c>
      <c r="P531">
        <f t="shared" si="53"/>
        <v>131</v>
      </c>
    </row>
    <row r="532" spans="1:16" hidden="1" x14ac:dyDescent="0.3">
      <c r="A532" t="str">
        <f t="shared" si="52"/>
        <v>2016Abby10</v>
      </c>
      <c r="B532">
        <f t="shared" si="48"/>
        <v>1577</v>
      </c>
      <c r="C532">
        <f t="shared" si="49"/>
        <v>958</v>
      </c>
      <c r="D532" t="s">
        <v>27</v>
      </c>
      <c r="E532" t="str">
        <f>D533</f>
        <v>Russell</v>
      </c>
      <c r="F532">
        <v>2016</v>
      </c>
      <c r="G532">
        <v>10</v>
      </c>
      <c r="H532">
        <v>4.0999999999999996</v>
      </c>
      <c r="I532" s="14">
        <v>92</v>
      </c>
      <c r="J532">
        <f>I532-I533</f>
        <v>-21</v>
      </c>
      <c r="K532" t="str">
        <f t="shared" si="50"/>
        <v>L</v>
      </c>
      <c r="L532" t="str">
        <f t="shared" si="51"/>
        <v>Abby</v>
      </c>
      <c r="M532" t="str">
        <f>VLOOKUP(L532,References!$A$2:$B$16,2,FALSE)</f>
        <v>AKCOVA</v>
      </c>
      <c r="N532" s="19" t="str">
        <f>IF(M532=M533,"N","Y")</f>
        <v>Y</v>
      </c>
      <c r="O532">
        <f>SUM(I532:I533)</f>
        <v>205</v>
      </c>
      <c r="P532">
        <f t="shared" si="53"/>
        <v>113</v>
      </c>
    </row>
    <row r="533" spans="1:16" hidden="1" x14ac:dyDescent="0.3">
      <c r="A533" t="str">
        <f t="shared" si="52"/>
        <v>2016Russell10</v>
      </c>
      <c r="B533">
        <f t="shared" si="48"/>
        <v>489</v>
      </c>
      <c r="C533">
        <f t="shared" si="49"/>
        <v>339</v>
      </c>
      <c r="D533" t="s">
        <v>28</v>
      </c>
      <c r="E533" t="str">
        <f>D532</f>
        <v>Abby</v>
      </c>
      <c r="F533">
        <v>2016</v>
      </c>
      <c r="G533">
        <v>10</v>
      </c>
      <c r="H533">
        <v>4.2</v>
      </c>
      <c r="I533" s="14">
        <v>113</v>
      </c>
      <c r="J533">
        <f>I533-I532</f>
        <v>21</v>
      </c>
      <c r="K533" t="str">
        <f t="shared" si="50"/>
        <v>W</v>
      </c>
      <c r="L533" t="str">
        <f t="shared" si="51"/>
        <v>Russell</v>
      </c>
      <c r="M533" t="str">
        <f>VLOOKUP(L533,References!$A$2:$B$16,2,FALSE)</f>
        <v>TEXAROK</v>
      </c>
      <c r="N533" s="19" t="str">
        <f>IF(M533=M532,"N","Y")</f>
        <v>Y</v>
      </c>
      <c r="O533">
        <f>SUM(I532:I533)</f>
        <v>205</v>
      </c>
      <c r="P533">
        <f t="shared" si="53"/>
        <v>92</v>
      </c>
    </row>
    <row r="534" spans="1:16" hidden="1" x14ac:dyDescent="0.3">
      <c r="A534" t="str">
        <f t="shared" si="52"/>
        <v>2016Charles10</v>
      </c>
      <c r="B534">
        <f t="shared" si="48"/>
        <v>660</v>
      </c>
      <c r="C534">
        <f t="shared" si="49"/>
        <v>822</v>
      </c>
      <c r="D534" t="s">
        <v>48</v>
      </c>
      <c r="E534" t="str">
        <f>D535</f>
        <v>Matt</v>
      </c>
      <c r="F534">
        <v>2016</v>
      </c>
      <c r="G534">
        <v>10</v>
      </c>
      <c r="H534">
        <v>5.0999999999999996</v>
      </c>
      <c r="I534" s="14">
        <v>96</v>
      </c>
      <c r="J534">
        <f>I534-I535</f>
        <v>14</v>
      </c>
      <c r="K534" t="str">
        <f t="shared" si="50"/>
        <v>W</v>
      </c>
      <c r="L534" t="str">
        <f t="shared" si="51"/>
        <v>Charles</v>
      </c>
      <c r="M534" t="str">
        <f>VLOOKUP(L534,References!$A$2:$B$16,2,FALSE)</f>
        <v>AKCOVA</v>
      </c>
      <c r="N534" s="19" t="str">
        <f>IF(M534=M535,"N","Y")</f>
        <v>Y</v>
      </c>
      <c r="O534">
        <f>SUM(I534:I535)</f>
        <v>178</v>
      </c>
      <c r="P534">
        <f t="shared" si="53"/>
        <v>82</v>
      </c>
    </row>
    <row r="535" spans="1:16" hidden="1" x14ac:dyDescent="0.3">
      <c r="A535" t="str">
        <f t="shared" si="52"/>
        <v>2016Matt10</v>
      </c>
      <c r="B535">
        <f t="shared" si="48"/>
        <v>1409</v>
      </c>
      <c r="C535">
        <f t="shared" si="49"/>
        <v>1318</v>
      </c>
      <c r="D535" t="s">
        <v>30</v>
      </c>
      <c r="E535" t="str">
        <f>D534</f>
        <v>Charles</v>
      </c>
      <c r="F535">
        <v>2016</v>
      </c>
      <c r="G535">
        <v>10</v>
      </c>
      <c r="H535">
        <v>5.2</v>
      </c>
      <c r="I535" s="14">
        <v>82</v>
      </c>
      <c r="J535">
        <f>I535-I534</f>
        <v>-14</v>
      </c>
      <c r="K535" t="str">
        <f t="shared" si="50"/>
        <v>L</v>
      </c>
      <c r="L535" t="str">
        <f t="shared" si="51"/>
        <v>Matt</v>
      </c>
      <c r="M535" t="str">
        <f>VLOOKUP(L535,References!$A$2:$B$16,2,FALSE)</f>
        <v>TEXAROK</v>
      </c>
      <c r="N535" s="19" t="str">
        <f>IF(M535=M534,"N","Y")</f>
        <v>Y</v>
      </c>
      <c r="O535">
        <f>SUM(I534:I535)</f>
        <v>178</v>
      </c>
      <c r="P535">
        <f t="shared" si="53"/>
        <v>96</v>
      </c>
    </row>
    <row r="536" spans="1:16" hidden="1" x14ac:dyDescent="0.3">
      <c r="A536" t="str">
        <f t="shared" si="52"/>
        <v>2016Watty10</v>
      </c>
      <c r="B536">
        <f t="shared" si="48"/>
        <v>1753</v>
      </c>
      <c r="C536">
        <f t="shared" si="49"/>
        <v>1618</v>
      </c>
      <c r="D536" t="s">
        <v>24</v>
      </c>
      <c r="E536" t="str">
        <f>D537</f>
        <v>Brent</v>
      </c>
      <c r="F536">
        <v>2016</v>
      </c>
      <c r="G536">
        <v>10</v>
      </c>
      <c r="H536">
        <v>6.1</v>
      </c>
      <c r="I536" s="14">
        <v>74</v>
      </c>
      <c r="J536">
        <f>I536-I537</f>
        <v>-30</v>
      </c>
      <c r="K536" t="str">
        <f t="shared" si="50"/>
        <v>L</v>
      </c>
      <c r="L536" t="str">
        <f t="shared" si="51"/>
        <v>Watty</v>
      </c>
      <c r="M536" t="str">
        <f>VLOOKUP(L536,References!$A$2:$B$16,2,FALSE)</f>
        <v>AKCOVA</v>
      </c>
      <c r="N536" s="19" t="str">
        <f>IF(M536=M537,"N","Y")</f>
        <v>Y</v>
      </c>
      <c r="O536">
        <f>SUM(I536:I537)</f>
        <v>178</v>
      </c>
      <c r="P536">
        <f t="shared" si="53"/>
        <v>104</v>
      </c>
    </row>
    <row r="537" spans="1:16" hidden="1" x14ac:dyDescent="0.3">
      <c r="A537" t="str">
        <f t="shared" si="52"/>
        <v>2016Brent10</v>
      </c>
      <c r="B537">
        <f t="shared" si="48"/>
        <v>319</v>
      </c>
      <c r="C537">
        <f t="shared" si="49"/>
        <v>566</v>
      </c>
      <c r="D537" t="s">
        <v>47</v>
      </c>
      <c r="E537" t="str">
        <f>D536</f>
        <v>Watty</v>
      </c>
      <c r="F537">
        <v>2016</v>
      </c>
      <c r="G537">
        <v>10</v>
      </c>
      <c r="H537">
        <v>6.2</v>
      </c>
      <c r="I537" s="14">
        <v>104</v>
      </c>
      <c r="J537">
        <f>I537-I536</f>
        <v>30</v>
      </c>
      <c r="K537" t="str">
        <f t="shared" si="50"/>
        <v>W</v>
      </c>
      <c r="L537" t="str">
        <f t="shared" si="51"/>
        <v>Brent</v>
      </c>
      <c r="M537" t="str">
        <f>VLOOKUP(L537,References!$A$2:$B$16,2,FALSE)</f>
        <v>TEXAROK</v>
      </c>
      <c r="N537" s="19" t="str">
        <f>IF(M537=M536,"N","Y")</f>
        <v>Y</v>
      </c>
      <c r="O537">
        <f>SUM(I536:I537)</f>
        <v>178</v>
      </c>
      <c r="P537">
        <f t="shared" si="53"/>
        <v>74</v>
      </c>
    </row>
    <row r="538" spans="1:16" hidden="1" x14ac:dyDescent="0.3">
      <c r="A538" t="str">
        <f t="shared" si="52"/>
        <v>2016Michael11</v>
      </c>
      <c r="B538">
        <f t="shared" si="48"/>
        <v>1434</v>
      </c>
      <c r="C538">
        <f t="shared" si="49"/>
        <v>1618</v>
      </c>
      <c r="D538" t="s">
        <v>23</v>
      </c>
      <c r="E538" t="str">
        <f>D539</f>
        <v>Mark</v>
      </c>
      <c r="F538">
        <v>2016</v>
      </c>
      <c r="G538">
        <v>11</v>
      </c>
      <c r="H538">
        <v>1.1000000000000001</v>
      </c>
      <c r="I538" s="14">
        <v>74</v>
      </c>
      <c r="J538">
        <f>I538-I539</f>
        <v>-15</v>
      </c>
      <c r="K538" t="str">
        <f t="shared" si="50"/>
        <v>L</v>
      </c>
      <c r="L538" t="str">
        <f t="shared" si="51"/>
        <v>Michael</v>
      </c>
      <c r="M538" t="str">
        <f>VLOOKUP(L538,References!$A$2:$B$16,2,FALSE)</f>
        <v>AKCOVA</v>
      </c>
      <c r="N538" s="19" t="str">
        <f>IF(M538=M539,"N","Y")</f>
        <v>N</v>
      </c>
      <c r="O538">
        <f>SUM(I538:I539)</f>
        <v>163</v>
      </c>
      <c r="P538">
        <f t="shared" si="53"/>
        <v>89</v>
      </c>
    </row>
    <row r="539" spans="1:16" hidden="1" x14ac:dyDescent="0.3">
      <c r="A539" t="str">
        <f t="shared" si="52"/>
        <v>2016Mark11</v>
      </c>
      <c r="B539">
        <f t="shared" si="48"/>
        <v>639</v>
      </c>
      <c r="C539">
        <f t="shared" si="49"/>
        <v>1055</v>
      </c>
      <c r="D539" t="s">
        <v>22</v>
      </c>
      <c r="E539" t="str">
        <f>D538</f>
        <v>Michael</v>
      </c>
      <c r="F539">
        <v>2016</v>
      </c>
      <c r="G539">
        <v>11</v>
      </c>
      <c r="H539">
        <v>1.2</v>
      </c>
      <c r="I539" s="14">
        <v>89</v>
      </c>
      <c r="J539">
        <f>I539-I538</f>
        <v>15</v>
      </c>
      <c r="K539" t="str">
        <f t="shared" si="50"/>
        <v>W</v>
      </c>
      <c r="L539" t="str">
        <f t="shared" si="51"/>
        <v>Mark</v>
      </c>
      <c r="M539" t="str">
        <f>VLOOKUP(L539,References!$A$2:$B$16,2,FALSE)</f>
        <v>AKCOVA</v>
      </c>
      <c r="N539" s="19" t="str">
        <f>IF(M539=M538,"N","Y")</f>
        <v>N</v>
      </c>
      <c r="O539">
        <f>SUM(I538:I539)</f>
        <v>163</v>
      </c>
      <c r="P539">
        <f t="shared" si="53"/>
        <v>74</v>
      </c>
    </row>
    <row r="540" spans="1:16" hidden="1" x14ac:dyDescent="0.3">
      <c r="A540" t="str">
        <f t="shared" si="52"/>
        <v>2016Matt11</v>
      </c>
      <c r="B540">
        <f t="shared" si="48"/>
        <v>713</v>
      </c>
      <c r="C540">
        <f t="shared" si="49"/>
        <v>1055</v>
      </c>
      <c r="D540" t="s">
        <v>30</v>
      </c>
      <c r="E540" t="str">
        <f>D541</f>
        <v>BR</v>
      </c>
      <c r="F540">
        <v>2016</v>
      </c>
      <c r="G540">
        <v>11</v>
      </c>
      <c r="H540">
        <v>2.1</v>
      </c>
      <c r="I540" s="14">
        <v>89</v>
      </c>
      <c r="J540">
        <f>I540-I541</f>
        <v>12</v>
      </c>
      <c r="K540" t="str">
        <f t="shared" si="50"/>
        <v>W</v>
      </c>
      <c r="L540" t="str">
        <f t="shared" si="51"/>
        <v>Matt</v>
      </c>
      <c r="M540" t="str">
        <f>VLOOKUP(L540,References!$A$2:$B$16,2,FALSE)</f>
        <v>TEXAROK</v>
      </c>
      <c r="N540" s="19" t="str">
        <f>IF(M540=M541,"N","Y")</f>
        <v>Y</v>
      </c>
      <c r="O540">
        <f>SUM(I540:I541)</f>
        <v>166</v>
      </c>
      <c r="P540">
        <f t="shared" si="53"/>
        <v>77</v>
      </c>
    </row>
    <row r="541" spans="1:16" hidden="1" x14ac:dyDescent="0.3">
      <c r="A541" t="str">
        <f t="shared" si="52"/>
        <v>2016BR11</v>
      </c>
      <c r="B541">
        <f t="shared" si="48"/>
        <v>1357</v>
      </c>
      <c r="C541">
        <f t="shared" si="49"/>
        <v>1512</v>
      </c>
      <c r="D541" t="s">
        <v>25</v>
      </c>
      <c r="E541" t="str">
        <f>D540</f>
        <v>Matt</v>
      </c>
      <c r="F541">
        <v>2016</v>
      </c>
      <c r="G541">
        <v>11</v>
      </c>
      <c r="H541">
        <v>2.2000000000000002</v>
      </c>
      <c r="I541" s="14">
        <v>77</v>
      </c>
      <c r="J541">
        <f>I541-I540</f>
        <v>-12</v>
      </c>
      <c r="K541" t="str">
        <f t="shared" si="50"/>
        <v>L</v>
      </c>
      <c r="L541" t="str">
        <f t="shared" si="51"/>
        <v>BR</v>
      </c>
      <c r="M541" t="str">
        <f>VLOOKUP(L541,References!$A$2:$B$16,2,FALSE)</f>
        <v>AKCOVA</v>
      </c>
      <c r="N541" s="19" t="str">
        <f>IF(M541=M540,"N","Y")</f>
        <v>Y</v>
      </c>
      <c r="O541">
        <f>SUM(I540:I541)</f>
        <v>166</v>
      </c>
      <c r="P541">
        <f t="shared" si="53"/>
        <v>89</v>
      </c>
    </row>
    <row r="542" spans="1:16" hidden="1" x14ac:dyDescent="0.3">
      <c r="A542" t="str">
        <f t="shared" si="52"/>
        <v>2016Brent11</v>
      </c>
      <c r="B542">
        <f t="shared" si="48"/>
        <v>187</v>
      </c>
      <c r="C542">
        <f t="shared" si="49"/>
        <v>165</v>
      </c>
      <c r="D542" t="s">
        <v>47</v>
      </c>
      <c r="E542" t="str">
        <f>D543</f>
        <v>Brian</v>
      </c>
      <c r="F542">
        <v>2016</v>
      </c>
      <c r="G542">
        <v>11</v>
      </c>
      <c r="H542">
        <v>3.1</v>
      </c>
      <c r="I542" s="14">
        <v>125</v>
      </c>
      <c r="J542">
        <f>I542-I543</f>
        <v>40</v>
      </c>
      <c r="K542" t="str">
        <f t="shared" si="50"/>
        <v>W</v>
      </c>
      <c r="L542" t="str">
        <f t="shared" si="51"/>
        <v>Brent</v>
      </c>
      <c r="M542" t="str">
        <f>VLOOKUP(L542,References!$A$2:$B$16,2,FALSE)</f>
        <v>TEXAROK</v>
      </c>
      <c r="N542" s="19" t="str">
        <f>IF(M542=M543,"N","Y")</f>
        <v>N</v>
      </c>
      <c r="O542">
        <f>SUM(I542:I543)</f>
        <v>210</v>
      </c>
      <c r="P542">
        <f t="shared" si="53"/>
        <v>85</v>
      </c>
    </row>
    <row r="543" spans="1:16" hidden="1" x14ac:dyDescent="0.3">
      <c r="A543" t="str">
        <f t="shared" si="52"/>
        <v>2016Brian11</v>
      </c>
      <c r="B543">
        <f t="shared" si="48"/>
        <v>1895</v>
      </c>
      <c r="C543">
        <f t="shared" si="49"/>
        <v>1210</v>
      </c>
      <c r="D543" t="s">
        <v>26</v>
      </c>
      <c r="E543" t="str">
        <f>D542</f>
        <v>Brent</v>
      </c>
      <c r="F543">
        <v>2016</v>
      </c>
      <c r="G543">
        <v>11</v>
      </c>
      <c r="H543">
        <v>3.2</v>
      </c>
      <c r="I543" s="14">
        <v>85</v>
      </c>
      <c r="J543">
        <f>I543-I542</f>
        <v>-40</v>
      </c>
      <c r="K543" t="str">
        <f t="shared" si="50"/>
        <v>L</v>
      </c>
      <c r="L543" t="str">
        <f t="shared" si="51"/>
        <v>Brian</v>
      </c>
      <c r="M543" t="str">
        <f>VLOOKUP(L543,References!$A$2:$B$16,2,FALSE)</f>
        <v>TEXAROK</v>
      </c>
      <c r="N543" s="19" t="str">
        <f>IF(M543=M542,"N","Y")</f>
        <v>N</v>
      </c>
      <c r="O543">
        <f>SUM(I542:I543)</f>
        <v>210</v>
      </c>
      <c r="P543">
        <f t="shared" si="53"/>
        <v>125</v>
      </c>
    </row>
    <row r="544" spans="1:16" hidden="1" x14ac:dyDescent="0.3">
      <c r="A544" t="str">
        <f t="shared" si="52"/>
        <v>2016David11</v>
      </c>
      <c r="B544">
        <f t="shared" si="48"/>
        <v>1381</v>
      </c>
      <c r="C544">
        <f t="shared" si="49"/>
        <v>1717</v>
      </c>
      <c r="D544" t="s">
        <v>29</v>
      </c>
      <c r="E544" t="str">
        <f>D545</f>
        <v>Abby</v>
      </c>
      <c r="F544">
        <v>2016</v>
      </c>
      <c r="G544">
        <v>11</v>
      </c>
      <c r="H544">
        <v>4.0999999999999996</v>
      </c>
      <c r="I544" s="14">
        <v>71</v>
      </c>
      <c r="J544">
        <f>I544-I545</f>
        <v>-13</v>
      </c>
      <c r="K544" t="str">
        <f t="shared" si="50"/>
        <v>L</v>
      </c>
      <c r="L544" t="str">
        <f t="shared" si="51"/>
        <v>David</v>
      </c>
      <c r="M544" t="str">
        <f>VLOOKUP(L544,References!$A$2:$B$16,2,FALSE)</f>
        <v>TEXAROK</v>
      </c>
      <c r="N544" s="19" t="str">
        <f>IF(M544=M545,"N","Y")</f>
        <v>Y</v>
      </c>
      <c r="O544">
        <f>SUM(I544:I545)</f>
        <v>155</v>
      </c>
      <c r="P544">
        <f t="shared" si="53"/>
        <v>84</v>
      </c>
    </row>
    <row r="545" spans="1:16" hidden="1" x14ac:dyDescent="0.3">
      <c r="A545" t="str">
        <f t="shared" si="52"/>
        <v>2016Abby11</v>
      </c>
      <c r="B545">
        <f t="shared" si="48"/>
        <v>685</v>
      </c>
      <c r="C545">
        <f t="shared" si="49"/>
        <v>1241</v>
      </c>
      <c r="D545" t="s">
        <v>27</v>
      </c>
      <c r="E545" t="str">
        <f>D544</f>
        <v>David</v>
      </c>
      <c r="F545">
        <v>2016</v>
      </c>
      <c r="G545">
        <v>11</v>
      </c>
      <c r="H545">
        <v>4.2</v>
      </c>
      <c r="I545" s="14">
        <v>84</v>
      </c>
      <c r="J545">
        <f>I545-I544</f>
        <v>13</v>
      </c>
      <c r="K545" t="str">
        <f t="shared" si="50"/>
        <v>W</v>
      </c>
      <c r="L545" t="str">
        <f t="shared" si="51"/>
        <v>Abby</v>
      </c>
      <c r="M545" t="str">
        <f>VLOOKUP(L545,References!$A$2:$B$16,2,FALSE)</f>
        <v>AKCOVA</v>
      </c>
      <c r="N545" s="19" t="str">
        <f>IF(M545=M544,"N","Y")</f>
        <v>Y</v>
      </c>
      <c r="O545">
        <f>SUM(I544:I545)</f>
        <v>155</v>
      </c>
      <c r="P545">
        <f t="shared" si="53"/>
        <v>71</v>
      </c>
    </row>
    <row r="546" spans="1:16" hidden="1" x14ac:dyDescent="0.3">
      <c r="A546" t="str">
        <f t="shared" si="52"/>
        <v>2016Emily11</v>
      </c>
      <c r="B546">
        <f t="shared" si="48"/>
        <v>1090</v>
      </c>
      <c r="C546">
        <f t="shared" si="49"/>
        <v>1618</v>
      </c>
      <c r="D546" t="s">
        <v>43</v>
      </c>
      <c r="E546" t="str">
        <f>D547</f>
        <v>Charles</v>
      </c>
      <c r="F546">
        <v>2016</v>
      </c>
      <c r="G546">
        <v>11</v>
      </c>
      <c r="H546">
        <v>5.0999999999999996</v>
      </c>
      <c r="I546" s="14">
        <v>74</v>
      </c>
      <c r="J546">
        <f>I546-I547</f>
        <v>-2</v>
      </c>
      <c r="K546" t="str">
        <f t="shared" si="50"/>
        <v>L</v>
      </c>
      <c r="L546" t="str">
        <f t="shared" si="51"/>
        <v>Emily</v>
      </c>
      <c r="M546" t="str">
        <f>VLOOKUP(L546,References!$A$2:$B$16,2,FALSE)</f>
        <v>TEXAROK</v>
      </c>
      <c r="N546" s="19" t="str">
        <f>IF(M546=M547,"N","Y")</f>
        <v>Y</v>
      </c>
      <c r="O546">
        <f>SUM(I546:I547)</f>
        <v>150</v>
      </c>
      <c r="P546">
        <f t="shared" si="53"/>
        <v>76</v>
      </c>
    </row>
    <row r="547" spans="1:16" hidden="1" x14ac:dyDescent="0.3">
      <c r="A547" t="str">
        <f t="shared" si="52"/>
        <v>2016Charles11</v>
      </c>
      <c r="B547">
        <f t="shared" si="48"/>
        <v>977</v>
      </c>
      <c r="C547">
        <f t="shared" si="49"/>
        <v>1549</v>
      </c>
      <c r="D547" t="s">
        <v>48</v>
      </c>
      <c r="E547" t="str">
        <f>D546</f>
        <v>Emily</v>
      </c>
      <c r="F547">
        <v>2016</v>
      </c>
      <c r="G547">
        <v>11</v>
      </c>
      <c r="H547">
        <v>5.2</v>
      </c>
      <c r="I547" s="14">
        <v>76</v>
      </c>
      <c r="J547">
        <f>I547-I546</f>
        <v>2</v>
      </c>
      <c r="K547" t="str">
        <f t="shared" si="50"/>
        <v>W</v>
      </c>
      <c r="L547" t="str">
        <f t="shared" si="51"/>
        <v>Charles</v>
      </c>
      <c r="M547" t="str">
        <f>VLOOKUP(L547,References!$A$2:$B$16,2,FALSE)</f>
        <v>AKCOVA</v>
      </c>
      <c r="N547" s="19" t="str">
        <f>IF(M547=M546,"N","Y")</f>
        <v>Y</v>
      </c>
      <c r="O547">
        <f>SUM(I546:I547)</f>
        <v>150</v>
      </c>
      <c r="P547">
        <f t="shared" si="53"/>
        <v>74</v>
      </c>
    </row>
    <row r="548" spans="1:16" hidden="1" x14ac:dyDescent="0.3">
      <c r="A548" t="str">
        <f t="shared" si="52"/>
        <v>2016Russell11</v>
      </c>
      <c r="B548">
        <f t="shared" si="48"/>
        <v>917</v>
      </c>
      <c r="C548">
        <f t="shared" si="49"/>
        <v>1512</v>
      </c>
      <c r="D548" t="s">
        <v>28</v>
      </c>
      <c r="E548" t="str">
        <f>D549</f>
        <v>Watty</v>
      </c>
      <c r="F548">
        <v>2016</v>
      </c>
      <c r="G548">
        <v>11</v>
      </c>
      <c r="H548">
        <v>6.1</v>
      </c>
      <c r="I548" s="14">
        <v>77</v>
      </c>
      <c r="J548">
        <f>I548-I549</f>
        <v>4</v>
      </c>
      <c r="K548" t="str">
        <f t="shared" si="50"/>
        <v>W</v>
      </c>
      <c r="L548" t="str">
        <f t="shared" si="51"/>
        <v>Russell</v>
      </c>
      <c r="M548" t="str">
        <f>VLOOKUP(L548,References!$A$2:$B$16,2,FALSE)</f>
        <v>TEXAROK</v>
      </c>
      <c r="N548" s="19" t="str">
        <f>IF(M548=M549,"N","Y")</f>
        <v>Y</v>
      </c>
      <c r="O548">
        <f>SUM(I548:I549)</f>
        <v>150</v>
      </c>
      <c r="P548">
        <f t="shared" si="53"/>
        <v>73</v>
      </c>
    </row>
    <row r="549" spans="1:16" hidden="1" x14ac:dyDescent="0.3">
      <c r="A549" t="str">
        <f t="shared" si="52"/>
        <v>2016Watty11</v>
      </c>
      <c r="B549">
        <f t="shared" si="48"/>
        <v>1145</v>
      </c>
      <c r="C549">
        <f t="shared" si="49"/>
        <v>1648</v>
      </c>
      <c r="D549" t="s">
        <v>24</v>
      </c>
      <c r="E549" t="str">
        <f>D548</f>
        <v>Russell</v>
      </c>
      <c r="F549">
        <v>2016</v>
      </c>
      <c r="G549">
        <v>11</v>
      </c>
      <c r="H549">
        <v>6.2</v>
      </c>
      <c r="I549" s="14">
        <v>73</v>
      </c>
      <c r="J549">
        <f>I549-I548</f>
        <v>-4</v>
      </c>
      <c r="K549" t="str">
        <f t="shared" si="50"/>
        <v>L</v>
      </c>
      <c r="L549" t="str">
        <f t="shared" si="51"/>
        <v>Watty</v>
      </c>
      <c r="M549" t="str">
        <f>VLOOKUP(L549,References!$A$2:$B$16,2,FALSE)</f>
        <v>AKCOVA</v>
      </c>
      <c r="N549" s="19" t="str">
        <f>IF(M549=M548,"N","Y")</f>
        <v>Y</v>
      </c>
      <c r="O549">
        <f>SUM(I548:I549)</f>
        <v>150</v>
      </c>
      <c r="P549">
        <f t="shared" si="53"/>
        <v>77</v>
      </c>
    </row>
    <row r="550" spans="1:16" hidden="1" x14ac:dyDescent="0.3">
      <c r="A550" t="str">
        <f t="shared" si="52"/>
        <v>2016Michael12</v>
      </c>
      <c r="B550">
        <f t="shared" si="48"/>
        <v>341</v>
      </c>
      <c r="C550">
        <f t="shared" si="49"/>
        <v>714</v>
      </c>
      <c r="D550" t="s">
        <v>23</v>
      </c>
      <c r="E550" t="str">
        <f>D551</f>
        <v>Abby</v>
      </c>
      <c r="F550">
        <v>2016</v>
      </c>
      <c r="G550">
        <v>12</v>
      </c>
      <c r="H550">
        <v>1.1000000000000001</v>
      </c>
      <c r="I550" s="14">
        <v>99</v>
      </c>
      <c r="J550">
        <f>I550-I551</f>
        <v>29</v>
      </c>
      <c r="K550" t="str">
        <f t="shared" si="50"/>
        <v>W</v>
      </c>
      <c r="L550" t="str">
        <f t="shared" si="51"/>
        <v>Michael</v>
      </c>
      <c r="M550" t="str">
        <f>VLOOKUP(L550,References!$A$2:$B$16,2,FALSE)</f>
        <v>AKCOVA</v>
      </c>
      <c r="N550" s="19" t="str">
        <f>IF(M550=M551,"N","Y")</f>
        <v>N</v>
      </c>
      <c r="O550">
        <f>SUM(I550:I551)</f>
        <v>169</v>
      </c>
      <c r="P550">
        <f t="shared" si="53"/>
        <v>70</v>
      </c>
    </row>
    <row r="551" spans="1:16" hidden="1" x14ac:dyDescent="0.3">
      <c r="A551" t="str">
        <f t="shared" si="52"/>
        <v>2016Abby12</v>
      </c>
      <c r="B551">
        <f t="shared" si="48"/>
        <v>1738</v>
      </c>
      <c r="C551">
        <f t="shared" si="49"/>
        <v>1738</v>
      </c>
      <c r="D551" t="s">
        <v>27</v>
      </c>
      <c r="E551" t="str">
        <f>D550</f>
        <v>Michael</v>
      </c>
      <c r="F551">
        <v>2016</v>
      </c>
      <c r="G551">
        <v>12</v>
      </c>
      <c r="H551">
        <v>1.2</v>
      </c>
      <c r="I551" s="14">
        <v>70</v>
      </c>
      <c r="J551">
        <f>I551-I550</f>
        <v>-29</v>
      </c>
      <c r="K551" t="str">
        <f t="shared" si="50"/>
        <v>L</v>
      </c>
      <c r="L551" t="str">
        <f t="shared" si="51"/>
        <v>Abby</v>
      </c>
      <c r="M551" t="str">
        <f>VLOOKUP(L551,References!$A$2:$B$16,2,FALSE)</f>
        <v>AKCOVA</v>
      </c>
      <c r="N551" s="19" t="str">
        <f>IF(M551=M550,"N","Y")</f>
        <v>N</v>
      </c>
      <c r="O551">
        <f>SUM(I550:I551)</f>
        <v>169</v>
      </c>
      <c r="P551">
        <f t="shared" si="53"/>
        <v>99</v>
      </c>
    </row>
    <row r="552" spans="1:16" hidden="1" x14ac:dyDescent="0.3">
      <c r="A552" t="str">
        <f t="shared" si="52"/>
        <v>2016Emily12</v>
      </c>
      <c r="B552">
        <f t="shared" si="48"/>
        <v>450</v>
      </c>
      <c r="C552">
        <f t="shared" si="49"/>
        <v>321</v>
      </c>
      <c r="D552" t="s">
        <v>43</v>
      </c>
      <c r="E552" t="str">
        <f>D553</f>
        <v>BR</v>
      </c>
      <c r="F552">
        <v>2016</v>
      </c>
      <c r="G552">
        <v>12</v>
      </c>
      <c r="H552">
        <v>2.1</v>
      </c>
      <c r="I552" s="14">
        <v>114</v>
      </c>
      <c r="J552">
        <f>I552-I553</f>
        <v>23</v>
      </c>
      <c r="K552" t="str">
        <f t="shared" si="50"/>
        <v>W</v>
      </c>
      <c r="L552" t="str">
        <f t="shared" si="51"/>
        <v>Emily</v>
      </c>
      <c r="M552" t="str">
        <f>VLOOKUP(L552,References!$A$2:$B$16,2,FALSE)</f>
        <v>TEXAROK</v>
      </c>
      <c r="N552" s="19" t="str">
        <f>IF(M552=M553,"N","Y")</f>
        <v>Y</v>
      </c>
      <c r="O552">
        <f>SUM(I552:I553)</f>
        <v>205</v>
      </c>
      <c r="P552">
        <f t="shared" si="53"/>
        <v>91</v>
      </c>
    </row>
    <row r="553" spans="1:16" hidden="1" x14ac:dyDescent="0.3">
      <c r="A553" t="str">
        <f t="shared" si="52"/>
        <v>2016BR12</v>
      </c>
      <c r="B553">
        <f t="shared" si="48"/>
        <v>1625</v>
      </c>
      <c r="C553">
        <f t="shared" si="49"/>
        <v>992</v>
      </c>
      <c r="D553" t="s">
        <v>25</v>
      </c>
      <c r="E553" t="str">
        <f>D552</f>
        <v>Emily</v>
      </c>
      <c r="F553">
        <v>2016</v>
      </c>
      <c r="G553">
        <v>12</v>
      </c>
      <c r="H553">
        <v>2.2000000000000002</v>
      </c>
      <c r="I553" s="14">
        <v>91</v>
      </c>
      <c r="J553">
        <f>I553-I552</f>
        <v>-23</v>
      </c>
      <c r="K553" t="str">
        <f t="shared" si="50"/>
        <v>L</v>
      </c>
      <c r="L553" t="str">
        <f t="shared" si="51"/>
        <v>BR</v>
      </c>
      <c r="M553" t="str">
        <f>VLOOKUP(L553,References!$A$2:$B$16,2,FALSE)</f>
        <v>AKCOVA</v>
      </c>
      <c r="N553" s="19" t="str">
        <f>IF(M553=M552,"N","Y")</f>
        <v>Y</v>
      </c>
      <c r="O553">
        <f>SUM(I552:I553)</f>
        <v>205</v>
      </c>
      <c r="P553">
        <f t="shared" si="53"/>
        <v>114</v>
      </c>
    </row>
    <row r="554" spans="1:16" hidden="1" x14ac:dyDescent="0.3">
      <c r="A554" t="str">
        <f t="shared" si="52"/>
        <v>2016Russell12</v>
      </c>
      <c r="B554">
        <f t="shared" si="48"/>
        <v>341</v>
      </c>
      <c r="C554">
        <f t="shared" si="49"/>
        <v>631</v>
      </c>
      <c r="D554" t="s">
        <v>28</v>
      </c>
      <c r="E554" t="str">
        <f>D555</f>
        <v>Brian</v>
      </c>
      <c r="F554">
        <v>2016</v>
      </c>
      <c r="G554">
        <v>12</v>
      </c>
      <c r="H554">
        <v>3.1</v>
      </c>
      <c r="I554" s="14">
        <v>102</v>
      </c>
      <c r="J554">
        <f>I554-I555</f>
        <v>29</v>
      </c>
      <c r="K554" t="str">
        <f t="shared" si="50"/>
        <v>W</v>
      </c>
      <c r="L554" t="str">
        <f t="shared" si="51"/>
        <v>Russell</v>
      </c>
      <c r="M554" t="str">
        <f>VLOOKUP(L554,References!$A$2:$B$16,2,FALSE)</f>
        <v>TEXAROK</v>
      </c>
      <c r="N554" s="19" t="str">
        <f>IF(M554=M555,"N","Y")</f>
        <v>N</v>
      </c>
      <c r="O554">
        <f>SUM(I554:I555)</f>
        <v>175</v>
      </c>
      <c r="P554">
        <f t="shared" si="53"/>
        <v>73</v>
      </c>
    </row>
    <row r="555" spans="1:16" hidden="1" x14ac:dyDescent="0.3">
      <c r="A555" t="str">
        <f t="shared" si="52"/>
        <v>2016Brian12</v>
      </c>
      <c r="B555">
        <f t="shared" si="48"/>
        <v>1738</v>
      </c>
      <c r="C555">
        <f t="shared" si="49"/>
        <v>1648</v>
      </c>
      <c r="D555" t="s">
        <v>26</v>
      </c>
      <c r="E555" t="str">
        <f>D554</f>
        <v>Russell</v>
      </c>
      <c r="F555">
        <v>2016</v>
      </c>
      <c r="G555">
        <v>12</v>
      </c>
      <c r="H555">
        <v>3.2</v>
      </c>
      <c r="I555" s="14">
        <v>73</v>
      </c>
      <c r="J555">
        <f>I555-I554</f>
        <v>-29</v>
      </c>
      <c r="K555" t="str">
        <f t="shared" si="50"/>
        <v>L</v>
      </c>
      <c r="L555" t="str">
        <f t="shared" si="51"/>
        <v>Brian</v>
      </c>
      <c r="M555" t="str">
        <f>VLOOKUP(L555,References!$A$2:$B$16,2,FALSE)</f>
        <v>TEXAROK</v>
      </c>
      <c r="N555" s="19" t="str">
        <f>IF(M555=M554,"N","Y")</f>
        <v>N</v>
      </c>
      <c r="O555">
        <f>SUM(I554:I555)</f>
        <v>175</v>
      </c>
      <c r="P555">
        <f t="shared" si="53"/>
        <v>102</v>
      </c>
    </row>
    <row r="556" spans="1:16" hidden="1" x14ac:dyDescent="0.3">
      <c r="A556" t="str">
        <f t="shared" si="52"/>
        <v>2016Matt12</v>
      </c>
      <c r="B556">
        <f t="shared" si="48"/>
        <v>62</v>
      </c>
      <c r="C556">
        <f t="shared" si="49"/>
        <v>540</v>
      </c>
      <c r="D556" t="s">
        <v>30</v>
      </c>
      <c r="E556" t="str">
        <f>D557</f>
        <v>Mark</v>
      </c>
      <c r="F556">
        <v>2016</v>
      </c>
      <c r="G556">
        <v>12</v>
      </c>
      <c r="H556">
        <v>4.0999999999999996</v>
      </c>
      <c r="I556" s="14">
        <v>105</v>
      </c>
      <c r="J556">
        <f>I556-I557</f>
        <v>58</v>
      </c>
      <c r="K556" t="str">
        <f t="shared" si="50"/>
        <v>W</v>
      </c>
      <c r="L556" t="str">
        <f t="shared" si="51"/>
        <v>Matt</v>
      </c>
      <c r="M556" t="str">
        <f>VLOOKUP(L556,References!$A$2:$B$16,2,FALSE)</f>
        <v>TEXAROK</v>
      </c>
      <c r="N556" s="19" t="str">
        <f>IF(M556=M557,"N","Y")</f>
        <v>Y</v>
      </c>
      <c r="O556">
        <f>SUM(I556:I557)</f>
        <v>152</v>
      </c>
      <c r="P556">
        <f t="shared" si="53"/>
        <v>47</v>
      </c>
    </row>
    <row r="557" spans="1:16" hidden="1" x14ac:dyDescent="0.3">
      <c r="A557" t="str">
        <f t="shared" si="52"/>
        <v>2016Mark12</v>
      </c>
      <c r="B557">
        <f t="shared" si="48"/>
        <v>2024</v>
      </c>
      <c r="C557">
        <f t="shared" si="49"/>
        <v>2066</v>
      </c>
      <c r="D557" t="s">
        <v>22</v>
      </c>
      <c r="E557" t="str">
        <f>D556</f>
        <v>Matt</v>
      </c>
      <c r="F557">
        <v>2016</v>
      </c>
      <c r="G557">
        <v>12</v>
      </c>
      <c r="H557">
        <v>4.2</v>
      </c>
      <c r="I557" s="14">
        <v>47</v>
      </c>
      <c r="J557">
        <f>I557-I556</f>
        <v>-58</v>
      </c>
      <c r="K557" t="str">
        <f t="shared" si="50"/>
        <v>L</v>
      </c>
      <c r="L557" t="str">
        <f t="shared" si="51"/>
        <v>Mark</v>
      </c>
      <c r="M557" t="str">
        <f>VLOOKUP(L557,References!$A$2:$B$16,2,FALSE)</f>
        <v>AKCOVA</v>
      </c>
      <c r="N557" s="19" t="str">
        <f>IF(M557=M556,"N","Y")</f>
        <v>Y</v>
      </c>
      <c r="O557">
        <f>SUM(I556:I557)</f>
        <v>152</v>
      </c>
      <c r="P557">
        <f t="shared" si="53"/>
        <v>105</v>
      </c>
    </row>
    <row r="558" spans="1:16" hidden="1" x14ac:dyDescent="0.3">
      <c r="A558" t="str">
        <f t="shared" si="52"/>
        <v>2016Brent12</v>
      </c>
      <c r="B558">
        <f t="shared" si="48"/>
        <v>1409</v>
      </c>
      <c r="C558">
        <f t="shared" si="49"/>
        <v>958</v>
      </c>
      <c r="D558" t="s">
        <v>47</v>
      </c>
      <c r="E558" t="str">
        <f>D559</f>
        <v>Charles</v>
      </c>
      <c r="F558">
        <v>2016</v>
      </c>
      <c r="G558">
        <v>12</v>
      </c>
      <c r="H558">
        <v>5.0999999999999996</v>
      </c>
      <c r="I558" s="14">
        <v>92</v>
      </c>
      <c r="J558">
        <f>I558-I559</f>
        <v>-14</v>
      </c>
      <c r="K558" t="str">
        <f t="shared" si="50"/>
        <v>L</v>
      </c>
      <c r="L558" t="str">
        <f t="shared" si="51"/>
        <v>Brent</v>
      </c>
      <c r="M558" t="str">
        <f>VLOOKUP(L558,References!$A$2:$B$16,2,FALSE)</f>
        <v>TEXAROK</v>
      </c>
      <c r="N558" s="19" t="str">
        <f>IF(M558=M559,"N","Y")</f>
        <v>Y</v>
      </c>
      <c r="O558">
        <f>SUM(I558:I559)</f>
        <v>198</v>
      </c>
      <c r="P558">
        <f t="shared" si="53"/>
        <v>106</v>
      </c>
    </row>
    <row r="559" spans="1:16" hidden="1" x14ac:dyDescent="0.3">
      <c r="A559" t="str">
        <f t="shared" si="52"/>
        <v>2016Charles12</v>
      </c>
      <c r="B559">
        <f t="shared" si="48"/>
        <v>660</v>
      </c>
      <c r="C559">
        <f t="shared" si="49"/>
        <v>509</v>
      </c>
      <c r="D559" t="s">
        <v>48</v>
      </c>
      <c r="E559" t="str">
        <f>D558</f>
        <v>Brent</v>
      </c>
      <c r="F559">
        <v>2016</v>
      </c>
      <c r="G559">
        <v>12</v>
      </c>
      <c r="H559">
        <v>5.2</v>
      </c>
      <c r="I559" s="14">
        <v>106</v>
      </c>
      <c r="J559">
        <f>I559-I558</f>
        <v>14</v>
      </c>
      <c r="K559" t="str">
        <f t="shared" si="50"/>
        <v>W</v>
      </c>
      <c r="L559" t="str">
        <f t="shared" si="51"/>
        <v>Charles</v>
      </c>
      <c r="M559" t="str">
        <f>VLOOKUP(L559,References!$A$2:$B$16,2,FALSE)</f>
        <v>AKCOVA</v>
      </c>
      <c r="N559" s="19" t="str">
        <f>IF(M559=M558,"N","Y")</f>
        <v>Y</v>
      </c>
      <c r="O559">
        <f>SUM(I558:I559)</f>
        <v>198</v>
      </c>
      <c r="P559">
        <f t="shared" si="53"/>
        <v>92</v>
      </c>
    </row>
    <row r="560" spans="1:16" hidden="1" x14ac:dyDescent="0.3">
      <c r="A560" t="str">
        <f t="shared" si="52"/>
        <v>2016David12</v>
      </c>
      <c r="B560">
        <f t="shared" si="48"/>
        <v>517</v>
      </c>
      <c r="C560">
        <f t="shared" si="49"/>
        <v>822</v>
      </c>
      <c r="D560" t="s">
        <v>29</v>
      </c>
      <c r="E560" t="str">
        <f>D561</f>
        <v>Watty</v>
      </c>
      <c r="F560">
        <v>2016</v>
      </c>
      <c r="G560">
        <v>12</v>
      </c>
      <c r="H560">
        <v>6.1</v>
      </c>
      <c r="I560" s="14">
        <v>96</v>
      </c>
      <c r="J560">
        <f>I560-I561</f>
        <v>20</v>
      </c>
      <c r="K560" t="str">
        <f t="shared" si="50"/>
        <v>W</v>
      </c>
      <c r="L560" t="str">
        <f t="shared" si="51"/>
        <v>David</v>
      </c>
      <c r="M560" t="str">
        <f>VLOOKUP(L560,References!$A$2:$B$16,2,FALSE)</f>
        <v>TEXAROK</v>
      </c>
      <c r="N560" s="19" t="str">
        <f>IF(M560=M561,"N","Y")</f>
        <v>Y</v>
      </c>
      <c r="O560">
        <f>SUM(I560:I561)</f>
        <v>172</v>
      </c>
      <c r="P560">
        <f t="shared" si="53"/>
        <v>76</v>
      </c>
    </row>
    <row r="561" spans="1:16" hidden="1" x14ac:dyDescent="0.3">
      <c r="A561" t="str">
        <f t="shared" si="52"/>
        <v>2016Watty12</v>
      </c>
      <c r="B561">
        <f t="shared" si="48"/>
        <v>1546</v>
      </c>
      <c r="C561">
        <f t="shared" si="49"/>
        <v>1549</v>
      </c>
      <c r="D561" t="s">
        <v>24</v>
      </c>
      <c r="E561" t="str">
        <f>D560</f>
        <v>David</v>
      </c>
      <c r="F561">
        <v>2016</v>
      </c>
      <c r="G561">
        <v>12</v>
      </c>
      <c r="H561">
        <v>6.2</v>
      </c>
      <c r="I561" s="14">
        <v>76</v>
      </c>
      <c r="J561">
        <f>I561-I560</f>
        <v>-20</v>
      </c>
      <c r="K561" t="str">
        <f t="shared" si="50"/>
        <v>L</v>
      </c>
      <c r="L561" t="str">
        <f t="shared" si="51"/>
        <v>Watty</v>
      </c>
      <c r="M561" t="str">
        <f>VLOOKUP(L561,References!$A$2:$B$16,2,FALSE)</f>
        <v>AKCOVA</v>
      </c>
      <c r="N561" s="19" t="str">
        <f>IF(M561=M560,"N","Y")</f>
        <v>Y</v>
      </c>
      <c r="O561">
        <f>SUM(I560:I561)</f>
        <v>172</v>
      </c>
      <c r="P561">
        <f t="shared" si="53"/>
        <v>96</v>
      </c>
    </row>
    <row r="562" spans="1:16" hidden="1" x14ac:dyDescent="0.3">
      <c r="A562" t="str">
        <f t="shared" si="52"/>
        <v>2016Watty13</v>
      </c>
      <c r="B562">
        <f t="shared" si="48"/>
        <v>1455</v>
      </c>
      <c r="C562">
        <f t="shared" si="49"/>
        <v>1648</v>
      </c>
      <c r="D562" t="s">
        <v>24</v>
      </c>
      <c r="E562" t="str">
        <f>D563</f>
        <v>Michael</v>
      </c>
      <c r="F562">
        <v>2016</v>
      </c>
      <c r="G562">
        <v>13</v>
      </c>
      <c r="H562">
        <v>1.1000000000000001</v>
      </c>
      <c r="I562" s="14">
        <v>73</v>
      </c>
      <c r="J562">
        <f>I562-I563</f>
        <v>-16</v>
      </c>
      <c r="K562" t="str">
        <f t="shared" si="50"/>
        <v>L</v>
      </c>
      <c r="L562" t="str">
        <f t="shared" si="51"/>
        <v>Watty</v>
      </c>
      <c r="M562" t="str">
        <f>VLOOKUP(L562,References!$A$2:$B$16,2,FALSE)</f>
        <v>AKCOVA</v>
      </c>
      <c r="N562" s="19" t="str">
        <f>IF(M562=M563,"N","Y")</f>
        <v>N</v>
      </c>
      <c r="O562">
        <f>SUM(I562:I563)</f>
        <v>162</v>
      </c>
      <c r="P562">
        <f t="shared" si="53"/>
        <v>89</v>
      </c>
    </row>
    <row r="563" spans="1:16" hidden="1" x14ac:dyDescent="0.3">
      <c r="A563" t="str">
        <f t="shared" si="52"/>
        <v>2016Michael13</v>
      </c>
      <c r="B563">
        <f t="shared" si="48"/>
        <v>619</v>
      </c>
      <c r="C563">
        <f t="shared" si="49"/>
        <v>1055</v>
      </c>
      <c r="D563" t="s">
        <v>23</v>
      </c>
      <c r="E563" t="str">
        <f>D562</f>
        <v>Watty</v>
      </c>
      <c r="F563">
        <v>2016</v>
      </c>
      <c r="G563">
        <v>13</v>
      </c>
      <c r="H563">
        <v>1.2</v>
      </c>
      <c r="I563" s="14">
        <v>89</v>
      </c>
      <c r="J563">
        <f>I563-I562</f>
        <v>16</v>
      </c>
      <c r="K563" t="str">
        <f t="shared" si="50"/>
        <v>W</v>
      </c>
      <c r="L563" t="str">
        <f t="shared" si="51"/>
        <v>Michael</v>
      </c>
      <c r="M563" t="str">
        <f>VLOOKUP(L563,References!$A$2:$B$16,2,FALSE)</f>
        <v>AKCOVA</v>
      </c>
      <c r="N563" s="19" t="str">
        <f>IF(M563=M562,"N","Y")</f>
        <v>N</v>
      </c>
      <c r="O563">
        <f>SUM(I562:I563)</f>
        <v>162</v>
      </c>
      <c r="P563">
        <f t="shared" si="53"/>
        <v>73</v>
      </c>
    </row>
    <row r="564" spans="1:16" hidden="1" x14ac:dyDescent="0.3">
      <c r="A564" t="str">
        <f t="shared" si="52"/>
        <v>2016Mark13</v>
      </c>
      <c r="B564">
        <f t="shared" si="48"/>
        <v>1475</v>
      </c>
      <c r="C564">
        <f t="shared" si="49"/>
        <v>1512</v>
      </c>
      <c r="D564" t="s">
        <v>22</v>
      </c>
      <c r="E564" t="str">
        <f>D565</f>
        <v>Emily</v>
      </c>
      <c r="F564">
        <v>2016</v>
      </c>
      <c r="G564">
        <v>13</v>
      </c>
      <c r="H564">
        <v>2.1</v>
      </c>
      <c r="I564" s="14">
        <v>77</v>
      </c>
      <c r="J564">
        <f>I564-I565</f>
        <v>-17</v>
      </c>
      <c r="K564" t="str">
        <f t="shared" si="50"/>
        <v>L</v>
      </c>
      <c r="L564" t="str">
        <f t="shared" si="51"/>
        <v>Mark</v>
      </c>
      <c r="M564" t="str">
        <f>VLOOKUP(L564,References!$A$2:$B$16,2,FALSE)</f>
        <v>AKCOVA</v>
      </c>
      <c r="N564" s="19" t="str">
        <f>IF(M564=M565,"N","Y")</f>
        <v>Y</v>
      </c>
      <c r="O564">
        <f>SUM(I564:I565)</f>
        <v>171</v>
      </c>
      <c r="P564">
        <f t="shared" si="53"/>
        <v>94</v>
      </c>
    </row>
    <row r="565" spans="1:16" hidden="1" x14ac:dyDescent="0.3">
      <c r="A565" t="str">
        <f t="shared" si="52"/>
        <v>2016Emily13</v>
      </c>
      <c r="B565">
        <f t="shared" si="48"/>
        <v>597</v>
      </c>
      <c r="C565">
        <f t="shared" si="49"/>
        <v>893</v>
      </c>
      <c r="D565" t="s">
        <v>43</v>
      </c>
      <c r="E565" t="str">
        <f>D564</f>
        <v>Mark</v>
      </c>
      <c r="F565">
        <v>2016</v>
      </c>
      <c r="G565">
        <v>13</v>
      </c>
      <c r="H565">
        <v>2.2000000000000002</v>
      </c>
      <c r="I565" s="14">
        <v>94</v>
      </c>
      <c r="J565">
        <f>I565-I564</f>
        <v>17</v>
      </c>
      <c r="K565" t="str">
        <f t="shared" si="50"/>
        <v>W</v>
      </c>
      <c r="L565" t="str">
        <f t="shared" si="51"/>
        <v>Emily</v>
      </c>
      <c r="M565" t="str">
        <f>VLOOKUP(L565,References!$A$2:$B$16,2,FALSE)</f>
        <v>TEXAROK</v>
      </c>
      <c r="N565" s="19" t="str">
        <f>IF(M565=M564,"N","Y")</f>
        <v>Y</v>
      </c>
      <c r="O565">
        <f>SUM(I564:I565)</f>
        <v>171</v>
      </c>
      <c r="P565">
        <f t="shared" si="53"/>
        <v>77</v>
      </c>
    </row>
    <row r="566" spans="1:16" hidden="1" x14ac:dyDescent="0.3">
      <c r="A566" t="str">
        <f t="shared" si="52"/>
        <v>2016Charles13</v>
      </c>
      <c r="B566">
        <f t="shared" si="48"/>
        <v>489</v>
      </c>
      <c r="C566">
        <f t="shared" si="49"/>
        <v>1173</v>
      </c>
      <c r="D566" t="s">
        <v>48</v>
      </c>
      <c r="E566" t="str">
        <f>D567</f>
        <v>Russell</v>
      </c>
      <c r="F566">
        <v>2016</v>
      </c>
      <c r="G566">
        <v>13</v>
      </c>
      <c r="H566">
        <v>3.1</v>
      </c>
      <c r="I566" s="14">
        <v>86</v>
      </c>
      <c r="J566">
        <f>I566-I567</f>
        <v>21</v>
      </c>
      <c r="K566" t="str">
        <f t="shared" si="50"/>
        <v>W</v>
      </c>
      <c r="L566" t="str">
        <f t="shared" si="51"/>
        <v>Charles</v>
      </c>
      <c r="M566" t="str">
        <f>VLOOKUP(L566,References!$A$2:$B$16,2,FALSE)</f>
        <v>AKCOVA</v>
      </c>
      <c r="N566" s="19" t="str">
        <f>IF(M566=M567,"N","Y")</f>
        <v>Y</v>
      </c>
      <c r="O566">
        <f>SUM(I566:I567)</f>
        <v>151</v>
      </c>
      <c r="P566">
        <f t="shared" si="53"/>
        <v>65</v>
      </c>
    </row>
    <row r="567" spans="1:16" hidden="1" x14ac:dyDescent="0.3">
      <c r="A567" t="str">
        <f t="shared" si="52"/>
        <v>2016Russell13</v>
      </c>
      <c r="B567">
        <f t="shared" si="48"/>
        <v>1577</v>
      </c>
      <c r="C567">
        <f t="shared" si="49"/>
        <v>1853</v>
      </c>
      <c r="D567" t="s">
        <v>28</v>
      </c>
      <c r="E567" t="str">
        <f>D566</f>
        <v>Charles</v>
      </c>
      <c r="F567">
        <v>2016</v>
      </c>
      <c r="G567">
        <v>13</v>
      </c>
      <c r="H567">
        <v>3.2</v>
      </c>
      <c r="I567" s="14">
        <v>65</v>
      </c>
      <c r="J567">
        <f>I567-I566</f>
        <v>-21</v>
      </c>
      <c r="K567" t="str">
        <f t="shared" si="50"/>
        <v>L</v>
      </c>
      <c r="L567" t="str">
        <f t="shared" si="51"/>
        <v>Russell</v>
      </c>
      <c r="M567" t="str">
        <f>VLOOKUP(L567,References!$A$2:$B$16,2,FALSE)</f>
        <v>TEXAROK</v>
      </c>
      <c r="N567" s="19" t="str">
        <f>IF(M567=M566,"N","Y")</f>
        <v>Y</v>
      </c>
      <c r="O567">
        <f>SUM(I566:I567)</f>
        <v>151</v>
      </c>
      <c r="P567">
        <f t="shared" si="53"/>
        <v>86</v>
      </c>
    </row>
    <row r="568" spans="1:16" hidden="1" x14ac:dyDescent="0.3">
      <c r="A568" t="str">
        <f t="shared" si="52"/>
        <v>2016Abby13</v>
      </c>
      <c r="B568">
        <f t="shared" si="48"/>
        <v>1497</v>
      </c>
      <c r="C568">
        <f t="shared" si="49"/>
        <v>1055</v>
      </c>
      <c r="D568" t="s">
        <v>27</v>
      </c>
      <c r="E568" t="str">
        <f>D569</f>
        <v>Matt</v>
      </c>
      <c r="F568">
        <v>2016</v>
      </c>
      <c r="G568">
        <v>13</v>
      </c>
      <c r="H568">
        <v>4.0999999999999996</v>
      </c>
      <c r="I568" s="14">
        <v>89</v>
      </c>
      <c r="J568">
        <f>I568-I569</f>
        <v>-18</v>
      </c>
      <c r="K568" t="str">
        <f t="shared" si="50"/>
        <v>L</v>
      </c>
      <c r="L568" t="str">
        <f t="shared" si="51"/>
        <v>Abby</v>
      </c>
      <c r="M568" t="str">
        <f>VLOOKUP(L568,References!$A$2:$B$16,2,FALSE)</f>
        <v>AKCOVA</v>
      </c>
      <c r="N568" s="19" t="str">
        <f>IF(M568=M569,"N","Y")</f>
        <v>Y</v>
      </c>
      <c r="O568">
        <f>SUM(I568:I569)</f>
        <v>196</v>
      </c>
      <c r="P568">
        <f t="shared" si="53"/>
        <v>107</v>
      </c>
    </row>
    <row r="569" spans="1:16" hidden="1" x14ac:dyDescent="0.3">
      <c r="A569" t="str">
        <f t="shared" si="52"/>
        <v>2016Matt13</v>
      </c>
      <c r="B569">
        <f t="shared" si="48"/>
        <v>571</v>
      </c>
      <c r="C569">
        <f t="shared" si="49"/>
        <v>486</v>
      </c>
      <c r="D569" t="s">
        <v>30</v>
      </c>
      <c r="E569" t="str">
        <f>D568</f>
        <v>Abby</v>
      </c>
      <c r="F569">
        <v>2016</v>
      </c>
      <c r="G569">
        <v>13</v>
      </c>
      <c r="H569">
        <v>4.2</v>
      </c>
      <c r="I569" s="14">
        <v>107</v>
      </c>
      <c r="J569">
        <f>I569-I568</f>
        <v>18</v>
      </c>
      <c r="K569" t="str">
        <f t="shared" si="50"/>
        <v>W</v>
      </c>
      <c r="L569" t="str">
        <f t="shared" si="51"/>
        <v>Matt</v>
      </c>
      <c r="M569" t="str">
        <f>VLOOKUP(L569,References!$A$2:$B$16,2,FALSE)</f>
        <v>TEXAROK</v>
      </c>
      <c r="N569" s="19" t="str">
        <f>IF(M569=M568,"N","Y")</f>
        <v>Y</v>
      </c>
      <c r="O569">
        <f>SUM(I568:I569)</f>
        <v>196</v>
      </c>
      <c r="P569">
        <f t="shared" si="53"/>
        <v>89</v>
      </c>
    </row>
    <row r="570" spans="1:16" hidden="1" x14ac:dyDescent="0.3">
      <c r="A570" t="str">
        <f t="shared" si="52"/>
        <v>2016BR13</v>
      </c>
      <c r="B570">
        <f t="shared" si="48"/>
        <v>1336</v>
      </c>
      <c r="C570">
        <f t="shared" si="49"/>
        <v>822</v>
      </c>
      <c r="D570" t="s">
        <v>25</v>
      </c>
      <c r="E570" t="str">
        <f>D571</f>
        <v>Brent</v>
      </c>
      <c r="F570">
        <v>2016</v>
      </c>
      <c r="G570">
        <v>13</v>
      </c>
      <c r="H570">
        <v>5.0999999999999996</v>
      </c>
      <c r="I570" s="14">
        <v>96</v>
      </c>
      <c r="J570">
        <f>I570-I571</f>
        <v>-11</v>
      </c>
      <c r="K570" t="str">
        <f t="shared" si="50"/>
        <v>L</v>
      </c>
      <c r="L570" t="str">
        <f t="shared" si="51"/>
        <v>BR</v>
      </c>
      <c r="M570" t="str">
        <f>VLOOKUP(L570,References!$A$2:$B$16,2,FALSE)</f>
        <v>AKCOVA</v>
      </c>
      <c r="N570" s="19" t="str">
        <f>IF(M570=M571,"N","Y")</f>
        <v>Y</v>
      </c>
      <c r="O570">
        <f>SUM(I570:I571)</f>
        <v>203</v>
      </c>
      <c r="P570">
        <f t="shared" si="53"/>
        <v>107</v>
      </c>
    </row>
    <row r="571" spans="1:16" hidden="1" x14ac:dyDescent="0.3">
      <c r="A571" t="str">
        <f t="shared" si="52"/>
        <v>2016Brent13</v>
      </c>
      <c r="B571">
        <f t="shared" si="48"/>
        <v>737</v>
      </c>
      <c r="C571">
        <f t="shared" si="49"/>
        <v>486</v>
      </c>
      <c r="D571" t="s">
        <v>47</v>
      </c>
      <c r="E571" t="str">
        <f>D570</f>
        <v>BR</v>
      </c>
      <c r="F571">
        <v>2016</v>
      </c>
      <c r="G571">
        <v>13</v>
      </c>
      <c r="H571">
        <v>5.2</v>
      </c>
      <c r="I571" s="14">
        <v>107</v>
      </c>
      <c r="J571">
        <f>I571-I570</f>
        <v>11</v>
      </c>
      <c r="K571" t="str">
        <f t="shared" si="50"/>
        <v>W</v>
      </c>
      <c r="L571" t="str">
        <f t="shared" si="51"/>
        <v>Brent</v>
      </c>
      <c r="M571" t="str">
        <f>VLOOKUP(L571,References!$A$2:$B$16,2,FALSE)</f>
        <v>TEXAROK</v>
      </c>
      <c r="N571" s="19" t="str">
        <f>IF(M571=M570,"N","Y")</f>
        <v>Y</v>
      </c>
      <c r="O571">
        <f>SUM(I570:I571)</f>
        <v>203</v>
      </c>
      <c r="P571">
        <f t="shared" si="53"/>
        <v>96</v>
      </c>
    </row>
    <row r="572" spans="1:16" hidden="1" x14ac:dyDescent="0.3">
      <c r="A572" t="str">
        <f t="shared" si="52"/>
        <v>2016Brian13</v>
      </c>
      <c r="B572">
        <f t="shared" si="48"/>
        <v>1312</v>
      </c>
      <c r="C572">
        <f t="shared" si="49"/>
        <v>1793</v>
      </c>
      <c r="D572" t="s">
        <v>26</v>
      </c>
      <c r="E572" t="str">
        <f>D573</f>
        <v>David</v>
      </c>
      <c r="F572">
        <v>2016</v>
      </c>
      <c r="G572">
        <v>13</v>
      </c>
      <c r="H572">
        <v>6.1</v>
      </c>
      <c r="I572" s="14">
        <v>68</v>
      </c>
      <c r="J572">
        <f>I572-I573</f>
        <v>-10</v>
      </c>
      <c r="K572" t="str">
        <f t="shared" si="50"/>
        <v>L</v>
      </c>
      <c r="L572" t="str">
        <f t="shared" si="51"/>
        <v>Brian</v>
      </c>
      <c r="M572" t="str">
        <f>VLOOKUP(L572,References!$A$2:$B$16,2,FALSE)</f>
        <v>TEXAROK</v>
      </c>
      <c r="N572" s="19" t="str">
        <f>IF(M572=M573,"N","Y")</f>
        <v>N</v>
      </c>
      <c r="O572">
        <f>SUM(I572:I573)</f>
        <v>146</v>
      </c>
      <c r="P572">
        <f t="shared" si="53"/>
        <v>78</v>
      </c>
    </row>
    <row r="573" spans="1:16" hidden="1" x14ac:dyDescent="0.3">
      <c r="A573" t="str">
        <f t="shared" si="52"/>
        <v>2016David13</v>
      </c>
      <c r="B573">
        <f t="shared" si="48"/>
        <v>758</v>
      </c>
      <c r="C573">
        <f t="shared" si="49"/>
        <v>1468</v>
      </c>
      <c r="D573" t="s">
        <v>29</v>
      </c>
      <c r="E573" t="str">
        <f>D572</f>
        <v>Brian</v>
      </c>
      <c r="F573">
        <v>2016</v>
      </c>
      <c r="G573">
        <v>13</v>
      </c>
      <c r="H573">
        <v>6.2</v>
      </c>
      <c r="I573" s="14">
        <v>78</v>
      </c>
      <c r="J573">
        <f>I573-I572</f>
        <v>10</v>
      </c>
      <c r="K573" t="str">
        <f t="shared" si="50"/>
        <v>W</v>
      </c>
      <c r="L573" t="str">
        <f t="shared" si="51"/>
        <v>David</v>
      </c>
      <c r="M573" t="str">
        <f>VLOOKUP(L573,References!$A$2:$B$16,2,FALSE)</f>
        <v>TEXAROK</v>
      </c>
      <c r="N573" s="19" t="str">
        <f>IF(M573=M572,"N","Y")</f>
        <v>N</v>
      </c>
      <c r="O573">
        <f>SUM(I572:I573)</f>
        <v>146</v>
      </c>
      <c r="P573">
        <f t="shared" si="53"/>
        <v>68</v>
      </c>
    </row>
    <row r="574" spans="1:16" hidden="1" x14ac:dyDescent="0.3">
      <c r="A574" t="str">
        <f t="shared" si="52"/>
        <v>2017Michael1</v>
      </c>
      <c r="B574">
        <f t="shared" si="48"/>
        <v>1090</v>
      </c>
      <c r="C574">
        <f t="shared" si="49"/>
        <v>1618</v>
      </c>
      <c r="D574" t="s">
        <v>23</v>
      </c>
      <c r="E574" t="str">
        <f>D575</f>
        <v>Matt</v>
      </c>
      <c r="F574">
        <v>2017</v>
      </c>
      <c r="G574">
        <v>1</v>
      </c>
      <c r="H574">
        <v>1.1000000000000001</v>
      </c>
      <c r="I574" s="14">
        <v>74</v>
      </c>
      <c r="J574">
        <f>I574-I575</f>
        <v>-2</v>
      </c>
      <c r="K574" t="str">
        <f t="shared" si="50"/>
        <v>L</v>
      </c>
      <c r="L574" t="str">
        <f t="shared" si="51"/>
        <v>Michael</v>
      </c>
      <c r="M574" t="str">
        <f>VLOOKUP(L574,References!$A$2:$B$16,2,FALSE)</f>
        <v>AKCOVA</v>
      </c>
      <c r="N574" s="19" t="str">
        <f>IF(M574=M575,"N","Y")</f>
        <v>Y</v>
      </c>
      <c r="O574">
        <f>SUM(I574:I575)</f>
        <v>150</v>
      </c>
      <c r="P574">
        <f t="shared" si="53"/>
        <v>76</v>
      </c>
    </row>
    <row r="575" spans="1:16" hidden="1" x14ac:dyDescent="0.3">
      <c r="A575" t="str">
        <f t="shared" si="52"/>
        <v>2017Matt1</v>
      </c>
      <c r="B575">
        <f t="shared" si="48"/>
        <v>977</v>
      </c>
      <c r="C575">
        <f t="shared" si="49"/>
        <v>1549</v>
      </c>
      <c r="D575" t="s">
        <v>30</v>
      </c>
      <c r="E575" t="str">
        <f>D574</f>
        <v>Michael</v>
      </c>
      <c r="F575">
        <v>2017</v>
      </c>
      <c r="G575">
        <v>1</v>
      </c>
      <c r="H575">
        <v>1.2</v>
      </c>
      <c r="I575" s="14">
        <v>76</v>
      </c>
      <c r="J575">
        <f>I575-I574</f>
        <v>2</v>
      </c>
      <c r="K575" t="str">
        <f t="shared" si="50"/>
        <v>W</v>
      </c>
      <c r="L575" t="str">
        <f t="shared" si="51"/>
        <v>Matt</v>
      </c>
      <c r="M575" t="str">
        <f>VLOOKUP(L575,References!$A$2:$B$16,2,FALSE)</f>
        <v>TEXAROK</v>
      </c>
      <c r="N575" s="19" t="str">
        <f>IF(M575=M574,"N","Y")</f>
        <v>Y</v>
      </c>
      <c r="O575">
        <f>SUM(I574:I575)</f>
        <v>150</v>
      </c>
      <c r="P575">
        <f t="shared" si="53"/>
        <v>74</v>
      </c>
    </row>
    <row r="576" spans="1:16" hidden="1" x14ac:dyDescent="0.3">
      <c r="A576" t="str">
        <f t="shared" si="52"/>
        <v>2017Brent1</v>
      </c>
      <c r="B576">
        <f t="shared" si="48"/>
        <v>1434</v>
      </c>
      <c r="C576">
        <f t="shared" si="49"/>
        <v>1055</v>
      </c>
      <c r="D576" t="s">
        <v>47</v>
      </c>
      <c r="E576" t="str">
        <f>D577</f>
        <v>Russell</v>
      </c>
      <c r="F576">
        <v>2017</v>
      </c>
      <c r="G576">
        <v>1</v>
      </c>
      <c r="H576">
        <v>2.1</v>
      </c>
      <c r="I576" s="14">
        <v>89</v>
      </c>
      <c r="J576">
        <f>I576-I577</f>
        <v>-15</v>
      </c>
      <c r="K576" t="str">
        <f t="shared" si="50"/>
        <v>L</v>
      </c>
      <c r="L576" t="str">
        <f t="shared" si="51"/>
        <v>Brent</v>
      </c>
      <c r="M576" t="str">
        <f>VLOOKUP(L576,References!$A$2:$B$16,2,FALSE)</f>
        <v>TEXAROK</v>
      </c>
      <c r="N576" s="19" t="str">
        <f>IF(M576=M577,"N","Y")</f>
        <v>N</v>
      </c>
      <c r="O576">
        <f>SUM(I576:I577)</f>
        <v>193</v>
      </c>
      <c r="P576">
        <f t="shared" si="53"/>
        <v>104</v>
      </c>
    </row>
    <row r="577" spans="1:16" hidden="1" x14ac:dyDescent="0.3">
      <c r="A577" t="str">
        <f t="shared" si="52"/>
        <v>2017Russell1</v>
      </c>
      <c r="B577">
        <f t="shared" si="48"/>
        <v>639</v>
      </c>
      <c r="C577">
        <f t="shared" si="49"/>
        <v>566</v>
      </c>
      <c r="D577" t="s">
        <v>28</v>
      </c>
      <c r="E577" t="str">
        <f>D576</f>
        <v>Brent</v>
      </c>
      <c r="F577">
        <v>2017</v>
      </c>
      <c r="G577">
        <v>1</v>
      </c>
      <c r="H577">
        <v>2.2000000000000002</v>
      </c>
      <c r="I577" s="14">
        <v>104</v>
      </c>
      <c r="J577">
        <f>I577-I576</f>
        <v>15</v>
      </c>
      <c r="K577" t="str">
        <f t="shared" si="50"/>
        <v>W</v>
      </c>
      <c r="L577" t="str">
        <f t="shared" si="51"/>
        <v>Russell</v>
      </c>
      <c r="M577" t="str">
        <f>VLOOKUP(L577,References!$A$2:$B$16,2,FALSE)</f>
        <v>TEXAROK</v>
      </c>
      <c r="N577" s="19" t="str">
        <f>IF(M577=M576,"N","Y")</f>
        <v>N</v>
      </c>
      <c r="O577">
        <f>SUM(I576:I577)</f>
        <v>193</v>
      </c>
      <c r="P577">
        <f t="shared" si="53"/>
        <v>89</v>
      </c>
    </row>
    <row r="578" spans="1:16" hidden="1" x14ac:dyDescent="0.3">
      <c r="A578" t="str">
        <f t="shared" si="52"/>
        <v>2017BR1</v>
      </c>
      <c r="B578">
        <f t="shared" ref="B578:B641" si="54">RANK(J578,diff)</f>
        <v>1921</v>
      </c>
      <c r="C578">
        <f t="shared" ref="C578:C641" si="55">RANK(I578,points)</f>
        <v>1867</v>
      </c>
      <c r="D578" t="s">
        <v>25</v>
      </c>
      <c r="E578" t="str">
        <f>D579</f>
        <v>Watty</v>
      </c>
      <c r="F578">
        <v>2017</v>
      </c>
      <c r="G578">
        <v>1</v>
      </c>
      <c r="H578">
        <v>3.1</v>
      </c>
      <c r="I578" s="14">
        <v>64</v>
      </c>
      <c r="J578">
        <f>I578-I579</f>
        <v>-43</v>
      </c>
      <c r="K578" t="str">
        <f t="shared" ref="K578:K641" si="56">IF(J578&gt;0,"W",IF(J578&lt;0,"L","T"))</f>
        <v>L</v>
      </c>
      <c r="L578" t="str">
        <f t="shared" ref="L578:L641" si="57">D578</f>
        <v>BR</v>
      </c>
      <c r="M578" t="str">
        <f>VLOOKUP(L578,References!$A$2:$B$16,2,FALSE)</f>
        <v>AKCOVA</v>
      </c>
      <c r="N578" s="19" t="str">
        <f>IF(M578=M579,"N","Y")</f>
        <v>N</v>
      </c>
      <c r="O578">
        <f>SUM(I578:I579)</f>
        <v>171</v>
      </c>
      <c r="P578">
        <f t="shared" si="53"/>
        <v>107</v>
      </c>
    </row>
    <row r="579" spans="1:16" hidden="1" x14ac:dyDescent="0.3">
      <c r="A579" t="str">
        <f t="shared" ref="A579:A642" si="58">F579&amp;D579&amp;G579</f>
        <v>2017Watty1</v>
      </c>
      <c r="B579">
        <f t="shared" si="54"/>
        <v>161</v>
      </c>
      <c r="C579">
        <f t="shared" si="55"/>
        <v>486</v>
      </c>
      <c r="D579" t="s">
        <v>24</v>
      </c>
      <c r="E579" t="str">
        <f>D578</f>
        <v>BR</v>
      </c>
      <c r="F579">
        <v>2017</v>
      </c>
      <c r="G579">
        <v>1</v>
      </c>
      <c r="H579">
        <v>3.2</v>
      </c>
      <c r="I579" s="14">
        <v>107</v>
      </c>
      <c r="J579">
        <f>I579-I578</f>
        <v>43</v>
      </c>
      <c r="K579" t="str">
        <f t="shared" si="56"/>
        <v>W</v>
      </c>
      <c r="L579" t="str">
        <f t="shared" si="57"/>
        <v>Watty</v>
      </c>
      <c r="M579" t="str">
        <f>VLOOKUP(L579,References!$A$2:$B$16,2,FALSE)</f>
        <v>AKCOVA</v>
      </c>
      <c r="N579" s="19" t="str">
        <f>IF(M579=M578,"N","Y")</f>
        <v>N</v>
      </c>
      <c r="O579">
        <f>SUM(I578:I579)</f>
        <v>171</v>
      </c>
      <c r="P579">
        <f t="shared" ref="P579:P642" si="59">I579-J579</f>
        <v>64</v>
      </c>
    </row>
    <row r="580" spans="1:16" hidden="1" x14ac:dyDescent="0.3">
      <c r="A580" t="str">
        <f t="shared" si="58"/>
        <v>2017Emily1</v>
      </c>
      <c r="B580">
        <f t="shared" si="54"/>
        <v>1661</v>
      </c>
      <c r="C580">
        <f t="shared" si="55"/>
        <v>1885</v>
      </c>
      <c r="D580" t="s">
        <v>43</v>
      </c>
      <c r="E580" t="str">
        <f>D581</f>
        <v>David</v>
      </c>
      <c r="F580">
        <v>2017</v>
      </c>
      <c r="G580">
        <v>1</v>
      </c>
      <c r="H580">
        <v>4.0999999999999996</v>
      </c>
      <c r="I580" s="14">
        <v>63</v>
      </c>
      <c r="J580">
        <f>I580-I581</f>
        <v>-25</v>
      </c>
      <c r="K580" t="str">
        <f t="shared" si="56"/>
        <v>L</v>
      </c>
      <c r="L580" t="str">
        <f t="shared" si="57"/>
        <v>Emily</v>
      </c>
      <c r="M580" t="str">
        <f>VLOOKUP(L580,References!$A$2:$B$16,2,FALSE)</f>
        <v>TEXAROK</v>
      </c>
      <c r="N580" s="19" t="str">
        <f>IF(M580=M581,"N","Y")</f>
        <v>N</v>
      </c>
      <c r="O580">
        <f>SUM(I580:I581)</f>
        <v>151</v>
      </c>
      <c r="P580">
        <f t="shared" si="59"/>
        <v>88</v>
      </c>
    </row>
    <row r="581" spans="1:16" hidden="1" x14ac:dyDescent="0.3">
      <c r="A581" t="str">
        <f t="shared" si="58"/>
        <v>2017David1</v>
      </c>
      <c r="B581">
        <f t="shared" si="54"/>
        <v>410</v>
      </c>
      <c r="C581">
        <f t="shared" si="55"/>
        <v>1100</v>
      </c>
      <c r="D581" t="s">
        <v>29</v>
      </c>
      <c r="E581" t="str">
        <f>D580</f>
        <v>Emily</v>
      </c>
      <c r="F581">
        <v>2017</v>
      </c>
      <c r="G581">
        <v>1</v>
      </c>
      <c r="H581">
        <v>4.2</v>
      </c>
      <c r="I581" s="14">
        <v>88</v>
      </c>
      <c r="J581">
        <f>I581-I580</f>
        <v>25</v>
      </c>
      <c r="K581" t="str">
        <f t="shared" si="56"/>
        <v>W</v>
      </c>
      <c r="L581" t="str">
        <f t="shared" si="57"/>
        <v>David</v>
      </c>
      <c r="M581" t="str">
        <f>VLOOKUP(L581,References!$A$2:$B$16,2,FALSE)</f>
        <v>TEXAROK</v>
      </c>
      <c r="N581" s="19" t="str">
        <f>IF(M581=M580,"N","Y")</f>
        <v>N</v>
      </c>
      <c r="O581">
        <f>SUM(I580:I581)</f>
        <v>151</v>
      </c>
      <c r="P581">
        <f t="shared" si="59"/>
        <v>63</v>
      </c>
    </row>
    <row r="582" spans="1:16" hidden="1" x14ac:dyDescent="0.3">
      <c r="A582" t="str">
        <f t="shared" si="58"/>
        <v>2017Abby1</v>
      </c>
      <c r="B582">
        <f t="shared" si="54"/>
        <v>89</v>
      </c>
      <c r="C582">
        <f t="shared" si="55"/>
        <v>926</v>
      </c>
      <c r="D582" t="s">
        <v>27</v>
      </c>
      <c r="E582" t="str">
        <f>D583</f>
        <v>Mark</v>
      </c>
      <c r="F582">
        <v>2017</v>
      </c>
      <c r="G582">
        <v>1</v>
      </c>
      <c r="H582">
        <v>5.0999999999999996</v>
      </c>
      <c r="I582" s="14">
        <v>93</v>
      </c>
      <c r="J582">
        <f>I582-I583</f>
        <v>53</v>
      </c>
      <c r="K582" t="str">
        <f t="shared" si="56"/>
        <v>W</v>
      </c>
      <c r="L582" t="str">
        <f t="shared" si="57"/>
        <v>Abby</v>
      </c>
      <c r="M582" t="str">
        <f>VLOOKUP(L582,References!$A$2:$B$16,2,FALSE)</f>
        <v>AKCOVA</v>
      </c>
      <c r="N582" s="19" t="str">
        <f>IF(M582=M583,"N","Y")</f>
        <v>N</v>
      </c>
      <c r="O582">
        <f>SUM(I582:I583)</f>
        <v>133</v>
      </c>
      <c r="P582">
        <f t="shared" si="59"/>
        <v>40</v>
      </c>
    </row>
    <row r="583" spans="1:16" hidden="1" x14ac:dyDescent="0.3">
      <c r="A583" t="str">
        <f t="shared" si="58"/>
        <v>2017Mark1</v>
      </c>
      <c r="B583">
        <f t="shared" si="54"/>
        <v>1997</v>
      </c>
      <c r="C583">
        <f t="shared" si="55"/>
        <v>2085</v>
      </c>
      <c r="D583" t="s">
        <v>22</v>
      </c>
      <c r="E583" t="str">
        <f>D582</f>
        <v>Abby</v>
      </c>
      <c r="F583">
        <v>2017</v>
      </c>
      <c r="G583">
        <v>1</v>
      </c>
      <c r="H583">
        <v>5.2</v>
      </c>
      <c r="I583" s="14">
        <v>40</v>
      </c>
      <c r="J583">
        <f>I583-I582</f>
        <v>-53</v>
      </c>
      <c r="K583" t="str">
        <f t="shared" si="56"/>
        <v>L</v>
      </c>
      <c r="L583" t="str">
        <f t="shared" si="57"/>
        <v>Mark</v>
      </c>
      <c r="M583" t="str">
        <f>VLOOKUP(L583,References!$A$2:$B$16,2,FALSE)</f>
        <v>AKCOVA</v>
      </c>
      <c r="N583" s="19" t="str">
        <f>IF(M583=M582,"N","Y")</f>
        <v>N</v>
      </c>
      <c r="O583">
        <f>SUM(I582:I583)</f>
        <v>133</v>
      </c>
      <c r="P583">
        <f t="shared" si="59"/>
        <v>93</v>
      </c>
    </row>
    <row r="584" spans="1:16" hidden="1" x14ac:dyDescent="0.3">
      <c r="A584" t="str">
        <f t="shared" si="58"/>
        <v>2017Charles1</v>
      </c>
      <c r="B584">
        <f t="shared" si="54"/>
        <v>469</v>
      </c>
      <c r="C584">
        <f t="shared" si="55"/>
        <v>1439</v>
      </c>
      <c r="D584" t="s">
        <v>48</v>
      </c>
      <c r="E584" t="str">
        <f>D585</f>
        <v>Brian</v>
      </c>
      <c r="F584">
        <v>2017</v>
      </c>
      <c r="G584">
        <v>1</v>
      </c>
      <c r="H584">
        <v>6.1</v>
      </c>
      <c r="I584" s="14">
        <v>79</v>
      </c>
      <c r="J584">
        <f>I584-I585</f>
        <v>22</v>
      </c>
      <c r="K584" t="str">
        <f t="shared" si="56"/>
        <v>W</v>
      </c>
      <c r="L584" t="str">
        <f t="shared" si="57"/>
        <v>Charles</v>
      </c>
      <c r="M584" t="str">
        <f>VLOOKUP(L584,References!$A$2:$B$16,2,FALSE)</f>
        <v>AKCOVA</v>
      </c>
      <c r="N584" s="19" t="str">
        <f>IF(M584=M585,"N","Y")</f>
        <v>Y</v>
      </c>
      <c r="O584">
        <f>SUM(I584:I585)</f>
        <v>136</v>
      </c>
      <c r="P584">
        <f t="shared" si="59"/>
        <v>57</v>
      </c>
    </row>
    <row r="585" spans="1:16" hidden="1" x14ac:dyDescent="0.3">
      <c r="A585" t="str">
        <f t="shared" si="58"/>
        <v>2017Brian1</v>
      </c>
      <c r="B585">
        <f t="shared" si="54"/>
        <v>1605</v>
      </c>
      <c r="C585">
        <f t="shared" si="55"/>
        <v>1988</v>
      </c>
      <c r="D585" t="s">
        <v>26</v>
      </c>
      <c r="E585" t="str">
        <f>D584</f>
        <v>Charles</v>
      </c>
      <c r="F585">
        <v>2017</v>
      </c>
      <c r="G585">
        <v>1</v>
      </c>
      <c r="H585">
        <v>6.2</v>
      </c>
      <c r="I585" s="14">
        <v>57</v>
      </c>
      <c r="J585">
        <f>I585-I584</f>
        <v>-22</v>
      </c>
      <c r="K585" t="str">
        <f t="shared" si="56"/>
        <v>L</v>
      </c>
      <c r="L585" t="str">
        <f t="shared" si="57"/>
        <v>Brian</v>
      </c>
      <c r="M585" t="str">
        <f>VLOOKUP(L585,References!$A$2:$B$16,2,FALSE)</f>
        <v>TEXAROK</v>
      </c>
      <c r="N585" s="19" t="str">
        <f>IF(M585=M584,"N","Y")</f>
        <v>Y</v>
      </c>
      <c r="O585">
        <f>SUM(I584:I585)</f>
        <v>136</v>
      </c>
      <c r="P585">
        <f t="shared" si="59"/>
        <v>79</v>
      </c>
    </row>
    <row r="586" spans="1:16" hidden="1" x14ac:dyDescent="0.3">
      <c r="A586" t="str">
        <f t="shared" si="58"/>
        <v>2017Emily2</v>
      </c>
      <c r="B586">
        <f t="shared" si="54"/>
        <v>161</v>
      </c>
      <c r="C586">
        <f t="shared" si="55"/>
        <v>364</v>
      </c>
      <c r="D586" t="s">
        <v>43</v>
      </c>
      <c r="E586" t="str">
        <f>D587</f>
        <v>Michael</v>
      </c>
      <c r="F586">
        <v>2017</v>
      </c>
      <c r="G586">
        <v>2</v>
      </c>
      <c r="H586">
        <v>1.1000000000000001</v>
      </c>
      <c r="I586" s="14">
        <v>112</v>
      </c>
      <c r="J586">
        <f>I586-I587</f>
        <v>43</v>
      </c>
      <c r="K586" t="str">
        <f t="shared" si="56"/>
        <v>W</v>
      </c>
      <c r="L586" t="str">
        <f t="shared" si="57"/>
        <v>Emily</v>
      </c>
      <c r="M586" t="str">
        <f>VLOOKUP(L586,References!$A$2:$B$16,2,FALSE)</f>
        <v>TEXAROK</v>
      </c>
      <c r="N586" s="19" t="str">
        <f>IF(M586=M587,"N","Y")</f>
        <v>Y</v>
      </c>
      <c r="O586">
        <f>SUM(I586:I587)</f>
        <v>181</v>
      </c>
      <c r="P586">
        <f t="shared" si="59"/>
        <v>69</v>
      </c>
    </row>
    <row r="587" spans="1:16" hidden="1" x14ac:dyDescent="0.3">
      <c r="A587" t="str">
        <f t="shared" si="58"/>
        <v>2017Michael2</v>
      </c>
      <c r="B587">
        <f t="shared" si="54"/>
        <v>1921</v>
      </c>
      <c r="C587">
        <f t="shared" si="55"/>
        <v>1767</v>
      </c>
      <c r="D587" t="s">
        <v>23</v>
      </c>
      <c r="E587" t="str">
        <f>D586</f>
        <v>Emily</v>
      </c>
      <c r="F587">
        <v>2017</v>
      </c>
      <c r="G587">
        <v>2</v>
      </c>
      <c r="H587">
        <v>1.2</v>
      </c>
      <c r="I587" s="14">
        <v>69</v>
      </c>
      <c r="J587">
        <f>I587-I586</f>
        <v>-43</v>
      </c>
      <c r="K587" t="str">
        <f t="shared" si="56"/>
        <v>L</v>
      </c>
      <c r="L587" t="str">
        <f t="shared" si="57"/>
        <v>Michael</v>
      </c>
      <c r="M587" t="str">
        <f>VLOOKUP(L587,References!$A$2:$B$16,2,FALSE)</f>
        <v>AKCOVA</v>
      </c>
      <c r="N587" s="19" t="str">
        <f>IF(M587=M586,"N","Y")</f>
        <v>Y</v>
      </c>
      <c r="O587">
        <f>SUM(I586:I587)</f>
        <v>181</v>
      </c>
      <c r="P587">
        <f t="shared" si="59"/>
        <v>112</v>
      </c>
    </row>
    <row r="588" spans="1:16" hidden="1" x14ac:dyDescent="0.3">
      <c r="A588" t="str">
        <f t="shared" si="58"/>
        <v>2017David2</v>
      </c>
      <c r="B588">
        <f t="shared" si="54"/>
        <v>1336</v>
      </c>
      <c r="C588">
        <f t="shared" si="55"/>
        <v>1648</v>
      </c>
      <c r="D588" t="s">
        <v>29</v>
      </c>
      <c r="E588" t="str">
        <f>D589</f>
        <v>Russell</v>
      </c>
      <c r="F588">
        <v>2017</v>
      </c>
      <c r="G588">
        <v>2</v>
      </c>
      <c r="H588">
        <v>2.1</v>
      </c>
      <c r="I588" s="14">
        <v>73</v>
      </c>
      <c r="J588">
        <f>I588-I589</f>
        <v>-11</v>
      </c>
      <c r="K588" t="str">
        <f t="shared" si="56"/>
        <v>L</v>
      </c>
      <c r="L588" t="str">
        <f t="shared" si="57"/>
        <v>David</v>
      </c>
      <c r="M588" t="str">
        <f>VLOOKUP(L588,References!$A$2:$B$16,2,FALSE)</f>
        <v>TEXAROK</v>
      </c>
      <c r="N588" s="19" t="str">
        <f>IF(M588=M589,"N","Y")</f>
        <v>N</v>
      </c>
      <c r="O588">
        <f>SUM(I588:I589)</f>
        <v>157</v>
      </c>
      <c r="P588">
        <f t="shared" si="59"/>
        <v>84</v>
      </c>
    </row>
    <row r="589" spans="1:16" hidden="1" x14ac:dyDescent="0.3">
      <c r="A589" t="str">
        <f t="shared" si="58"/>
        <v>2017Russell2</v>
      </c>
      <c r="B589">
        <f t="shared" si="54"/>
        <v>737</v>
      </c>
      <c r="C589">
        <f t="shared" si="55"/>
        <v>1241</v>
      </c>
      <c r="D589" t="s">
        <v>28</v>
      </c>
      <c r="E589" t="str">
        <f>D588</f>
        <v>David</v>
      </c>
      <c r="F589">
        <v>2017</v>
      </c>
      <c r="G589">
        <v>2</v>
      </c>
      <c r="H589">
        <v>2.2000000000000002</v>
      </c>
      <c r="I589" s="14">
        <v>84</v>
      </c>
      <c r="J589">
        <f>I589-I588</f>
        <v>11</v>
      </c>
      <c r="K589" t="str">
        <f t="shared" si="56"/>
        <v>W</v>
      </c>
      <c r="L589" t="str">
        <f t="shared" si="57"/>
        <v>Russell</v>
      </c>
      <c r="M589" t="str">
        <f>VLOOKUP(L589,References!$A$2:$B$16,2,FALSE)</f>
        <v>TEXAROK</v>
      </c>
      <c r="N589" s="19" t="str">
        <f>IF(M589=M588,"N","Y")</f>
        <v>N</v>
      </c>
      <c r="O589">
        <f>SUM(I588:I589)</f>
        <v>157</v>
      </c>
      <c r="P589">
        <f t="shared" si="59"/>
        <v>73</v>
      </c>
    </row>
    <row r="590" spans="1:16" hidden="1" x14ac:dyDescent="0.3">
      <c r="A590" t="str">
        <f t="shared" si="58"/>
        <v>2017Mark2</v>
      </c>
      <c r="B590">
        <f t="shared" si="54"/>
        <v>1546</v>
      </c>
      <c r="C590">
        <f t="shared" si="55"/>
        <v>1512</v>
      </c>
      <c r="D590" t="s">
        <v>22</v>
      </c>
      <c r="E590" t="str">
        <f>D591</f>
        <v>Charles</v>
      </c>
      <c r="F590">
        <v>2017</v>
      </c>
      <c r="G590">
        <v>2</v>
      </c>
      <c r="H590">
        <v>3.1</v>
      </c>
      <c r="I590" s="14">
        <v>77</v>
      </c>
      <c r="J590">
        <f>I590-I591</f>
        <v>-20</v>
      </c>
      <c r="K590" t="str">
        <f t="shared" si="56"/>
        <v>L</v>
      </c>
      <c r="L590" t="str">
        <f t="shared" si="57"/>
        <v>Mark</v>
      </c>
      <c r="M590" t="str">
        <f>VLOOKUP(L590,References!$A$2:$B$16,2,FALSE)</f>
        <v>AKCOVA</v>
      </c>
      <c r="N590" s="19" t="str">
        <f>IF(M590=M591,"N","Y")</f>
        <v>N</v>
      </c>
      <c r="O590">
        <f>SUM(I590:I591)</f>
        <v>174</v>
      </c>
      <c r="P590">
        <f t="shared" si="59"/>
        <v>97</v>
      </c>
    </row>
    <row r="591" spans="1:16" hidden="1" x14ac:dyDescent="0.3">
      <c r="A591" t="str">
        <f t="shared" si="58"/>
        <v>2017Charles2</v>
      </c>
      <c r="B591">
        <f t="shared" si="54"/>
        <v>517</v>
      </c>
      <c r="C591">
        <f t="shared" si="55"/>
        <v>777</v>
      </c>
      <c r="D591" t="s">
        <v>48</v>
      </c>
      <c r="E591" t="str">
        <f>D590</f>
        <v>Mark</v>
      </c>
      <c r="F591">
        <v>2017</v>
      </c>
      <c r="G591">
        <v>2</v>
      </c>
      <c r="H591">
        <v>3.2</v>
      </c>
      <c r="I591" s="14">
        <v>97</v>
      </c>
      <c r="J591">
        <f>I591-I590</f>
        <v>20</v>
      </c>
      <c r="K591" t="str">
        <f t="shared" si="56"/>
        <v>W</v>
      </c>
      <c r="L591" t="str">
        <f t="shared" si="57"/>
        <v>Charles</v>
      </c>
      <c r="M591" t="str">
        <f>VLOOKUP(L591,References!$A$2:$B$16,2,FALSE)</f>
        <v>AKCOVA</v>
      </c>
      <c r="N591" s="19" t="str">
        <f>IF(M591=M590,"N","Y")</f>
        <v>N</v>
      </c>
      <c r="O591">
        <f>SUM(I590:I591)</f>
        <v>174</v>
      </c>
      <c r="P591">
        <f t="shared" si="59"/>
        <v>77</v>
      </c>
    </row>
    <row r="592" spans="1:16" hidden="1" x14ac:dyDescent="0.3">
      <c r="A592" t="str">
        <f t="shared" si="58"/>
        <v>2017Matt2</v>
      </c>
      <c r="B592">
        <f t="shared" si="54"/>
        <v>1258</v>
      </c>
      <c r="C592">
        <f t="shared" si="55"/>
        <v>652</v>
      </c>
      <c r="D592" t="s">
        <v>30</v>
      </c>
      <c r="E592" t="str">
        <f>D593</f>
        <v>Brent</v>
      </c>
      <c r="F592">
        <v>2017</v>
      </c>
      <c r="G592">
        <v>2</v>
      </c>
      <c r="H592">
        <v>4.0999999999999996</v>
      </c>
      <c r="I592" s="14">
        <v>101</v>
      </c>
      <c r="J592">
        <f>I592-I593</f>
        <v>-8</v>
      </c>
      <c r="K592" t="str">
        <f t="shared" si="56"/>
        <v>L</v>
      </c>
      <c r="L592" t="str">
        <f t="shared" si="57"/>
        <v>Matt</v>
      </c>
      <c r="M592" t="str">
        <f>VLOOKUP(L592,References!$A$2:$B$16,2,FALSE)</f>
        <v>TEXAROK</v>
      </c>
      <c r="N592" s="19" t="str">
        <f>IF(M592=M593,"N","Y")</f>
        <v>N</v>
      </c>
      <c r="O592">
        <f>SUM(I592:I593)</f>
        <v>210</v>
      </c>
      <c r="P592">
        <f t="shared" si="59"/>
        <v>109</v>
      </c>
    </row>
    <row r="593" spans="1:16" hidden="1" x14ac:dyDescent="0.3">
      <c r="A593" t="str">
        <f t="shared" si="58"/>
        <v>2017Brent2</v>
      </c>
      <c r="B593">
        <f t="shared" si="54"/>
        <v>803</v>
      </c>
      <c r="C593">
        <f t="shared" si="55"/>
        <v>435</v>
      </c>
      <c r="D593" t="s">
        <v>47</v>
      </c>
      <c r="E593" t="str">
        <f>D592</f>
        <v>Matt</v>
      </c>
      <c r="F593">
        <v>2017</v>
      </c>
      <c r="G593">
        <v>2</v>
      </c>
      <c r="H593">
        <v>4.2</v>
      </c>
      <c r="I593" s="14">
        <v>109</v>
      </c>
      <c r="J593">
        <f>I593-I592</f>
        <v>8</v>
      </c>
      <c r="K593" t="str">
        <f t="shared" si="56"/>
        <v>W</v>
      </c>
      <c r="L593" t="str">
        <f t="shared" si="57"/>
        <v>Brent</v>
      </c>
      <c r="M593" t="str">
        <f>VLOOKUP(L593,References!$A$2:$B$16,2,FALSE)</f>
        <v>TEXAROK</v>
      </c>
      <c r="N593" s="19" t="str">
        <f>IF(M593=M592,"N","Y")</f>
        <v>N</v>
      </c>
      <c r="O593">
        <f>SUM(I592:I593)</f>
        <v>210</v>
      </c>
      <c r="P593">
        <f t="shared" si="59"/>
        <v>101</v>
      </c>
    </row>
    <row r="594" spans="1:16" hidden="1" x14ac:dyDescent="0.3">
      <c r="A594" t="str">
        <f t="shared" si="58"/>
        <v>2017BR2</v>
      </c>
      <c r="B594">
        <f t="shared" si="54"/>
        <v>187</v>
      </c>
      <c r="C594">
        <f t="shared" si="55"/>
        <v>857</v>
      </c>
      <c r="D594" t="s">
        <v>25</v>
      </c>
      <c r="E594" t="str">
        <f>D595</f>
        <v>Abby</v>
      </c>
      <c r="F594">
        <v>2017</v>
      </c>
      <c r="G594">
        <v>2</v>
      </c>
      <c r="H594">
        <v>5.0999999999999996</v>
      </c>
      <c r="I594" s="14">
        <v>95</v>
      </c>
      <c r="J594">
        <f>I594-I595</f>
        <v>40</v>
      </c>
      <c r="K594" t="str">
        <f t="shared" si="56"/>
        <v>W</v>
      </c>
      <c r="L594" t="str">
        <f t="shared" si="57"/>
        <v>BR</v>
      </c>
      <c r="M594" t="str">
        <f>VLOOKUP(L594,References!$A$2:$B$16,2,FALSE)</f>
        <v>AKCOVA</v>
      </c>
      <c r="N594" s="19" t="str">
        <f>IF(M594=M595,"N","Y")</f>
        <v>N</v>
      </c>
      <c r="O594">
        <f>SUM(I594:I595)</f>
        <v>150</v>
      </c>
      <c r="P594">
        <f t="shared" si="59"/>
        <v>55</v>
      </c>
    </row>
    <row r="595" spans="1:16" hidden="1" x14ac:dyDescent="0.3">
      <c r="A595" t="str">
        <f t="shared" si="58"/>
        <v>2017Abby2</v>
      </c>
      <c r="B595">
        <f t="shared" si="54"/>
        <v>1895</v>
      </c>
      <c r="C595">
        <f t="shared" si="55"/>
        <v>2014</v>
      </c>
      <c r="D595" t="s">
        <v>27</v>
      </c>
      <c r="E595" t="str">
        <f>D594</f>
        <v>BR</v>
      </c>
      <c r="F595">
        <v>2017</v>
      </c>
      <c r="G595">
        <v>2</v>
      </c>
      <c r="H595">
        <v>5.2</v>
      </c>
      <c r="I595" s="14">
        <v>55</v>
      </c>
      <c r="J595">
        <f>I595-I594</f>
        <v>-40</v>
      </c>
      <c r="K595" t="str">
        <f t="shared" si="56"/>
        <v>L</v>
      </c>
      <c r="L595" t="str">
        <f t="shared" si="57"/>
        <v>Abby</v>
      </c>
      <c r="M595" t="str">
        <f>VLOOKUP(L595,References!$A$2:$B$16,2,FALSE)</f>
        <v>AKCOVA</v>
      </c>
      <c r="N595" s="19" t="str">
        <f>IF(M595=M594,"N","Y")</f>
        <v>N</v>
      </c>
      <c r="O595">
        <f>SUM(I594:I595)</f>
        <v>150</v>
      </c>
      <c r="P595">
        <f t="shared" si="59"/>
        <v>95</v>
      </c>
    </row>
    <row r="596" spans="1:16" hidden="1" x14ac:dyDescent="0.3">
      <c r="A596" t="str">
        <f t="shared" si="58"/>
        <v>2017Watty2</v>
      </c>
      <c r="B596">
        <f t="shared" si="54"/>
        <v>1605</v>
      </c>
      <c r="C596">
        <f t="shared" si="55"/>
        <v>1867</v>
      </c>
      <c r="D596" t="s">
        <v>24</v>
      </c>
      <c r="E596" t="str">
        <f>D597</f>
        <v>Brian</v>
      </c>
      <c r="F596">
        <v>2017</v>
      </c>
      <c r="G596">
        <v>2</v>
      </c>
      <c r="H596">
        <v>6.1</v>
      </c>
      <c r="I596" s="14">
        <v>64</v>
      </c>
      <c r="J596">
        <f>I596-I597</f>
        <v>-22</v>
      </c>
      <c r="K596" t="str">
        <f t="shared" si="56"/>
        <v>L</v>
      </c>
      <c r="L596" t="str">
        <f t="shared" si="57"/>
        <v>Watty</v>
      </c>
      <c r="M596" t="str">
        <f>VLOOKUP(L596,References!$A$2:$B$16,2,FALSE)</f>
        <v>AKCOVA</v>
      </c>
      <c r="N596" s="19" t="str">
        <f>IF(M596=M597,"N","Y")</f>
        <v>Y</v>
      </c>
      <c r="O596">
        <f>SUM(I596:I597)</f>
        <v>150</v>
      </c>
      <c r="P596">
        <f t="shared" si="59"/>
        <v>86</v>
      </c>
    </row>
    <row r="597" spans="1:16" hidden="1" x14ac:dyDescent="0.3">
      <c r="A597" t="str">
        <f t="shared" si="58"/>
        <v>2017Brian2</v>
      </c>
      <c r="B597">
        <f t="shared" si="54"/>
        <v>469</v>
      </c>
      <c r="C597">
        <f t="shared" si="55"/>
        <v>1173</v>
      </c>
      <c r="D597" t="s">
        <v>26</v>
      </c>
      <c r="E597" t="str">
        <f>D596</f>
        <v>Watty</v>
      </c>
      <c r="F597">
        <v>2017</v>
      </c>
      <c r="G597">
        <v>2</v>
      </c>
      <c r="H597">
        <v>6.2</v>
      </c>
      <c r="I597" s="14">
        <v>86</v>
      </c>
      <c r="J597">
        <f>I597-I596</f>
        <v>22</v>
      </c>
      <c r="K597" t="str">
        <f t="shared" si="56"/>
        <v>W</v>
      </c>
      <c r="L597" t="str">
        <f t="shared" si="57"/>
        <v>Brian</v>
      </c>
      <c r="M597" t="str">
        <f>VLOOKUP(L597,References!$A$2:$B$16,2,FALSE)</f>
        <v>TEXAROK</v>
      </c>
      <c r="N597" s="19" t="str">
        <f>IF(M597=M596,"N","Y")</f>
        <v>Y</v>
      </c>
      <c r="O597">
        <f>SUM(I596:I597)</f>
        <v>150</v>
      </c>
      <c r="P597">
        <f t="shared" si="59"/>
        <v>64</v>
      </c>
    </row>
    <row r="598" spans="1:16" hidden="1" x14ac:dyDescent="0.3">
      <c r="A598" t="str">
        <f t="shared" si="58"/>
        <v>2017Michael3</v>
      </c>
      <c r="B598">
        <f t="shared" si="54"/>
        <v>548</v>
      </c>
      <c r="C598">
        <f t="shared" si="55"/>
        <v>1318</v>
      </c>
      <c r="D598" t="s">
        <v>23</v>
      </c>
      <c r="E598" t="str">
        <f>D599</f>
        <v>Brent</v>
      </c>
      <c r="F598">
        <v>2017</v>
      </c>
      <c r="G598">
        <v>3</v>
      </c>
      <c r="H598">
        <v>1.1000000000000001</v>
      </c>
      <c r="I598" s="14">
        <v>82</v>
      </c>
      <c r="J598">
        <f>I598-I599</f>
        <v>19</v>
      </c>
      <c r="K598" t="str">
        <f t="shared" si="56"/>
        <v>W</v>
      </c>
      <c r="L598" t="str">
        <f t="shared" si="57"/>
        <v>Michael</v>
      </c>
      <c r="M598" t="str">
        <f>VLOOKUP(L598,References!$A$2:$B$16,2,FALSE)</f>
        <v>AKCOVA</v>
      </c>
      <c r="N598" s="19" t="str">
        <f>IF(M598=M599,"N","Y")</f>
        <v>Y</v>
      </c>
      <c r="O598">
        <f>SUM(I598:I599)</f>
        <v>145</v>
      </c>
      <c r="P598">
        <f t="shared" si="59"/>
        <v>63</v>
      </c>
    </row>
    <row r="599" spans="1:16" hidden="1" x14ac:dyDescent="0.3">
      <c r="A599" t="str">
        <f t="shared" si="58"/>
        <v>2017Brent3</v>
      </c>
      <c r="B599">
        <f t="shared" si="54"/>
        <v>1523</v>
      </c>
      <c r="C599">
        <f t="shared" si="55"/>
        <v>1885</v>
      </c>
      <c r="D599" t="s">
        <v>47</v>
      </c>
      <c r="E599" t="str">
        <f>D598</f>
        <v>Michael</v>
      </c>
      <c r="F599">
        <v>2017</v>
      </c>
      <c r="G599">
        <v>3</v>
      </c>
      <c r="H599">
        <v>1.2</v>
      </c>
      <c r="I599" s="14">
        <v>63</v>
      </c>
      <c r="J599">
        <f>I599-I598</f>
        <v>-19</v>
      </c>
      <c r="K599" t="str">
        <f t="shared" si="56"/>
        <v>L</v>
      </c>
      <c r="L599" t="str">
        <f t="shared" si="57"/>
        <v>Brent</v>
      </c>
      <c r="M599" t="str">
        <f>VLOOKUP(L599,References!$A$2:$B$16,2,FALSE)</f>
        <v>TEXAROK</v>
      </c>
      <c r="N599" s="19" t="str">
        <f>IF(M599=M598,"N","Y")</f>
        <v>Y</v>
      </c>
      <c r="O599">
        <f>SUM(I598:I599)</f>
        <v>145</v>
      </c>
      <c r="P599">
        <f t="shared" si="59"/>
        <v>82</v>
      </c>
    </row>
    <row r="600" spans="1:16" hidden="1" x14ac:dyDescent="0.3">
      <c r="A600" t="str">
        <f t="shared" si="58"/>
        <v>2017David3</v>
      </c>
      <c r="B600">
        <f t="shared" si="54"/>
        <v>977</v>
      </c>
      <c r="C600">
        <f t="shared" si="55"/>
        <v>1365</v>
      </c>
      <c r="D600" t="s">
        <v>29</v>
      </c>
      <c r="E600" t="str">
        <f>D601</f>
        <v>Matt</v>
      </c>
      <c r="F600">
        <v>2017</v>
      </c>
      <c r="G600">
        <v>3</v>
      </c>
      <c r="H600">
        <v>2.1</v>
      </c>
      <c r="I600" s="14">
        <v>81</v>
      </c>
      <c r="J600">
        <f>I600-I601</f>
        <v>2</v>
      </c>
      <c r="K600" t="str">
        <f t="shared" si="56"/>
        <v>W</v>
      </c>
      <c r="L600" t="str">
        <f t="shared" si="57"/>
        <v>David</v>
      </c>
      <c r="M600" t="str">
        <f>VLOOKUP(L600,References!$A$2:$B$16,2,FALSE)</f>
        <v>TEXAROK</v>
      </c>
      <c r="N600" s="19" t="str">
        <f>IF(M600=M601,"N","Y")</f>
        <v>N</v>
      </c>
      <c r="O600">
        <f>SUM(I600:I601)</f>
        <v>160</v>
      </c>
      <c r="P600">
        <f t="shared" si="59"/>
        <v>79</v>
      </c>
    </row>
    <row r="601" spans="1:16" hidden="1" x14ac:dyDescent="0.3">
      <c r="A601" t="str">
        <f t="shared" si="58"/>
        <v>2017Matt3</v>
      </c>
      <c r="B601">
        <f t="shared" si="54"/>
        <v>1090</v>
      </c>
      <c r="C601">
        <f t="shared" si="55"/>
        <v>1439</v>
      </c>
      <c r="D601" t="s">
        <v>30</v>
      </c>
      <c r="E601" t="str">
        <f>D600</f>
        <v>David</v>
      </c>
      <c r="F601">
        <v>2017</v>
      </c>
      <c r="G601">
        <v>3</v>
      </c>
      <c r="H601">
        <v>2.2000000000000002</v>
      </c>
      <c r="I601" s="14">
        <v>79</v>
      </c>
      <c r="J601">
        <f>I601-I600</f>
        <v>-2</v>
      </c>
      <c r="K601" t="str">
        <f t="shared" si="56"/>
        <v>L</v>
      </c>
      <c r="L601" t="str">
        <f t="shared" si="57"/>
        <v>Matt</v>
      </c>
      <c r="M601" t="str">
        <f>VLOOKUP(L601,References!$A$2:$B$16,2,FALSE)</f>
        <v>TEXAROK</v>
      </c>
      <c r="N601" s="19" t="str">
        <f>IF(M601=M600,"N","Y")</f>
        <v>N</v>
      </c>
      <c r="O601">
        <f>SUM(I600:I601)</f>
        <v>160</v>
      </c>
      <c r="P601">
        <f t="shared" si="59"/>
        <v>81</v>
      </c>
    </row>
    <row r="602" spans="1:16" hidden="1" x14ac:dyDescent="0.3">
      <c r="A602" t="str">
        <f t="shared" si="58"/>
        <v>2017Brian3</v>
      </c>
      <c r="B602">
        <f t="shared" si="54"/>
        <v>1577</v>
      </c>
      <c r="C602">
        <f t="shared" si="55"/>
        <v>1549</v>
      </c>
      <c r="D602" t="s">
        <v>26</v>
      </c>
      <c r="E602" t="str">
        <f>D603</f>
        <v>BR</v>
      </c>
      <c r="F602">
        <v>2017</v>
      </c>
      <c r="G602">
        <v>3</v>
      </c>
      <c r="H602">
        <v>3.1</v>
      </c>
      <c r="I602" s="14">
        <v>76</v>
      </c>
      <c r="J602">
        <f>I602-I603</f>
        <v>-21</v>
      </c>
      <c r="K602" t="str">
        <f t="shared" si="56"/>
        <v>L</v>
      </c>
      <c r="L602" t="str">
        <f t="shared" si="57"/>
        <v>Brian</v>
      </c>
      <c r="M602" t="str">
        <f>VLOOKUP(L602,References!$A$2:$B$16,2,FALSE)</f>
        <v>TEXAROK</v>
      </c>
      <c r="N602" s="19" t="str">
        <f>IF(M602=M603,"N","Y")</f>
        <v>Y</v>
      </c>
      <c r="O602">
        <f>SUM(I602:I603)</f>
        <v>173</v>
      </c>
      <c r="P602">
        <f t="shared" si="59"/>
        <v>97</v>
      </c>
    </row>
    <row r="603" spans="1:16" hidden="1" x14ac:dyDescent="0.3">
      <c r="A603" t="str">
        <f t="shared" si="58"/>
        <v>2017BR3</v>
      </c>
      <c r="B603">
        <f t="shared" si="54"/>
        <v>489</v>
      </c>
      <c r="C603">
        <f t="shared" si="55"/>
        <v>777</v>
      </c>
      <c r="D603" t="s">
        <v>25</v>
      </c>
      <c r="E603" t="str">
        <f>D602</f>
        <v>Brian</v>
      </c>
      <c r="F603">
        <v>2017</v>
      </c>
      <c r="G603">
        <v>3</v>
      </c>
      <c r="H603">
        <v>3.2</v>
      </c>
      <c r="I603" s="14">
        <v>97</v>
      </c>
      <c r="J603">
        <f>I603-I602</f>
        <v>21</v>
      </c>
      <c r="K603" t="str">
        <f t="shared" si="56"/>
        <v>W</v>
      </c>
      <c r="L603" t="str">
        <f t="shared" si="57"/>
        <v>BR</v>
      </c>
      <c r="M603" t="str">
        <f>VLOOKUP(L603,References!$A$2:$B$16,2,FALSE)</f>
        <v>AKCOVA</v>
      </c>
      <c r="N603" s="19" t="str">
        <f>IF(M603=M602,"N","Y")</f>
        <v>Y</v>
      </c>
      <c r="O603">
        <f>SUM(I602:I603)</f>
        <v>173</v>
      </c>
      <c r="P603">
        <f t="shared" si="59"/>
        <v>76</v>
      </c>
    </row>
    <row r="604" spans="1:16" hidden="1" x14ac:dyDescent="0.3">
      <c r="A604" t="str">
        <f t="shared" si="58"/>
        <v>2017Russell3</v>
      </c>
      <c r="B604">
        <f t="shared" si="54"/>
        <v>917</v>
      </c>
      <c r="C604">
        <f t="shared" si="55"/>
        <v>1406</v>
      </c>
      <c r="D604" t="s">
        <v>28</v>
      </c>
      <c r="E604" t="str">
        <f>D605</f>
        <v>Emily</v>
      </c>
      <c r="F604">
        <v>2017</v>
      </c>
      <c r="G604">
        <v>3</v>
      </c>
      <c r="H604">
        <v>4.0999999999999996</v>
      </c>
      <c r="I604" s="14">
        <v>80</v>
      </c>
      <c r="J604">
        <f>I604-I605</f>
        <v>4</v>
      </c>
      <c r="K604" t="str">
        <f t="shared" si="56"/>
        <v>W</v>
      </c>
      <c r="L604" t="str">
        <f t="shared" si="57"/>
        <v>Russell</v>
      </c>
      <c r="M604" t="str">
        <f>VLOOKUP(L604,References!$A$2:$B$16,2,FALSE)</f>
        <v>TEXAROK</v>
      </c>
      <c r="N604" s="19" t="str">
        <f>IF(M604=M605,"N","Y")</f>
        <v>N</v>
      </c>
      <c r="O604">
        <f>SUM(I604:I605)</f>
        <v>156</v>
      </c>
      <c r="P604">
        <f t="shared" si="59"/>
        <v>76</v>
      </c>
    </row>
    <row r="605" spans="1:16" hidden="1" x14ac:dyDescent="0.3">
      <c r="A605" t="str">
        <f t="shared" si="58"/>
        <v>2017Emily3</v>
      </c>
      <c r="B605">
        <f t="shared" si="54"/>
        <v>1145</v>
      </c>
      <c r="C605">
        <f t="shared" si="55"/>
        <v>1549</v>
      </c>
      <c r="D605" t="s">
        <v>43</v>
      </c>
      <c r="E605" t="str">
        <f>D604</f>
        <v>Russell</v>
      </c>
      <c r="F605">
        <v>2017</v>
      </c>
      <c r="G605">
        <v>3</v>
      </c>
      <c r="H605">
        <v>4.2</v>
      </c>
      <c r="I605" s="14">
        <v>76</v>
      </c>
      <c r="J605">
        <f>I605-I604</f>
        <v>-4</v>
      </c>
      <c r="K605" t="str">
        <f t="shared" si="56"/>
        <v>L</v>
      </c>
      <c r="L605" t="str">
        <f t="shared" si="57"/>
        <v>Emily</v>
      </c>
      <c r="M605" t="str">
        <f>VLOOKUP(L605,References!$A$2:$B$16,2,FALSE)</f>
        <v>TEXAROK</v>
      </c>
      <c r="N605" s="19" t="str">
        <f>IF(M605=M604,"N","Y")</f>
        <v>N</v>
      </c>
      <c r="O605">
        <f>SUM(I604:I605)</f>
        <v>156</v>
      </c>
      <c r="P605">
        <f t="shared" si="59"/>
        <v>80</v>
      </c>
    </row>
    <row r="606" spans="1:16" hidden="1" x14ac:dyDescent="0.3">
      <c r="A606" t="str">
        <f t="shared" si="58"/>
        <v>2017Abby3</v>
      </c>
      <c r="B606">
        <f t="shared" si="54"/>
        <v>1810</v>
      </c>
      <c r="C606">
        <f t="shared" si="55"/>
        <v>1365</v>
      </c>
      <c r="D606" t="s">
        <v>27</v>
      </c>
      <c r="E606" t="str">
        <f>D607</f>
        <v>Charles</v>
      </c>
      <c r="F606">
        <v>2017</v>
      </c>
      <c r="G606">
        <v>3</v>
      </c>
      <c r="H606">
        <v>5.0999999999999996</v>
      </c>
      <c r="I606" s="14">
        <v>81</v>
      </c>
      <c r="J606">
        <f>I606-I607</f>
        <v>-33</v>
      </c>
      <c r="K606" t="str">
        <f t="shared" si="56"/>
        <v>L</v>
      </c>
      <c r="L606" t="str">
        <f t="shared" si="57"/>
        <v>Abby</v>
      </c>
      <c r="M606" t="str">
        <f>VLOOKUP(L606,References!$A$2:$B$16,2,FALSE)</f>
        <v>AKCOVA</v>
      </c>
      <c r="N606" s="19" t="str">
        <f>IF(M606=M607,"N","Y")</f>
        <v>N</v>
      </c>
      <c r="O606">
        <f>SUM(I606:I607)</f>
        <v>195</v>
      </c>
      <c r="P606">
        <f t="shared" si="59"/>
        <v>114</v>
      </c>
    </row>
    <row r="607" spans="1:16" hidden="1" x14ac:dyDescent="0.3">
      <c r="A607" t="str">
        <f t="shared" si="58"/>
        <v>2017Charles3</v>
      </c>
      <c r="B607">
        <f t="shared" si="54"/>
        <v>270</v>
      </c>
      <c r="C607">
        <f t="shared" si="55"/>
        <v>321</v>
      </c>
      <c r="D607" t="s">
        <v>48</v>
      </c>
      <c r="E607" t="str">
        <f>D606</f>
        <v>Abby</v>
      </c>
      <c r="F607">
        <v>2017</v>
      </c>
      <c r="G607">
        <v>3</v>
      </c>
      <c r="H607">
        <v>5.2</v>
      </c>
      <c r="I607" s="14">
        <v>114</v>
      </c>
      <c r="J607">
        <f>I607-I606</f>
        <v>33</v>
      </c>
      <c r="K607" t="str">
        <f t="shared" si="56"/>
        <v>W</v>
      </c>
      <c r="L607" t="str">
        <f t="shared" si="57"/>
        <v>Charles</v>
      </c>
      <c r="M607" t="str">
        <f>VLOOKUP(L607,References!$A$2:$B$16,2,FALSE)</f>
        <v>AKCOVA</v>
      </c>
      <c r="N607" s="19" t="str">
        <f>IF(M607=M606,"N","Y")</f>
        <v>N</v>
      </c>
      <c r="O607">
        <f>SUM(I606:I607)</f>
        <v>195</v>
      </c>
      <c r="P607">
        <f t="shared" si="59"/>
        <v>81</v>
      </c>
    </row>
    <row r="608" spans="1:16" hidden="1" x14ac:dyDescent="0.3">
      <c r="A608" t="str">
        <f t="shared" si="58"/>
        <v>2017Watty3</v>
      </c>
      <c r="B608">
        <f t="shared" si="54"/>
        <v>371</v>
      </c>
      <c r="C608">
        <f t="shared" si="55"/>
        <v>383</v>
      </c>
      <c r="D608" t="s">
        <v>24</v>
      </c>
      <c r="E608" t="str">
        <f>D609</f>
        <v>Mark</v>
      </c>
      <c r="F608">
        <v>2017</v>
      </c>
      <c r="G608">
        <v>3</v>
      </c>
      <c r="H608">
        <v>6.1</v>
      </c>
      <c r="I608" s="14">
        <v>111</v>
      </c>
      <c r="J608">
        <f>I608-I609</f>
        <v>27</v>
      </c>
      <c r="K608" t="str">
        <f t="shared" si="56"/>
        <v>W</v>
      </c>
      <c r="L608" t="str">
        <f t="shared" si="57"/>
        <v>Watty</v>
      </c>
      <c r="M608" t="str">
        <f>VLOOKUP(L608,References!$A$2:$B$16,2,FALSE)</f>
        <v>AKCOVA</v>
      </c>
      <c r="N608" s="19" t="str">
        <f>IF(M608=M609,"N","Y")</f>
        <v>N</v>
      </c>
      <c r="O608">
        <f>SUM(I608:I609)</f>
        <v>195</v>
      </c>
      <c r="P608">
        <f t="shared" si="59"/>
        <v>84</v>
      </c>
    </row>
    <row r="609" spans="1:16" hidden="1" x14ac:dyDescent="0.3">
      <c r="A609" t="str">
        <f t="shared" si="58"/>
        <v>2017Mark3</v>
      </c>
      <c r="B609">
        <f t="shared" si="54"/>
        <v>1702</v>
      </c>
      <c r="C609">
        <f t="shared" si="55"/>
        <v>1241</v>
      </c>
      <c r="D609" t="s">
        <v>22</v>
      </c>
      <c r="E609" t="str">
        <f>D608</f>
        <v>Watty</v>
      </c>
      <c r="F609">
        <v>2017</v>
      </c>
      <c r="G609">
        <v>3</v>
      </c>
      <c r="H609">
        <v>6.2</v>
      </c>
      <c r="I609" s="14">
        <v>84</v>
      </c>
      <c r="J609">
        <f>I609-I608</f>
        <v>-27</v>
      </c>
      <c r="K609" t="str">
        <f t="shared" si="56"/>
        <v>L</v>
      </c>
      <c r="L609" t="str">
        <f t="shared" si="57"/>
        <v>Mark</v>
      </c>
      <c r="M609" t="str">
        <f>VLOOKUP(L609,References!$A$2:$B$16,2,FALSE)</f>
        <v>AKCOVA</v>
      </c>
      <c r="N609" s="19" t="str">
        <f>IF(M609=M608,"N","Y")</f>
        <v>N</v>
      </c>
      <c r="O609">
        <f>SUM(I608:I609)</f>
        <v>195</v>
      </c>
      <c r="P609">
        <f t="shared" si="59"/>
        <v>111</v>
      </c>
    </row>
    <row r="610" spans="1:16" x14ac:dyDescent="0.3">
      <c r="A610" t="str">
        <f t="shared" si="58"/>
        <v>2017Michael4</v>
      </c>
      <c r="B610">
        <f t="shared" si="54"/>
        <v>571</v>
      </c>
      <c r="C610">
        <f t="shared" si="55"/>
        <v>678</v>
      </c>
      <c r="D610" t="s">
        <v>23</v>
      </c>
      <c r="E610" t="str">
        <f>D611</f>
        <v>Russell</v>
      </c>
      <c r="F610">
        <v>2017</v>
      </c>
      <c r="G610">
        <v>4</v>
      </c>
      <c r="H610">
        <v>1.1000000000000001</v>
      </c>
      <c r="I610" s="14">
        <v>100</v>
      </c>
      <c r="J610">
        <f>I610-I611</f>
        <v>18</v>
      </c>
      <c r="K610" t="str">
        <f t="shared" si="56"/>
        <v>W</v>
      </c>
      <c r="L610" t="str">
        <f t="shared" si="57"/>
        <v>Michael</v>
      </c>
      <c r="M610" t="str">
        <f>VLOOKUP(L610,References!$A$2:$B$16,2,FALSE)</f>
        <v>AKCOVA</v>
      </c>
      <c r="N610" s="19" t="str">
        <f>IF(M610=M611,"N","Y")</f>
        <v>Y</v>
      </c>
      <c r="O610">
        <f>SUM(I610:I611)</f>
        <v>182</v>
      </c>
      <c r="P610">
        <f t="shared" si="59"/>
        <v>82</v>
      </c>
    </row>
    <row r="611" spans="1:16" hidden="1" x14ac:dyDescent="0.3">
      <c r="A611" t="str">
        <f t="shared" si="58"/>
        <v>2017Russell4</v>
      </c>
      <c r="B611">
        <f t="shared" si="54"/>
        <v>1497</v>
      </c>
      <c r="C611">
        <f t="shared" si="55"/>
        <v>1318</v>
      </c>
      <c r="D611" t="s">
        <v>28</v>
      </c>
      <c r="E611" t="str">
        <f>D610</f>
        <v>Michael</v>
      </c>
      <c r="F611">
        <v>2017</v>
      </c>
      <c r="G611">
        <v>4</v>
      </c>
      <c r="H611">
        <v>1.2</v>
      </c>
      <c r="I611" s="14">
        <v>82</v>
      </c>
      <c r="J611">
        <f>I611-I610</f>
        <v>-18</v>
      </c>
      <c r="K611" t="str">
        <f t="shared" si="56"/>
        <v>L</v>
      </c>
      <c r="L611" t="str">
        <f t="shared" si="57"/>
        <v>Russell</v>
      </c>
      <c r="M611" t="str">
        <f>VLOOKUP(L611,References!$A$2:$B$16,2,FALSE)</f>
        <v>TEXAROK</v>
      </c>
      <c r="N611" s="19" t="str">
        <f>IF(M611=M610,"N","Y")</f>
        <v>Y</v>
      </c>
      <c r="O611">
        <f>SUM(I610:I611)</f>
        <v>182</v>
      </c>
      <c r="P611">
        <f t="shared" si="59"/>
        <v>100</v>
      </c>
    </row>
    <row r="612" spans="1:16" hidden="1" x14ac:dyDescent="0.3">
      <c r="A612" t="str">
        <f t="shared" si="58"/>
        <v>2017Emily4</v>
      </c>
      <c r="B612">
        <f t="shared" si="54"/>
        <v>865</v>
      </c>
      <c r="C612">
        <f t="shared" si="55"/>
        <v>603</v>
      </c>
      <c r="D612" t="s">
        <v>43</v>
      </c>
      <c r="E612" t="str">
        <f>D613</f>
        <v>Matt</v>
      </c>
      <c r="F612">
        <v>2017</v>
      </c>
      <c r="G612">
        <v>4</v>
      </c>
      <c r="H612">
        <v>2.1</v>
      </c>
      <c r="I612" s="14">
        <v>103</v>
      </c>
      <c r="J612">
        <f>I612-I613</f>
        <v>6</v>
      </c>
      <c r="K612" t="str">
        <f t="shared" si="56"/>
        <v>W</v>
      </c>
      <c r="L612" t="str">
        <f t="shared" si="57"/>
        <v>Emily</v>
      </c>
      <c r="M612" t="str">
        <f>VLOOKUP(L612,References!$A$2:$B$16,2,FALSE)</f>
        <v>TEXAROK</v>
      </c>
      <c r="N612" s="19" t="str">
        <f>IF(M612=M613,"N","Y")</f>
        <v>N</v>
      </c>
      <c r="O612">
        <f>SUM(I612:I613)</f>
        <v>200</v>
      </c>
      <c r="P612">
        <f t="shared" si="59"/>
        <v>97</v>
      </c>
    </row>
    <row r="613" spans="1:16" hidden="1" x14ac:dyDescent="0.3">
      <c r="A613" t="str">
        <f t="shared" si="58"/>
        <v>2017Matt4</v>
      </c>
      <c r="B613">
        <f t="shared" si="54"/>
        <v>1197</v>
      </c>
      <c r="C613">
        <f t="shared" si="55"/>
        <v>777</v>
      </c>
      <c r="D613" t="s">
        <v>30</v>
      </c>
      <c r="E613" t="str">
        <f>D612</f>
        <v>Emily</v>
      </c>
      <c r="F613">
        <v>2017</v>
      </c>
      <c r="G613">
        <v>4</v>
      </c>
      <c r="H613">
        <v>2.2000000000000002</v>
      </c>
      <c r="I613" s="14">
        <v>97</v>
      </c>
      <c r="J613">
        <f>I613-I612</f>
        <v>-6</v>
      </c>
      <c r="K613" t="str">
        <f t="shared" si="56"/>
        <v>L</v>
      </c>
      <c r="L613" t="str">
        <f t="shared" si="57"/>
        <v>Matt</v>
      </c>
      <c r="M613" t="str">
        <f>VLOOKUP(L613,References!$A$2:$B$16,2,FALSE)</f>
        <v>TEXAROK</v>
      </c>
      <c r="N613" s="19" t="str">
        <f>IF(M613=M612,"N","Y")</f>
        <v>N</v>
      </c>
      <c r="O613">
        <f>SUM(I612:I613)</f>
        <v>200</v>
      </c>
      <c r="P613">
        <f t="shared" si="59"/>
        <v>103</v>
      </c>
    </row>
    <row r="614" spans="1:16" hidden="1" x14ac:dyDescent="0.3">
      <c r="A614" t="str">
        <f t="shared" si="58"/>
        <v>2017Charles4</v>
      </c>
      <c r="B614">
        <f t="shared" si="54"/>
        <v>1661</v>
      </c>
      <c r="C614">
        <f t="shared" si="55"/>
        <v>1853</v>
      </c>
      <c r="D614" t="s">
        <v>48</v>
      </c>
      <c r="E614" t="str">
        <f>D615</f>
        <v>Watty</v>
      </c>
      <c r="F614">
        <v>2017</v>
      </c>
      <c r="G614">
        <v>4</v>
      </c>
      <c r="H614">
        <v>3.1</v>
      </c>
      <c r="I614" s="14">
        <v>65</v>
      </c>
      <c r="J614">
        <f>I614-I615</f>
        <v>-25</v>
      </c>
      <c r="K614" t="str">
        <f t="shared" si="56"/>
        <v>L</v>
      </c>
      <c r="L614" t="str">
        <f t="shared" si="57"/>
        <v>Charles</v>
      </c>
      <c r="M614" t="str">
        <f>VLOOKUP(L614,References!$A$2:$B$16,2,FALSE)</f>
        <v>AKCOVA</v>
      </c>
      <c r="N614" s="19" t="str">
        <f>IF(M614=M615,"N","Y")</f>
        <v>N</v>
      </c>
      <c r="O614">
        <f>SUM(I614:I615)</f>
        <v>155</v>
      </c>
      <c r="P614">
        <f t="shared" si="59"/>
        <v>90</v>
      </c>
    </row>
    <row r="615" spans="1:16" hidden="1" x14ac:dyDescent="0.3">
      <c r="A615" t="str">
        <f t="shared" si="58"/>
        <v>2017Watty4</v>
      </c>
      <c r="B615">
        <f t="shared" si="54"/>
        <v>410</v>
      </c>
      <c r="C615">
        <f t="shared" si="55"/>
        <v>1027</v>
      </c>
      <c r="D615" t="s">
        <v>24</v>
      </c>
      <c r="E615" t="str">
        <f>D614</f>
        <v>Charles</v>
      </c>
      <c r="F615">
        <v>2017</v>
      </c>
      <c r="G615">
        <v>4</v>
      </c>
      <c r="H615">
        <v>3.2</v>
      </c>
      <c r="I615" s="14">
        <v>90</v>
      </c>
      <c r="J615">
        <f>I615-I614</f>
        <v>25</v>
      </c>
      <c r="K615" t="str">
        <f t="shared" si="56"/>
        <v>W</v>
      </c>
      <c r="L615" t="str">
        <f t="shared" si="57"/>
        <v>Watty</v>
      </c>
      <c r="M615" t="str">
        <f>VLOOKUP(L615,References!$A$2:$B$16,2,FALSE)</f>
        <v>AKCOVA</v>
      </c>
      <c r="N615" s="19" t="str">
        <f>IF(M615=M614,"N","Y")</f>
        <v>N</v>
      </c>
      <c r="O615">
        <f>SUM(I614:I615)</f>
        <v>155</v>
      </c>
      <c r="P615">
        <f t="shared" si="59"/>
        <v>65</v>
      </c>
    </row>
    <row r="616" spans="1:16" hidden="1" x14ac:dyDescent="0.3">
      <c r="A616" t="str">
        <f t="shared" si="58"/>
        <v>2017Brent4</v>
      </c>
      <c r="B616">
        <f t="shared" si="54"/>
        <v>1229</v>
      </c>
      <c r="C616">
        <f t="shared" si="55"/>
        <v>1648</v>
      </c>
      <c r="D616" t="s">
        <v>47</v>
      </c>
      <c r="E616" t="str">
        <f>D617</f>
        <v>David</v>
      </c>
      <c r="F616">
        <v>2017</v>
      </c>
      <c r="G616">
        <v>4</v>
      </c>
      <c r="H616">
        <v>4.0999999999999996</v>
      </c>
      <c r="I616" s="14">
        <v>73</v>
      </c>
      <c r="J616">
        <f>I616-I617</f>
        <v>-7</v>
      </c>
      <c r="K616" t="str">
        <f t="shared" si="56"/>
        <v>L</v>
      </c>
      <c r="L616" t="str">
        <f t="shared" si="57"/>
        <v>Brent</v>
      </c>
      <c r="M616" t="str">
        <f>VLOOKUP(L616,References!$A$2:$B$16,2,FALSE)</f>
        <v>TEXAROK</v>
      </c>
      <c r="N616" s="19" t="str">
        <f>IF(M616=M617,"N","Y")</f>
        <v>N</v>
      </c>
      <c r="O616">
        <f>SUM(I616:I617)</f>
        <v>153</v>
      </c>
      <c r="P616">
        <f t="shared" si="59"/>
        <v>80</v>
      </c>
    </row>
    <row r="617" spans="1:16" hidden="1" x14ac:dyDescent="0.3">
      <c r="A617" t="str">
        <f t="shared" si="58"/>
        <v>2017David4</v>
      </c>
      <c r="B617">
        <f t="shared" si="54"/>
        <v>836</v>
      </c>
      <c r="C617">
        <f t="shared" si="55"/>
        <v>1406</v>
      </c>
      <c r="D617" t="s">
        <v>29</v>
      </c>
      <c r="E617" t="str">
        <f>D616</f>
        <v>Brent</v>
      </c>
      <c r="F617">
        <v>2017</v>
      </c>
      <c r="G617">
        <v>4</v>
      </c>
      <c r="H617">
        <v>4.2</v>
      </c>
      <c r="I617" s="14">
        <v>80</v>
      </c>
      <c r="J617">
        <f>I617-I616</f>
        <v>7</v>
      </c>
      <c r="K617" t="str">
        <f t="shared" si="56"/>
        <v>W</v>
      </c>
      <c r="L617" t="str">
        <f t="shared" si="57"/>
        <v>David</v>
      </c>
      <c r="M617" t="str">
        <f>VLOOKUP(L617,References!$A$2:$B$16,2,FALSE)</f>
        <v>TEXAROK</v>
      </c>
      <c r="N617" s="19" t="str">
        <f>IF(M617=M616,"N","Y")</f>
        <v>N</v>
      </c>
      <c r="O617">
        <f>SUM(I616:I617)</f>
        <v>153</v>
      </c>
      <c r="P617">
        <f t="shared" si="59"/>
        <v>73</v>
      </c>
    </row>
    <row r="618" spans="1:16" hidden="1" x14ac:dyDescent="0.3">
      <c r="A618" t="str">
        <f t="shared" si="58"/>
        <v>2017Brian4</v>
      </c>
      <c r="B618">
        <f t="shared" si="54"/>
        <v>1117</v>
      </c>
      <c r="C618">
        <f t="shared" si="55"/>
        <v>1027</v>
      </c>
      <c r="D618" t="s">
        <v>26</v>
      </c>
      <c r="E618" t="str">
        <f>D619</f>
        <v>Abby</v>
      </c>
      <c r="F618">
        <v>2017</v>
      </c>
      <c r="G618">
        <v>4</v>
      </c>
      <c r="H618">
        <v>5.0999999999999996</v>
      </c>
      <c r="I618" s="14">
        <v>90</v>
      </c>
      <c r="J618">
        <f>I618-I619</f>
        <v>-3</v>
      </c>
      <c r="K618" t="str">
        <f t="shared" si="56"/>
        <v>L</v>
      </c>
      <c r="L618" t="str">
        <f t="shared" si="57"/>
        <v>Brian</v>
      </c>
      <c r="M618" t="str">
        <f>VLOOKUP(L618,References!$A$2:$B$16,2,FALSE)</f>
        <v>TEXAROK</v>
      </c>
      <c r="N618" s="19" t="str">
        <f>IF(M618=M619,"N","Y")</f>
        <v>Y</v>
      </c>
      <c r="O618">
        <f>SUM(I618:I619)</f>
        <v>183</v>
      </c>
      <c r="P618">
        <f t="shared" si="59"/>
        <v>93</v>
      </c>
    </row>
    <row r="619" spans="1:16" hidden="1" x14ac:dyDescent="0.3">
      <c r="A619" t="str">
        <f t="shared" si="58"/>
        <v>2017Abby4</v>
      </c>
      <c r="B619">
        <f t="shared" si="54"/>
        <v>949</v>
      </c>
      <c r="C619">
        <f t="shared" si="55"/>
        <v>926</v>
      </c>
      <c r="D619" t="s">
        <v>27</v>
      </c>
      <c r="E619" t="str">
        <f>D618</f>
        <v>Brian</v>
      </c>
      <c r="F619">
        <v>2017</v>
      </c>
      <c r="G619">
        <v>4</v>
      </c>
      <c r="H619">
        <v>5.2</v>
      </c>
      <c r="I619" s="14">
        <v>93</v>
      </c>
      <c r="J619">
        <f>I619-I618</f>
        <v>3</v>
      </c>
      <c r="K619" t="str">
        <f t="shared" si="56"/>
        <v>W</v>
      </c>
      <c r="L619" t="str">
        <f t="shared" si="57"/>
        <v>Abby</v>
      </c>
      <c r="M619" t="str">
        <f>VLOOKUP(L619,References!$A$2:$B$16,2,FALSE)</f>
        <v>AKCOVA</v>
      </c>
      <c r="N619" s="19" t="str">
        <f>IF(M619=M618,"N","Y")</f>
        <v>Y</v>
      </c>
      <c r="O619">
        <f>SUM(I618:I619)</f>
        <v>183</v>
      </c>
      <c r="P619">
        <f t="shared" si="59"/>
        <v>90</v>
      </c>
    </row>
    <row r="620" spans="1:16" hidden="1" x14ac:dyDescent="0.3">
      <c r="A620" t="str">
        <f t="shared" si="58"/>
        <v>2017BR4</v>
      </c>
      <c r="B620">
        <f t="shared" si="54"/>
        <v>270</v>
      </c>
      <c r="C620">
        <f t="shared" si="55"/>
        <v>1241</v>
      </c>
      <c r="D620" t="s">
        <v>25</v>
      </c>
      <c r="E620" t="str">
        <f>D621</f>
        <v>Mark</v>
      </c>
      <c r="F620">
        <v>2017</v>
      </c>
      <c r="G620">
        <v>4</v>
      </c>
      <c r="H620">
        <v>6.1</v>
      </c>
      <c r="I620" s="14">
        <v>84</v>
      </c>
      <c r="J620">
        <f>I620-I621</f>
        <v>33</v>
      </c>
      <c r="K620" t="str">
        <f t="shared" si="56"/>
        <v>W</v>
      </c>
      <c r="L620" t="str">
        <f t="shared" si="57"/>
        <v>BR</v>
      </c>
      <c r="M620" t="str">
        <f>VLOOKUP(L620,References!$A$2:$B$16,2,FALSE)</f>
        <v>AKCOVA</v>
      </c>
      <c r="N620" s="19" t="str">
        <f>IF(M620=M621,"N","Y")</f>
        <v>N</v>
      </c>
      <c r="O620">
        <f>SUM(I620:I621)</f>
        <v>135</v>
      </c>
      <c r="P620">
        <f t="shared" si="59"/>
        <v>51</v>
      </c>
    </row>
    <row r="621" spans="1:16" hidden="1" x14ac:dyDescent="0.3">
      <c r="A621" t="str">
        <f t="shared" si="58"/>
        <v>2017Mark4</v>
      </c>
      <c r="B621">
        <f t="shared" si="54"/>
        <v>1810</v>
      </c>
      <c r="C621">
        <f t="shared" si="55"/>
        <v>2040</v>
      </c>
      <c r="D621" t="s">
        <v>22</v>
      </c>
      <c r="E621" t="str">
        <f>D620</f>
        <v>BR</v>
      </c>
      <c r="F621">
        <v>2017</v>
      </c>
      <c r="G621">
        <v>4</v>
      </c>
      <c r="H621">
        <v>6.2</v>
      </c>
      <c r="I621" s="14">
        <v>51</v>
      </c>
      <c r="J621">
        <f>I621-I620</f>
        <v>-33</v>
      </c>
      <c r="K621" t="str">
        <f t="shared" si="56"/>
        <v>L</v>
      </c>
      <c r="L621" t="str">
        <f t="shared" si="57"/>
        <v>Mark</v>
      </c>
      <c r="M621" t="str">
        <f>VLOOKUP(L621,References!$A$2:$B$16,2,FALSE)</f>
        <v>AKCOVA</v>
      </c>
      <c r="N621" s="19" t="str">
        <f>IF(M621=M620,"N","Y")</f>
        <v>N</v>
      </c>
      <c r="O621">
        <f>SUM(I620:I621)</f>
        <v>135</v>
      </c>
      <c r="P621">
        <f t="shared" si="59"/>
        <v>84</v>
      </c>
    </row>
    <row r="622" spans="1:16" hidden="1" x14ac:dyDescent="0.3">
      <c r="A622" t="str">
        <f t="shared" si="58"/>
        <v>2017Michael5</v>
      </c>
      <c r="B622">
        <f t="shared" si="54"/>
        <v>571</v>
      </c>
      <c r="C622">
        <f t="shared" si="55"/>
        <v>1549</v>
      </c>
      <c r="D622" t="s">
        <v>23</v>
      </c>
      <c r="E622" t="str">
        <f>D623</f>
        <v>David</v>
      </c>
      <c r="F622">
        <v>2017</v>
      </c>
      <c r="G622">
        <v>5</v>
      </c>
      <c r="H622">
        <v>1.1000000000000001</v>
      </c>
      <c r="I622" s="14">
        <v>76</v>
      </c>
      <c r="J622">
        <f>I622-I623</f>
        <v>18</v>
      </c>
      <c r="K622" t="str">
        <f t="shared" si="56"/>
        <v>W</v>
      </c>
      <c r="L622" t="str">
        <f t="shared" si="57"/>
        <v>Michael</v>
      </c>
      <c r="M622" t="str">
        <f>VLOOKUP(L622,References!$A$2:$B$16,2,FALSE)</f>
        <v>AKCOVA</v>
      </c>
      <c r="N622" s="19" t="str">
        <f>IF(M622=M623,"N","Y")</f>
        <v>Y</v>
      </c>
      <c r="O622">
        <f>SUM(I622:I623)</f>
        <v>134</v>
      </c>
      <c r="P622">
        <f t="shared" si="59"/>
        <v>58</v>
      </c>
    </row>
    <row r="623" spans="1:16" hidden="1" x14ac:dyDescent="0.3">
      <c r="A623" t="str">
        <f t="shared" si="58"/>
        <v>2017David5</v>
      </c>
      <c r="B623">
        <f t="shared" si="54"/>
        <v>1497</v>
      </c>
      <c r="C623">
        <f t="shared" si="55"/>
        <v>1974</v>
      </c>
      <c r="D623" t="s">
        <v>29</v>
      </c>
      <c r="E623" t="str">
        <f>D622</f>
        <v>Michael</v>
      </c>
      <c r="F623">
        <v>2017</v>
      </c>
      <c r="G623">
        <v>5</v>
      </c>
      <c r="H623">
        <v>1.2</v>
      </c>
      <c r="I623" s="14">
        <v>58</v>
      </c>
      <c r="J623">
        <f>I623-I622</f>
        <v>-18</v>
      </c>
      <c r="K623" t="str">
        <f t="shared" si="56"/>
        <v>L</v>
      </c>
      <c r="L623" t="str">
        <f t="shared" si="57"/>
        <v>David</v>
      </c>
      <c r="M623" t="str">
        <f>VLOOKUP(L623,References!$A$2:$B$16,2,FALSE)</f>
        <v>TEXAROK</v>
      </c>
      <c r="N623" s="19" t="str">
        <f>IF(M623=M622,"N","Y")</f>
        <v>Y</v>
      </c>
      <c r="O623">
        <f>SUM(I622:I623)</f>
        <v>134</v>
      </c>
      <c r="P623">
        <f t="shared" si="59"/>
        <v>76</v>
      </c>
    </row>
    <row r="624" spans="1:16" hidden="1" x14ac:dyDescent="0.3">
      <c r="A624" t="str">
        <f t="shared" si="58"/>
        <v>2017Emily5</v>
      </c>
      <c r="B624">
        <f t="shared" si="54"/>
        <v>1145</v>
      </c>
      <c r="C624">
        <f t="shared" si="55"/>
        <v>1439</v>
      </c>
      <c r="D624" t="s">
        <v>43</v>
      </c>
      <c r="E624" t="str">
        <f>D625</f>
        <v>Brent</v>
      </c>
      <c r="F624">
        <v>2017</v>
      </c>
      <c r="G624">
        <v>5</v>
      </c>
      <c r="H624">
        <v>2.1</v>
      </c>
      <c r="I624" s="14">
        <v>79</v>
      </c>
      <c r="J624">
        <f>I624-I625</f>
        <v>-4</v>
      </c>
      <c r="K624" t="str">
        <f t="shared" si="56"/>
        <v>L</v>
      </c>
      <c r="L624" t="str">
        <f t="shared" si="57"/>
        <v>Emily</v>
      </c>
      <c r="M624" t="str">
        <f>VLOOKUP(L624,References!$A$2:$B$16,2,FALSE)</f>
        <v>TEXAROK</v>
      </c>
      <c r="N624" s="19" t="str">
        <f>IF(M624=M625,"N","Y")</f>
        <v>N</v>
      </c>
      <c r="O624">
        <f>SUM(I624:I625)</f>
        <v>162</v>
      </c>
      <c r="P624">
        <f t="shared" si="59"/>
        <v>83</v>
      </c>
    </row>
    <row r="625" spans="1:16" hidden="1" x14ac:dyDescent="0.3">
      <c r="A625" t="str">
        <f t="shared" si="58"/>
        <v>2017Brent5</v>
      </c>
      <c r="B625">
        <f t="shared" si="54"/>
        <v>917</v>
      </c>
      <c r="C625">
        <f t="shared" si="55"/>
        <v>1282</v>
      </c>
      <c r="D625" t="s">
        <v>47</v>
      </c>
      <c r="E625" t="str">
        <f>D624</f>
        <v>Emily</v>
      </c>
      <c r="F625">
        <v>2017</v>
      </c>
      <c r="G625">
        <v>5</v>
      </c>
      <c r="H625">
        <v>2.2000000000000002</v>
      </c>
      <c r="I625" s="14">
        <v>83</v>
      </c>
      <c r="J625">
        <f>I625-I624</f>
        <v>4</v>
      </c>
      <c r="K625" t="str">
        <f t="shared" si="56"/>
        <v>W</v>
      </c>
      <c r="L625" t="str">
        <f t="shared" si="57"/>
        <v>Brent</v>
      </c>
      <c r="M625" t="str">
        <f>VLOOKUP(L625,References!$A$2:$B$16,2,FALSE)</f>
        <v>TEXAROK</v>
      </c>
      <c r="N625" s="19" t="str">
        <f>IF(M625=M624,"N","Y")</f>
        <v>N</v>
      </c>
      <c r="O625">
        <f>SUM(I624:I625)</f>
        <v>162</v>
      </c>
      <c r="P625">
        <f t="shared" si="59"/>
        <v>79</v>
      </c>
    </row>
    <row r="626" spans="1:16" hidden="1" x14ac:dyDescent="0.3">
      <c r="A626" t="str">
        <f t="shared" si="58"/>
        <v>2017Mark5</v>
      </c>
      <c r="B626">
        <f t="shared" si="54"/>
        <v>713</v>
      </c>
      <c r="C626">
        <f t="shared" si="55"/>
        <v>992</v>
      </c>
      <c r="D626" t="s">
        <v>22</v>
      </c>
      <c r="E626" t="str">
        <f>D627</f>
        <v>Brian</v>
      </c>
      <c r="F626">
        <v>2017</v>
      </c>
      <c r="G626">
        <v>5</v>
      </c>
      <c r="H626">
        <v>3.1</v>
      </c>
      <c r="I626" s="14">
        <v>91</v>
      </c>
      <c r="J626">
        <f>I626-I627</f>
        <v>12</v>
      </c>
      <c r="K626" t="str">
        <f t="shared" si="56"/>
        <v>W</v>
      </c>
      <c r="L626" t="str">
        <f t="shared" si="57"/>
        <v>Mark</v>
      </c>
      <c r="M626" t="str">
        <f>VLOOKUP(L626,References!$A$2:$B$16,2,FALSE)</f>
        <v>AKCOVA</v>
      </c>
      <c r="N626" s="19" t="str">
        <f>IF(M626=M627,"N","Y")</f>
        <v>Y</v>
      </c>
      <c r="O626">
        <f>SUM(I626:I627)</f>
        <v>170</v>
      </c>
      <c r="P626">
        <f t="shared" si="59"/>
        <v>79</v>
      </c>
    </row>
    <row r="627" spans="1:16" hidden="1" x14ac:dyDescent="0.3">
      <c r="A627" t="str">
        <f t="shared" si="58"/>
        <v>2017Brian5</v>
      </c>
      <c r="B627">
        <f t="shared" si="54"/>
        <v>1357</v>
      </c>
      <c r="C627">
        <f t="shared" si="55"/>
        <v>1439</v>
      </c>
      <c r="D627" t="s">
        <v>26</v>
      </c>
      <c r="E627" t="str">
        <f>D626</f>
        <v>Mark</v>
      </c>
      <c r="F627">
        <v>2017</v>
      </c>
      <c r="G627">
        <v>5</v>
      </c>
      <c r="H627">
        <v>3.2</v>
      </c>
      <c r="I627" s="14">
        <v>79</v>
      </c>
      <c r="J627">
        <f>I627-I626</f>
        <v>-12</v>
      </c>
      <c r="K627" t="str">
        <f t="shared" si="56"/>
        <v>L</v>
      </c>
      <c r="L627" t="str">
        <f t="shared" si="57"/>
        <v>Brian</v>
      </c>
      <c r="M627" t="str">
        <f>VLOOKUP(L627,References!$A$2:$B$16,2,FALSE)</f>
        <v>TEXAROK</v>
      </c>
      <c r="N627" s="19" t="str">
        <f>IF(M627=M626,"N","Y")</f>
        <v>Y</v>
      </c>
      <c r="O627">
        <f>SUM(I626:I627)</f>
        <v>170</v>
      </c>
      <c r="P627">
        <f t="shared" si="59"/>
        <v>91</v>
      </c>
    </row>
    <row r="628" spans="1:16" hidden="1" x14ac:dyDescent="0.3">
      <c r="A628" t="str">
        <f t="shared" si="58"/>
        <v>2017Matt5</v>
      </c>
      <c r="B628">
        <f t="shared" si="54"/>
        <v>571</v>
      </c>
      <c r="C628">
        <f t="shared" si="55"/>
        <v>1173</v>
      </c>
      <c r="D628" t="s">
        <v>30</v>
      </c>
      <c r="E628" t="str">
        <f>D629</f>
        <v>Russell</v>
      </c>
      <c r="F628">
        <v>2017</v>
      </c>
      <c r="G628">
        <v>5</v>
      </c>
      <c r="H628">
        <v>4.0999999999999996</v>
      </c>
      <c r="I628" s="14">
        <v>86</v>
      </c>
      <c r="J628">
        <f>I628-I629</f>
        <v>18</v>
      </c>
      <c r="K628" t="str">
        <f t="shared" si="56"/>
        <v>W</v>
      </c>
      <c r="L628" t="str">
        <f t="shared" si="57"/>
        <v>Matt</v>
      </c>
      <c r="M628" t="str">
        <f>VLOOKUP(L628,References!$A$2:$B$16,2,FALSE)</f>
        <v>TEXAROK</v>
      </c>
      <c r="N628" s="19" t="str">
        <f>IF(M628=M629,"N","Y")</f>
        <v>N</v>
      </c>
      <c r="O628">
        <f>SUM(I628:I629)</f>
        <v>154</v>
      </c>
      <c r="P628">
        <f t="shared" si="59"/>
        <v>68</v>
      </c>
    </row>
    <row r="629" spans="1:16" hidden="1" x14ac:dyDescent="0.3">
      <c r="A629" t="str">
        <f t="shared" si="58"/>
        <v>2017Russell5</v>
      </c>
      <c r="B629">
        <f t="shared" si="54"/>
        <v>1497</v>
      </c>
      <c r="C629">
        <f t="shared" si="55"/>
        <v>1793</v>
      </c>
      <c r="D629" t="s">
        <v>28</v>
      </c>
      <c r="E629" t="str">
        <f>D628</f>
        <v>Matt</v>
      </c>
      <c r="F629">
        <v>2017</v>
      </c>
      <c r="G629">
        <v>5</v>
      </c>
      <c r="H629">
        <v>4.2</v>
      </c>
      <c r="I629" s="14">
        <v>68</v>
      </c>
      <c r="J629">
        <f>I629-I628</f>
        <v>-18</v>
      </c>
      <c r="K629" t="str">
        <f t="shared" si="56"/>
        <v>L</v>
      </c>
      <c r="L629" t="str">
        <f t="shared" si="57"/>
        <v>Russell</v>
      </c>
      <c r="M629" t="str">
        <f>VLOOKUP(L629,References!$A$2:$B$16,2,FALSE)</f>
        <v>TEXAROK</v>
      </c>
      <c r="N629" s="19" t="str">
        <f>IF(M629=M628,"N","Y")</f>
        <v>N</v>
      </c>
      <c r="O629">
        <f>SUM(I628:I629)</f>
        <v>154</v>
      </c>
      <c r="P629">
        <f t="shared" si="59"/>
        <v>86</v>
      </c>
    </row>
    <row r="630" spans="1:16" hidden="1" x14ac:dyDescent="0.3">
      <c r="A630" t="str">
        <f t="shared" si="58"/>
        <v>2017Abby5</v>
      </c>
      <c r="B630">
        <f t="shared" si="54"/>
        <v>571</v>
      </c>
      <c r="C630">
        <f t="shared" si="55"/>
        <v>462</v>
      </c>
      <c r="D630" t="s">
        <v>27</v>
      </c>
      <c r="E630" t="str">
        <f>D631</f>
        <v>Watty</v>
      </c>
      <c r="F630">
        <v>2017</v>
      </c>
      <c r="G630">
        <v>5</v>
      </c>
      <c r="H630">
        <v>5.0999999999999996</v>
      </c>
      <c r="I630" s="14">
        <v>108</v>
      </c>
      <c r="J630">
        <f>I630-I631</f>
        <v>18</v>
      </c>
      <c r="K630" t="str">
        <f t="shared" si="56"/>
        <v>W</v>
      </c>
      <c r="L630" t="str">
        <f t="shared" si="57"/>
        <v>Abby</v>
      </c>
      <c r="M630" t="str">
        <f>VLOOKUP(L630,References!$A$2:$B$16,2,FALSE)</f>
        <v>AKCOVA</v>
      </c>
      <c r="N630" s="19" t="str">
        <f>IF(M630=M631,"N","Y")</f>
        <v>N</v>
      </c>
      <c r="O630">
        <f>SUM(I630:I631)</f>
        <v>198</v>
      </c>
      <c r="P630">
        <f t="shared" si="59"/>
        <v>90</v>
      </c>
    </row>
    <row r="631" spans="1:16" hidden="1" x14ac:dyDescent="0.3">
      <c r="A631" t="str">
        <f t="shared" si="58"/>
        <v>2017Watty5</v>
      </c>
      <c r="B631">
        <f t="shared" si="54"/>
        <v>1497</v>
      </c>
      <c r="C631">
        <f t="shared" si="55"/>
        <v>1027</v>
      </c>
      <c r="D631" t="s">
        <v>24</v>
      </c>
      <c r="E631" t="str">
        <f>D630</f>
        <v>Abby</v>
      </c>
      <c r="F631">
        <v>2017</v>
      </c>
      <c r="G631">
        <v>5</v>
      </c>
      <c r="H631">
        <v>5.2</v>
      </c>
      <c r="I631" s="14">
        <v>90</v>
      </c>
      <c r="J631">
        <f>I631-I630</f>
        <v>-18</v>
      </c>
      <c r="K631" t="str">
        <f t="shared" si="56"/>
        <v>L</v>
      </c>
      <c r="L631" t="str">
        <f t="shared" si="57"/>
        <v>Watty</v>
      </c>
      <c r="M631" t="str">
        <f>VLOOKUP(L631,References!$A$2:$B$16,2,FALSE)</f>
        <v>AKCOVA</v>
      </c>
      <c r="N631" s="19" t="str">
        <f>IF(M631=M630,"N","Y")</f>
        <v>N</v>
      </c>
      <c r="O631">
        <f>SUM(I630:I631)</f>
        <v>198</v>
      </c>
      <c r="P631">
        <f t="shared" si="59"/>
        <v>108</v>
      </c>
    </row>
    <row r="632" spans="1:16" hidden="1" x14ac:dyDescent="0.3">
      <c r="A632" t="str">
        <f t="shared" si="58"/>
        <v>2017BR5</v>
      </c>
      <c r="B632">
        <f t="shared" si="54"/>
        <v>1523</v>
      </c>
      <c r="C632">
        <f t="shared" si="55"/>
        <v>1406</v>
      </c>
      <c r="D632" t="s">
        <v>25</v>
      </c>
      <c r="E632" t="str">
        <f>D633</f>
        <v>Charles</v>
      </c>
      <c r="F632">
        <v>2017</v>
      </c>
      <c r="G632">
        <v>5</v>
      </c>
      <c r="H632">
        <v>6.1</v>
      </c>
      <c r="I632" s="14">
        <v>80</v>
      </c>
      <c r="J632">
        <f>I632-I633</f>
        <v>-19</v>
      </c>
      <c r="K632" t="str">
        <f t="shared" si="56"/>
        <v>L</v>
      </c>
      <c r="L632" t="str">
        <f t="shared" si="57"/>
        <v>BR</v>
      </c>
      <c r="M632" t="str">
        <f>VLOOKUP(L632,References!$A$2:$B$16,2,FALSE)</f>
        <v>AKCOVA</v>
      </c>
      <c r="N632" s="19" t="str">
        <f>IF(M632=M633,"N","Y")</f>
        <v>N</v>
      </c>
      <c r="O632">
        <f>SUM(I632:I633)</f>
        <v>179</v>
      </c>
      <c r="P632">
        <f t="shared" si="59"/>
        <v>99</v>
      </c>
    </row>
    <row r="633" spans="1:16" hidden="1" x14ac:dyDescent="0.3">
      <c r="A633" t="str">
        <f t="shared" si="58"/>
        <v>2017Charles5</v>
      </c>
      <c r="B633">
        <f t="shared" si="54"/>
        <v>548</v>
      </c>
      <c r="C633">
        <f t="shared" si="55"/>
        <v>714</v>
      </c>
      <c r="D633" t="s">
        <v>48</v>
      </c>
      <c r="E633" t="str">
        <f>D632</f>
        <v>BR</v>
      </c>
      <c r="F633">
        <v>2017</v>
      </c>
      <c r="G633">
        <v>5</v>
      </c>
      <c r="H633">
        <v>6.2</v>
      </c>
      <c r="I633" s="14">
        <v>99</v>
      </c>
      <c r="J633">
        <f>I633-I632</f>
        <v>19</v>
      </c>
      <c r="K633" t="str">
        <f t="shared" si="56"/>
        <v>W</v>
      </c>
      <c r="L633" t="str">
        <f t="shared" si="57"/>
        <v>Charles</v>
      </c>
      <c r="M633" t="str">
        <f>VLOOKUP(L633,References!$A$2:$B$16,2,FALSE)</f>
        <v>AKCOVA</v>
      </c>
      <c r="N633" s="19" t="str">
        <f>IF(M633=M632,"N","Y")</f>
        <v>N</v>
      </c>
      <c r="O633">
        <f>SUM(I632:I633)</f>
        <v>179</v>
      </c>
      <c r="P633">
        <f t="shared" si="59"/>
        <v>80</v>
      </c>
    </row>
    <row r="634" spans="1:16" hidden="1" x14ac:dyDescent="0.3">
      <c r="A634" t="str">
        <f t="shared" si="58"/>
        <v>2017Abby6</v>
      </c>
      <c r="B634">
        <f t="shared" si="54"/>
        <v>356</v>
      </c>
      <c r="C634">
        <f t="shared" si="55"/>
        <v>305</v>
      </c>
      <c r="D634" t="s">
        <v>27</v>
      </c>
      <c r="E634" t="str">
        <f>D635</f>
        <v>Michael</v>
      </c>
      <c r="F634">
        <v>2017</v>
      </c>
      <c r="G634">
        <v>6</v>
      </c>
      <c r="H634">
        <v>1.1000000000000001</v>
      </c>
      <c r="I634" s="14">
        <v>115</v>
      </c>
      <c r="J634">
        <f>I634-I635</f>
        <v>28</v>
      </c>
      <c r="K634" t="str">
        <f t="shared" si="56"/>
        <v>W</v>
      </c>
      <c r="L634" t="str">
        <f t="shared" si="57"/>
        <v>Abby</v>
      </c>
      <c r="M634" t="str">
        <f>VLOOKUP(L634,References!$A$2:$B$16,2,FALSE)</f>
        <v>AKCOVA</v>
      </c>
      <c r="N634" s="19" t="str">
        <f>IF(M634=M635,"N","Y")</f>
        <v>N</v>
      </c>
      <c r="O634">
        <f>SUM(I634:I635)</f>
        <v>202</v>
      </c>
      <c r="P634">
        <f t="shared" si="59"/>
        <v>87</v>
      </c>
    </row>
    <row r="635" spans="1:16" hidden="1" x14ac:dyDescent="0.3">
      <c r="A635" t="str">
        <f t="shared" si="58"/>
        <v>2017Michael6</v>
      </c>
      <c r="B635">
        <f t="shared" si="54"/>
        <v>1723</v>
      </c>
      <c r="C635">
        <f t="shared" si="55"/>
        <v>1143</v>
      </c>
      <c r="D635" t="s">
        <v>23</v>
      </c>
      <c r="E635" t="str">
        <f>D634</f>
        <v>Abby</v>
      </c>
      <c r="F635">
        <v>2017</v>
      </c>
      <c r="G635">
        <v>6</v>
      </c>
      <c r="H635">
        <v>1.2</v>
      </c>
      <c r="I635" s="14">
        <v>87</v>
      </c>
      <c r="J635">
        <f>I635-I634</f>
        <v>-28</v>
      </c>
      <c r="K635" t="str">
        <f t="shared" si="56"/>
        <v>L</v>
      </c>
      <c r="L635" t="str">
        <f t="shared" si="57"/>
        <v>Michael</v>
      </c>
      <c r="M635" t="str">
        <f>VLOOKUP(L635,References!$A$2:$B$16,2,FALSE)</f>
        <v>AKCOVA</v>
      </c>
      <c r="N635" s="19" t="str">
        <f>IF(M635=M634,"N","Y")</f>
        <v>N</v>
      </c>
      <c r="O635">
        <f>SUM(I634:I635)</f>
        <v>202</v>
      </c>
      <c r="P635">
        <f t="shared" si="59"/>
        <v>115</v>
      </c>
    </row>
    <row r="636" spans="1:16" hidden="1" x14ac:dyDescent="0.3">
      <c r="A636" t="str">
        <f t="shared" si="58"/>
        <v>2017BR6</v>
      </c>
      <c r="B636">
        <f t="shared" si="54"/>
        <v>713</v>
      </c>
      <c r="C636">
        <f t="shared" si="55"/>
        <v>1055</v>
      </c>
      <c r="D636" t="s">
        <v>25</v>
      </c>
      <c r="E636" t="str">
        <f>D637</f>
        <v>Emily</v>
      </c>
      <c r="F636">
        <v>2017</v>
      </c>
      <c r="G636">
        <v>6</v>
      </c>
      <c r="H636">
        <v>2.1</v>
      </c>
      <c r="I636" s="14">
        <v>89</v>
      </c>
      <c r="J636">
        <f>I636-I637</f>
        <v>12</v>
      </c>
      <c r="K636" t="str">
        <f t="shared" si="56"/>
        <v>W</v>
      </c>
      <c r="L636" t="str">
        <f t="shared" si="57"/>
        <v>BR</v>
      </c>
      <c r="M636" t="str">
        <f>VLOOKUP(L636,References!$A$2:$B$16,2,FALSE)</f>
        <v>AKCOVA</v>
      </c>
      <c r="N636" s="19" t="str">
        <f>IF(M636=M637,"N","Y")</f>
        <v>Y</v>
      </c>
      <c r="O636">
        <f>SUM(I636:I637)</f>
        <v>166</v>
      </c>
      <c r="P636">
        <f t="shared" si="59"/>
        <v>77</v>
      </c>
    </row>
    <row r="637" spans="1:16" hidden="1" x14ac:dyDescent="0.3">
      <c r="A637" t="str">
        <f t="shared" si="58"/>
        <v>2017Emily6</v>
      </c>
      <c r="B637">
        <f t="shared" si="54"/>
        <v>1357</v>
      </c>
      <c r="C637">
        <f t="shared" si="55"/>
        <v>1512</v>
      </c>
      <c r="D637" t="s">
        <v>43</v>
      </c>
      <c r="E637" t="str">
        <f>D636</f>
        <v>BR</v>
      </c>
      <c r="F637">
        <v>2017</v>
      </c>
      <c r="G637">
        <v>6</v>
      </c>
      <c r="H637">
        <v>2.2000000000000002</v>
      </c>
      <c r="I637" s="14">
        <v>77</v>
      </c>
      <c r="J637">
        <f>I637-I636</f>
        <v>-12</v>
      </c>
      <c r="K637" t="str">
        <f t="shared" si="56"/>
        <v>L</v>
      </c>
      <c r="L637" t="str">
        <f t="shared" si="57"/>
        <v>Emily</v>
      </c>
      <c r="M637" t="str">
        <f>VLOOKUP(L637,References!$A$2:$B$16,2,FALSE)</f>
        <v>TEXAROK</v>
      </c>
      <c r="N637" s="19" t="str">
        <f>IF(M637=M636,"N","Y")</f>
        <v>Y</v>
      </c>
      <c r="O637">
        <f>SUM(I636:I637)</f>
        <v>166</v>
      </c>
      <c r="P637">
        <f t="shared" si="59"/>
        <v>89</v>
      </c>
    </row>
    <row r="638" spans="1:16" hidden="1" x14ac:dyDescent="0.3">
      <c r="A638" t="str">
        <f t="shared" si="58"/>
        <v>2017Brian6</v>
      </c>
      <c r="B638">
        <f t="shared" si="54"/>
        <v>1177</v>
      </c>
      <c r="C638">
        <f t="shared" si="55"/>
        <v>1143</v>
      </c>
      <c r="D638" t="s">
        <v>26</v>
      </c>
      <c r="E638" t="str">
        <f>D639</f>
        <v>Russell</v>
      </c>
      <c r="F638">
        <v>2017</v>
      </c>
      <c r="G638">
        <v>6</v>
      </c>
      <c r="H638">
        <v>3.1</v>
      </c>
      <c r="I638" s="14">
        <v>87</v>
      </c>
      <c r="J638">
        <f>I638-I639</f>
        <v>-5</v>
      </c>
      <c r="K638" t="str">
        <f t="shared" si="56"/>
        <v>L</v>
      </c>
      <c r="L638" t="str">
        <f t="shared" si="57"/>
        <v>Brian</v>
      </c>
      <c r="M638" t="str">
        <f>VLOOKUP(L638,References!$A$2:$B$16,2,FALSE)</f>
        <v>TEXAROK</v>
      </c>
      <c r="N638" s="19" t="str">
        <f>IF(M638=M639,"N","Y")</f>
        <v>N</v>
      </c>
      <c r="O638">
        <f>SUM(I638:I639)</f>
        <v>179</v>
      </c>
      <c r="P638">
        <f t="shared" si="59"/>
        <v>92</v>
      </c>
    </row>
    <row r="639" spans="1:16" hidden="1" x14ac:dyDescent="0.3">
      <c r="A639" t="str">
        <f t="shared" si="58"/>
        <v>2017Russell6</v>
      </c>
      <c r="B639">
        <f t="shared" si="54"/>
        <v>897</v>
      </c>
      <c r="C639">
        <f t="shared" si="55"/>
        <v>958</v>
      </c>
      <c r="D639" t="s">
        <v>28</v>
      </c>
      <c r="E639" t="str">
        <f>D638</f>
        <v>Brian</v>
      </c>
      <c r="F639">
        <v>2017</v>
      </c>
      <c r="G639">
        <v>6</v>
      </c>
      <c r="H639">
        <v>3.2</v>
      </c>
      <c r="I639" s="14">
        <v>92</v>
      </c>
      <c r="J639">
        <f>I639-I638</f>
        <v>5</v>
      </c>
      <c r="K639" t="str">
        <f t="shared" si="56"/>
        <v>W</v>
      </c>
      <c r="L639" t="str">
        <f t="shared" si="57"/>
        <v>Russell</v>
      </c>
      <c r="M639" t="str">
        <f>VLOOKUP(L639,References!$A$2:$B$16,2,FALSE)</f>
        <v>TEXAROK</v>
      </c>
      <c r="N639" s="19" t="str">
        <f>IF(M639=M638,"N","Y")</f>
        <v>N</v>
      </c>
      <c r="O639">
        <f>SUM(I638:I639)</f>
        <v>179</v>
      </c>
      <c r="P639">
        <f t="shared" si="59"/>
        <v>87</v>
      </c>
    </row>
    <row r="640" spans="1:16" hidden="1" x14ac:dyDescent="0.3">
      <c r="A640" t="str">
        <f t="shared" si="58"/>
        <v>2017Mark6</v>
      </c>
      <c r="B640">
        <f t="shared" si="54"/>
        <v>1810</v>
      </c>
      <c r="C640">
        <f t="shared" si="55"/>
        <v>1767</v>
      </c>
      <c r="D640" t="s">
        <v>22</v>
      </c>
      <c r="E640" t="str">
        <f>D641</f>
        <v>Matt</v>
      </c>
      <c r="F640">
        <v>2017</v>
      </c>
      <c r="G640">
        <v>6</v>
      </c>
      <c r="H640">
        <v>4.0999999999999996</v>
      </c>
      <c r="I640" s="14">
        <v>69</v>
      </c>
      <c r="J640">
        <f>I640-I641</f>
        <v>-33</v>
      </c>
      <c r="K640" t="str">
        <f t="shared" si="56"/>
        <v>L</v>
      </c>
      <c r="L640" t="str">
        <f t="shared" si="57"/>
        <v>Mark</v>
      </c>
      <c r="M640" t="str">
        <f>VLOOKUP(L640,References!$A$2:$B$16,2,FALSE)</f>
        <v>AKCOVA</v>
      </c>
      <c r="N640" s="19" t="str">
        <f>IF(M640=M641,"N","Y")</f>
        <v>Y</v>
      </c>
      <c r="O640">
        <f>SUM(I640:I641)</f>
        <v>171</v>
      </c>
      <c r="P640">
        <f t="shared" si="59"/>
        <v>102</v>
      </c>
    </row>
    <row r="641" spans="1:16" hidden="1" x14ac:dyDescent="0.3">
      <c r="A641" t="str">
        <f t="shared" si="58"/>
        <v>2017Matt6</v>
      </c>
      <c r="B641">
        <f t="shared" si="54"/>
        <v>270</v>
      </c>
      <c r="C641">
        <f t="shared" si="55"/>
        <v>631</v>
      </c>
      <c r="D641" t="s">
        <v>30</v>
      </c>
      <c r="E641" t="str">
        <f>D640</f>
        <v>Mark</v>
      </c>
      <c r="F641">
        <v>2017</v>
      </c>
      <c r="G641">
        <v>6</v>
      </c>
      <c r="H641">
        <v>4.2</v>
      </c>
      <c r="I641" s="14">
        <v>102</v>
      </c>
      <c r="J641">
        <f>I641-I640</f>
        <v>33</v>
      </c>
      <c r="K641" t="str">
        <f t="shared" si="56"/>
        <v>W</v>
      </c>
      <c r="L641" t="str">
        <f t="shared" si="57"/>
        <v>Matt</v>
      </c>
      <c r="M641" t="str">
        <f>VLOOKUP(L641,References!$A$2:$B$16,2,FALSE)</f>
        <v>TEXAROK</v>
      </c>
      <c r="N641" s="19" t="str">
        <f>IF(M641=M640,"N","Y")</f>
        <v>Y</v>
      </c>
      <c r="O641">
        <f>SUM(I640:I641)</f>
        <v>171</v>
      </c>
      <c r="P641">
        <f t="shared" si="59"/>
        <v>69</v>
      </c>
    </row>
    <row r="642" spans="1:16" hidden="1" x14ac:dyDescent="0.3">
      <c r="A642" t="str">
        <f t="shared" si="58"/>
        <v>2017Charles6</v>
      </c>
      <c r="B642">
        <f t="shared" ref="B642:B705" si="60">RANK(J642,diff)</f>
        <v>433</v>
      </c>
      <c r="C642">
        <f t="shared" ref="C642:C705" si="61">RANK(I642,points)</f>
        <v>197</v>
      </c>
      <c r="D642" t="s">
        <v>48</v>
      </c>
      <c r="E642" t="str">
        <f>D643</f>
        <v>Brent</v>
      </c>
      <c r="F642">
        <v>2017</v>
      </c>
      <c r="G642">
        <v>6</v>
      </c>
      <c r="H642">
        <v>5.0999999999999996</v>
      </c>
      <c r="I642" s="14">
        <v>122</v>
      </c>
      <c r="J642">
        <f>I642-I643</f>
        <v>24</v>
      </c>
      <c r="K642" t="str">
        <f t="shared" ref="K642:K705" si="62">IF(J642&gt;0,"W",IF(J642&lt;0,"L","T"))</f>
        <v>W</v>
      </c>
      <c r="L642" t="str">
        <f t="shared" ref="L642:L705" si="63">D642</f>
        <v>Charles</v>
      </c>
      <c r="M642" t="str">
        <f>VLOOKUP(L642,References!$A$2:$B$16,2,FALSE)</f>
        <v>AKCOVA</v>
      </c>
      <c r="N642" s="19" t="str">
        <f>IF(M642=M643,"N","Y")</f>
        <v>Y</v>
      </c>
      <c r="O642">
        <f>SUM(I642:I643)</f>
        <v>220</v>
      </c>
      <c r="P642">
        <f t="shared" si="59"/>
        <v>98</v>
      </c>
    </row>
    <row r="643" spans="1:16" hidden="1" x14ac:dyDescent="0.3">
      <c r="A643" t="str">
        <f t="shared" ref="A643:A706" si="64">F643&amp;D643&amp;G643</f>
        <v>2017Brent6</v>
      </c>
      <c r="B643">
        <f t="shared" si="60"/>
        <v>1644</v>
      </c>
      <c r="C643">
        <f t="shared" si="61"/>
        <v>746</v>
      </c>
      <c r="D643" t="s">
        <v>47</v>
      </c>
      <c r="E643" t="str">
        <f>D642</f>
        <v>Charles</v>
      </c>
      <c r="F643">
        <v>2017</v>
      </c>
      <c r="G643">
        <v>6</v>
      </c>
      <c r="H643">
        <v>5.2</v>
      </c>
      <c r="I643" s="14">
        <v>98</v>
      </c>
      <c r="J643">
        <f>I643-I642</f>
        <v>-24</v>
      </c>
      <c r="K643" t="str">
        <f t="shared" si="62"/>
        <v>L</v>
      </c>
      <c r="L643" t="str">
        <f t="shared" si="63"/>
        <v>Brent</v>
      </c>
      <c r="M643" t="str">
        <f>VLOOKUP(L643,References!$A$2:$B$16,2,FALSE)</f>
        <v>TEXAROK</v>
      </c>
      <c r="N643" s="19" t="str">
        <f>IF(M643=M642,"N","Y")</f>
        <v>Y</v>
      </c>
      <c r="O643">
        <f>SUM(I642:I643)</f>
        <v>220</v>
      </c>
      <c r="P643">
        <f t="shared" ref="P643:P706" si="65">I643-J643</f>
        <v>122</v>
      </c>
    </row>
    <row r="644" spans="1:16" hidden="1" x14ac:dyDescent="0.3">
      <c r="A644" t="str">
        <f t="shared" si="64"/>
        <v>2017Watty6</v>
      </c>
      <c r="B644">
        <f t="shared" si="60"/>
        <v>225</v>
      </c>
      <c r="C644">
        <f t="shared" si="61"/>
        <v>1055</v>
      </c>
      <c r="D644" t="s">
        <v>24</v>
      </c>
      <c r="E644" t="str">
        <f>D645</f>
        <v>David</v>
      </c>
      <c r="F644">
        <v>2017</v>
      </c>
      <c r="G644">
        <v>6</v>
      </c>
      <c r="H644">
        <v>6.1</v>
      </c>
      <c r="I644" s="14">
        <v>89</v>
      </c>
      <c r="J644">
        <f>I644-I645</f>
        <v>37</v>
      </c>
      <c r="K644" t="str">
        <f t="shared" si="62"/>
        <v>W</v>
      </c>
      <c r="L644" t="str">
        <f t="shared" si="63"/>
        <v>Watty</v>
      </c>
      <c r="M644" t="str">
        <f>VLOOKUP(L644,References!$A$2:$B$16,2,FALSE)</f>
        <v>AKCOVA</v>
      </c>
      <c r="N644" s="19" t="str">
        <f>IF(M644=M645,"N","Y")</f>
        <v>Y</v>
      </c>
      <c r="O644">
        <f>SUM(I644:I645)</f>
        <v>141</v>
      </c>
      <c r="P644">
        <f t="shared" si="65"/>
        <v>52</v>
      </c>
    </row>
    <row r="645" spans="1:16" hidden="1" x14ac:dyDescent="0.3">
      <c r="A645" t="str">
        <f t="shared" si="64"/>
        <v>2017David6</v>
      </c>
      <c r="B645">
        <f t="shared" si="60"/>
        <v>1856</v>
      </c>
      <c r="C645">
        <f t="shared" si="61"/>
        <v>2034</v>
      </c>
      <c r="D645" t="s">
        <v>29</v>
      </c>
      <c r="E645" t="str">
        <f>D644</f>
        <v>Watty</v>
      </c>
      <c r="F645">
        <v>2017</v>
      </c>
      <c r="G645">
        <v>6</v>
      </c>
      <c r="H645">
        <v>6.2</v>
      </c>
      <c r="I645" s="14">
        <v>52</v>
      </c>
      <c r="J645">
        <f>I645-I644</f>
        <v>-37</v>
      </c>
      <c r="K645" t="str">
        <f t="shared" si="62"/>
        <v>L</v>
      </c>
      <c r="L645" t="str">
        <f t="shared" si="63"/>
        <v>David</v>
      </c>
      <c r="M645" t="str">
        <f>VLOOKUP(L645,References!$A$2:$B$16,2,FALSE)</f>
        <v>TEXAROK</v>
      </c>
      <c r="N645" s="19" t="str">
        <f>IF(M645=M644,"N","Y")</f>
        <v>Y</v>
      </c>
      <c r="O645">
        <f>SUM(I644:I645)</f>
        <v>141</v>
      </c>
      <c r="P645">
        <f t="shared" si="65"/>
        <v>89</v>
      </c>
    </row>
    <row r="646" spans="1:16" hidden="1" x14ac:dyDescent="0.3">
      <c r="A646" t="str">
        <f t="shared" si="64"/>
        <v>2017Michael7</v>
      </c>
      <c r="B646">
        <f t="shared" si="60"/>
        <v>1991</v>
      </c>
      <c r="C646">
        <f t="shared" si="61"/>
        <v>2017</v>
      </c>
      <c r="D646" t="s">
        <v>23</v>
      </c>
      <c r="E646" t="str">
        <f>D647</f>
        <v>Watty</v>
      </c>
      <c r="F646">
        <v>2017</v>
      </c>
      <c r="G646">
        <v>7</v>
      </c>
      <c r="H646">
        <v>1.1000000000000001</v>
      </c>
      <c r="I646" s="14">
        <v>54</v>
      </c>
      <c r="J646">
        <f>I646-I647</f>
        <v>-52</v>
      </c>
      <c r="K646" t="str">
        <f t="shared" si="62"/>
        <v>L</v>
      </c>
      <c r="L646" t="str">
        <f t="shared" si="63"/>
        <v>Michael</v>
      </c>
      <c r="M646" t="str">
        <f>VLOOKUP(L646,References!$A$2:$B$16,2,FALSE)</f>
        <v>AKCOVA</v>
      </c>
      <c r="N646" s="19" t="str">
        <f>IF(M646=M647,"N","Y")</f>
        <v>N</v>
      </c>
      <c r="O646">
        <f>SUM(I646:I647)</f>
        <v>160</v>
      </c>
      <c r="P646">
        <f t="shared" si="65"/>
        <v>106</v>
      </c>
    </row>
    <row r="647" spans="1:16" hidden="1" x14ac:dyDescent="0.3">
      <c r="A647" t="str">
        <f t="shared" si="64"/>
        <v>2017Watty7</v>
      </c>
      <c r="B647">
        <f t="shared" si="60"/>
        <v>97</v>
      </c>
      <c r="C647">
        <f t="shared" si="61"/>
        <v>509</v>
      </c>
      <c r="D647" t="s">
        <v>24</v>
      </c>
      <c r="E647" t="str">
        <f>D646</f>
        <v>Michael</v>
      </c>
      <c r="F647">
        <v>2017</v>
      </c>
      <c r="G647">
        <v>7</v>
      </c>
      <c r="H647">
        <v>1.2</v>
      </c>
      <c r="I647" s="14">
        <v>106</v>
      </c>
      <c r="J647">
        <f>I647-I646</f>
        <v>52</v>
      </c>
      <c r="K647" t="str">
        <f t="shared" si="62"/>
        <v>W</v>
      </c>
      <c r="L647" t="str">
        <f t="shared" si="63"/>
        <v>Watty</v>
      </c>
      <c r="M647" t="str">
        <f>VLOOKUP(L647,References!$A$2:$B$16,2,FALSE)</f>
        <v>AKCOVA</v>
      </c>
      <c r="N647" s="19" t="str">
        <f>IF(M647=M646,"N","Y")</f>
        <v>N</v>
      </c>
      <c r="O647">
        <f>SUM(I646:I647)</f>
        <v>160</v>
      </c>
      <c r="P647">
        <f t="shared" si="65"/>
        <v>54</v>
      </c>
    </row>
    <row r="648" spans="1:16" hidden="1" x14ac:dyDescent="0.3">
      <c r="A648" t="str">
        <f t="shared" si="64"/>
        <v>2017Emily7</v>
      </c>
      <c r="B648">
        <f t="shared" si="60"/>
        <v>262</v>
      </c>
      <c r="C648">
        <f t="shared" si="61"/>
        <v>1318</v>
      </c>
      <c r="D648" t="s">
        <v>43</v>
      </c>
      <c r="E648" t="str">
        <f>D649</f>
        <v>Mark</v>
      </c>
      <c r="F648">
        <v>2017</v>
      </c>
      <c r="G648">
        <v>7</v>
      </c>
      <c r="H648">
        <v>2.1</v>
      </c>
      <c r="I648" s="14">
        <v>82</v>
      </c>
      <c r="J648">
        <f>I648-I649</f>
        <v>34</v>
      </c>
      <c r="K648" t="str">
        <f t="shared" si="62"/>
        <v>W</v>
      </c>
      <c r="L648" t="str">
        <f t="shared" si="63"/>
        <v>Emily</v>
      </c>
      <c r="M648" t="str">
        <f>VLOOKUP(L648,References!$A$2:$B$16,2,FALSE)</f>
        <v>TEXAROK</v>
      </c>
      <c r="N648" s="19" t="str">
        <f>IF(M648=M649,"N","Y")</f>
        <v>Y</v>
      </c>
      <c r="O648">
        <f>SUM(I648:I649)</f>
        <v>130</v>
      </c>
      <c r="P648">
        <f t="shared" si="65"/>
        <v>48</v>
      </c>
    </row>
    <row r="649" spans="1:16" hidden="1" x14ac:dyDescent="0.3">
      <c r="A649" t="str">
        <f t="shared" si="64"/>
        <v>2017Mark7</v>
      </c>
      <c r="B649">
        <f t="shared" si="60"/>
        <v>1824</v>
      </c>
      <c r="C649">
        <f t="shared" si="61"/>
        <v>2060</v>
      </c>
      <c r="D649" t="s">
        <v>22</v>
      </c>
      <c r="E649" t="str">
        <f>D648</f>
        <v>Emily</v>
      </c>
      <c r="F649">
        <v>2017</v>
      </c>
      <c r="G649">
        <v>7</v>
      </c>
      <c r="H649">
        <v>2.2000000000000002</v>
      </c>
      <c r="I649" s="14">
        <v>48</v>
      </c>
      <c r="J649">
        <f>I649-I648</f>
        <v>-34</v>
      </c>
      <c r="K649" t="str">
        <f t="shared" si="62"/>
        <v>L</v>
      </c>
      <c r="L649" t="str">
        <f t="shared" si="63"/>
        <v>Mark</v>
      </c>
      <c r="M649" t="str">
        <f>VLOOKUP(L649,References!$A$2:$B$16,2,FALSE)</f>
        <v>AKCOVA</v>
      </c>
      <c r="N649" s="19" t="str">
        <f>IF(M649=M648,"N","Y")</f>
        <v>Y</v>
      </c>
      <c r="O649">
        <f>SUM(I648:I649)</f>
        <v>130</v>
      </c>
      <c r="P649">
        <f t="shared" si="65"/>
        <v>82</v>
      </c>
    </row>
    <row r="650" spans="1:16" hidden="1" x14ac:dyDescent="0.3">
      <c r="A650" t="str">
        <f t="shared" si="64"/>
        <v>2017Russell7</v>
      </c>
      <c r="B650">
        <f t="shared" si="60"/>
        <v>78</v>
      </c>
      <c r="C650">
        <f t="shared" si="61"/>
        <v>211</v>
      </c>
      <c r="D650" t="s">
        <v>28</v>
      </c>
      <c r="E650" t="str">
        <f>D651</f>
        <v>Charles</v>
      </c>
      <c r="F650">
        <v>2017</v>
      </c>
      <c r="G650">
        <v>7</v>
      </c>
      <c r="H650">
        <v>3.1</v>
      </c>
      <c r="I650" s="14">
        <v>121</v>
      </c>
      <c r="J650">
        <f>I650-I651</f>
        <v>55</v>
      </c>
      <c r="K650" t="str">
        <f t="shared" si="62"/>
        <v>W</v>
      </c>
      <c r="L650" t="str">
        <f t="shared" si="63"/>
        <v>Russell</v>
      </c>
      <c r="M650" t="str">
        <f>VLOOKUP(L650,References!$A$2:$B$16,2,FALSE)</f>
        <v>TEXAROK</v>
      </c>
      <c r="N650" s="19" t="str">
        <f>IF(M650=M651,"N","Y")</f>
        <v>Y</v>
      </c>
      <c r="O650">
        <f>SUM(I650:I651)</f>
        <v>187</v>
      </c>
      <c r="P650">
        <f t="shared" si="65"/>
        <v>66</v>
      </c>
    </row>
    <row r="651" spans="1:16" hidden="1" x14ac:dyDescent="0.3">
      <c r="A651" t="str">
        <f t="shared" si="64"/>
        <v>2017Charles7</v>
      </c>
      <c r="B651">
        <f t="shared" si="60"/>
        <v>2009</v>
      </c>
      <c r="C651">
        <f t="shared" si="61"/>
        <v>1833</v>
      </c>
      <c r="D651" t="s">
        <v>48</v>
      </c>
      <c r="E651" t="str">
        <f>D650</f>
        <v>Russell</v>
      </c>
      <c r="F651">
        <v>2017</v>
      </c>
      <c r="G651">
        <v>7</v>
      </c>
      <c r="H651">
        <v>3.2</v>
      </c>
      <c r="I651" s="14">
        <v>66</v>
      </c>
      <c r="J651">
        <f>I651-I650</f>
        <v>-55</v>
      </c>
      <c r="K651" t="str">
        <f t="shared" si="62"/>
        <v>L</v>
      </c>
      <c r="L651" t="str">
        <f t="shared" si="63"/>
        <v>Charles</v>
      </c>
      <c r="M651" t="str">
        <f>VLOOKUP(L651,References!$A$2:$B$16,2,FALSE)</f>
        <v>AKCOVA</v>
      </c>
      <c r="N651" s="19" t="str">
        <f>IF(M651=M650,"N","Y")</f>
        <v>Y</v>
      </c>
      <c r="O651">
        <f>SUM(I650:I651)</f>
        <v>187</v>
      </c>
      <c r="P651">
        <f t="shared" si="65"/>
        <v>121</v>
      </c>
    </row>
    <row r="652" spans="1:16" hidden="1" x14ac:dyDescent="0.3">
      <c r="A652" t="str">
        <f t="shared" si="64"/>
        <v>2017Matt7</v>
      </c>
      <c r="B652">
        <f t="shared" si="60"/>
        <v>977</v>
      </c>
      <c r="C652">
        <f t="shared" si="61"/>
        <v>1684</v>
      </c>
      <c r="D652" t="s">
        <v>30</v>
      </c>
      <c r="E652" t="str">
        <f>D653</f>
        <v>Abby</v>
      </c>
      <c r="F652">
        <v>2017</v>
      </c>
      <c r="G652">
        <v>7</v>
      </c>
      <c r="H652">
        <v>4.0999999999999996</v>
      </c>
      <c r="I652" s="14">
        <v>72</v>
      </c>
      <c r="J652">
        <f>I652-I653</f>
        <v>2</v>
      </c>
      <c r="K652" t="str">
        <f t="shared" si="62"/>
        <v>W</v>
      </c>
      <c r="L652" t="str">
        <f t="shared" si="63"/>
        <v>Matt</v>
      </c>
      <c r="M652" t="str">
        <f>VLOOKUP(L652,References!$A$2:$B$16,2,FALSE)</f>
        <v>TEXAROK</v>
      </c>
      <c r="N652" s="19" t="str">
        <f>IF(M652=M653,"N","Y")</f>
        <v>Y</v>
      </c>
      <c r="O652">
        <f>SUM(I652:I653)</f>
        <v>142</v>
      </c>
      <c r="P652">
        <f t="shared" si="65"/>
        <v>70</v>
      </c>
    </row>
    <row r="653" spans="1:16" hidden="1" x14ac:dyDescent="0.3">
      <c r="A653" t="str">
        <f t="shared" si="64"/>
        <v>2017Abby7</v>
      </c>
      <c r="B653">
        <f t="shared" si="60"/>
        <v>1090</v>
      </c>
      <c r="C653">
        <f t="shared" si="61"/>
        <v>1738</v>
      </c>
      <c r="D653" t="s">
        <v>27</v>
      </c>
      <c r="E653" t="str">
        <f>D652</f>
        <v>Matt</v>
      </c>
      <c r="F653">
        <v>2017</v>
      </c>
      <c r="G653">
        <v>7</v>
      </c>
      <c r="H653">
        <v>4.2</v>
      </c>
      <c r="I653" s="14">
        <v>70</v>
      </c>
      <c r="J653">
        <f>I653-I652</f>
        <v>-2</v>
      </c>
      <c r="K653" t="str">
        <f t="shared" si="62"/>
        <v>L</v>
      </c>
      <c r="L653" t="str">
        <f t="shared" si="63"/>
        <v>Abby</v>
      </c>
      <c r="M653" t="str">
        <f>VLOOKUP(L653,References!$A$2:$B$16,2,FALSE)</f>
        <v>AKCOVA</v>
      </c>
      <c r="N653" s="19" t="str">
        <f>IF(M653=M652,"N","Y")</f>
        <v>Y</v>
      </c>
      <c r="O653">
        <f>SUM(I652:I653)</f>
        <v>142</v>
      </c>
      <c r="P653">
        <f t="shared" si="65"/>
        <v>72</v>
      </c>
    </row>
    <row r="654" spans="1:16" hidden="1" x14ac:dyDescent="0.3">
      <c r="A654" t="str">
        <f t="shared" si="64"/>
        <v>2017Brent7</v>
      </c>
      <c r="B654">
        <f t="shared" si="60"/>
        <v>1090</v>
      </c>
      <c r="C654">
        <f t="shared" si="61"/>
        <v>1318</v>
      </c>
      <c r="D654" t="s">
        <v>47</v>
      </c>
      <c r="E654" t="str">
        <f>D655</f>
        <v>BR</v>
      </c>
      <c r="F654">
        <v>2017</v>
      </c>
      <c r="G654">
        <v>7</v>
      </c>
      <c r="H654">
        <v>5.0999999999999996</v>
      </c>
      <c r="I654" s="14">
        <v>82</v>
      </c>
      <c r="J654">
        <f>I654-I655</f>
        <v>-2</v>
      </c>
      <c r="K654" t="str">
        <f t="shared" si="62"/>
        <v>L</v>
      </c>
      <c r="L654" t="str">
        <f t="shared" si="63"/>
        <v>Brent</v>
      </c>
      <c r="M654" t="str">
        <f>VLOOKUP(L654,References!$A$2:$B$16,2,FALSE)</f>
        <v>TEXAROK</v>
      </c>
      <c r="N654" s="19" t="str">
        <f>IF(M654=M655,"N","Y")</f>
        <v>Y</v>
      </c>
      <c r="O654">
        <f>SUM(I654:I655)</f>
        <v>166</v>
      </c>
      <c r="P654">
        <f t="shared" si="65"/>
        <v>84</v>
      </c>
    </row>
    <row r="655" spans="1:16" hidden="1" x14ac:dyDescent="0.3">
      <c r="A655" t="str">
        <f t="shared" si="64"/>
        <v>2017BR7</v>
      </c>
      <c r="B655">
        <f t="shared" si="60"/>
        <v>977</v>
      </c>
      <c r="C655">
        <f t="shared" si="61"/>
        <v>1241</v>
      </c>
      <c r="D655" t="s">
        <v>25</v>
      </c>
      <c r="E655" t="str">
        <f>D654</f>
        <v>Brent</v>
      </c>
      <c r="F655">
        <v>2017</v>
      </c>
      <c r="G655">
        <v>7</v>
      </c>
      <c r="H655">
        <v>5.2</v>
      </c>
      <c r="I655" s="14">
        <v>84</v>
      </c>
      <c r="J655">
        <f>I655-I654</f>
        <v>2</v>
      </c>
      <c r="K655" t="str">
        <f t="shared" si="62"/>
        <v>W</v>
      </c>
      <c r="L655" t="str">
        <f t="shared" si="63"/>
        <v>BR</v>
      </c>
      <c r="M655" t="str">
        <f>VLOOKUP(L655,References!$A$2:$B$16,2,FALSE)</f>
        <v>AKCOVA</v>
      </c>
      <c r="N655" s="19" t="str">
        <f>IF(M655=M654,"N","Y")</f>
        <v>Y</v>
      </c>
      <c r="O655">
        <f>SUM(I654:I655)</f>
        <v>166</v>
      </c>
      <c r="P655">
        <f t="shared" si="65"/>
        <v>82</v>
      </c>
    </row>
    <row r="656" spans="1:16" hidden="1" x14ac:dyDescent="0.3">
      <c r="A656" t="str">
        <f t="shared" si="64"/>
        <v>2017David7</v>
      </c>
      <c r="B656">
        <f t="shared" si="60"/>
        <v>1978</v>
      </c>
      <c r="C656">
        <f t="shared" si="61"/>
        <v>1885</v>
      </c>
      <c r="D656" t="s">
        <v>29</v>
      </c>
      <c r="E656" t="str">
        <f>D657</f>
        <v>Brian</v>
      </c>
      <c r="F656">
        <v>2017</v>
      </c>
      <c r="G656">
        <v>7</v>
      </c>
      <c r="H656">
        <v>6.1</v>
      </c>
      <c r="I656" s="14">
        <v>63</v>
      </c>
      <c r="J656">
        <f>I656-I657</f>
        <v>-50</v>
      </c>
      <c r="K656" t="str">
        <f t="shared" si="62"/>
        <v>L</v>
      </c>
      <c r="L656" t="str">
        <f t="shared" si="63"/>
        <v>David</v>
      </c>
      <c r="M656" t="str">
        <f>VLOOKUP(L656,References!$A$2:$B$16,2,FALSE)</f>
        <v>TEXAROK</v>
      </c>
      <c r="N656" s="19" t="str">
        <f>IF(M656=M657,"N","Y")</f>
        <v>N</v>
      </c>
      <c r="O656">
        <f>SUM(I656:I657)</f>
        <v>176</v>
      </c>
      <c r="P656">
        <f t="shared" si="65"/>
        <v>113</v>
      </c>
    </row>
    <row r="657" spans="1:16" hidden="1" x14ac:dyDescent="0.3">
      <c r="A657" t="str">
        <f t="shared" si="64"/>
        <v>2017Brian7</v>
      </c>
      <c r="B657">
        <f t="shared" si="60"/>
        <v>107</v>
      </c>
      <c r="C657">
        <f t="shared" si="61"/>
        <v>339</v>
      </c>
      <c r="D657" t="s">
        <v>26</v>
      </c>
      <c r="E657" t="str">
        <f>D656</f>
        <v>David</v>
      </c>
      <c r="F657">
        <v>2017</v>
      </c>
      <c r="G657">
        <v>7</v>
      </c>
      <c r="H657">
        <v>6.2</v>
      </c>
      <c r="I657" s="14">
        <v>113</v>
      </c>
      <c r="J657">
        <f>I657-I656</f>
        <v>50</v>
      </c>
      <c r="K657" t="str">
        <f t="shared" si="62"/>
        <v>W</v>
      </c>
      <c r="L657" t="str">
        <f t="shared" si="63"/>
        <v>Brian</v>
      </c>
      <c r="M657" t="str">
        <f>VLOOKUP(L657,References!$A$2:$B$16,2,FALSE)</f>
        <v>TEXAROK</v>
      </c>
      <c r="N657" s="19" t="str">
        <f>IF(M657=M656,"N","Y")</f>
        <v>N</v>
      </c>
      <c r="O657">
        <f>SUM(I656:I657)</f>
        <v>176</v>
      </c>
      <c r="P657">
        <f t="shared" si="65"/>
        <v>63</v>
      </c>
    </row>
    <row r="658" spans="1:16" hidden="1" x14ac:dyDescent="0.3">
      <c r="A658" t="str">
        <f t="shared" si="64"/>
        <v>2017Brian8</v>
      </c>
      <c r="B658">
        <f t="shared" si="60"/>
        <v>1797</v>
      </c>
      <c r="C658">
        <f t="shared" si="61"/>
        <v>2027</v>
      </c>
      <c r="D658" t="s">
        <v>26</v>
      </c>
      <c r="E658" t="str">
        <f>D659</f>
        <v>Michael</v>
      </c>
      <c r="F658">
        <v>2017</v>
      </c>
      <c r="G658">
        <v>8</v>
      </c>
      <c r="H658">
        <v>1.1000000000000001</v>
      </c>
      <c r="I658" s="14">
        <v>53</v>
      </c>
      <c r="J658">
        <f>I658-I659</f>
        <v>-32</v>
      </c>
      <c r="K658" t="str">
        <f t="shared" si="62"/>
        <v>L</v>
      </c>
      <c r="L658" t="str">
        <f t="shared" si="63"/>
        <v>Brian</v>
      </c>
      <c r="M658" t="str">
        <f>VLOOKUP(L658,References!$A$2:$B$16,2,FALSE)</f>
        <v>TEXAROK</v>
      </c>
      <c r="N658" s="19" t="str">
        <f>IF(M658=M659,"N","Y")</f>
        <v>Y</v>
      </c>
      <c r="O658">
        <f>SUM(I658:I659)</f>
        <v>138</v>
      </c>
      <c r="P658">
        <f t="shared" si="65"/>
        <v>85</v>
      </c>
    </row>
    <row r="659" spans="1:16" hidden="1" x14ac:dyDescent="0.3">
      <c r="A659" t="str">
        <f t="shared" si="64"/>
        <v>2017Michael8</v>
      </c>
      <c r="B659">
        <f t="shared" si="60"/>
        <v>284</v>
      </c>
      <c r="C659">
        <f t="shared" si="61"/>
        <v>1210</v>
      </c>
      <c r="D659" t="s">
        <v>23</v>
      </c>
      <c r="E659" t="str">
        <f>D658</f>
        <v>Brian</v>
      </c>
      <c r="F659">
        <v>2017</v>
      </c>
      <c r="G659">
        <v>8</v>
      </c>
      <c r="H659">
        <v>1.2</v>
      </c>
      <c r="I659" s="14">
        <v>85</v>
      </c>
      <c r="J659">
        <f>I659-I658</f>
        <v>32</v>
      </c>
      <c r="K659" t="str">
        <f t="shared" si="62"/>
        <v>W</v>
      </c>
      <c r="L659" t="str">
        <f t="shared" si="63"/>
        <v>Michael</v>
      </c>
      <c r="M659" t="str">
        <f>VLOOKUP(L659,References!$A$2:$B$16,2,FALSE)</f>
        <v>AKCOVA</v>
      </c>
      <c r="N659" s="19" t="str">
        <f>IF(M659=M658,"N","Y")</f>
        <v>Y</v>
      </c>
      <c r="O659">
        <f>SUM(I658:I659)</f>
        <v>138</v>
      </c>
      <c r="P659">
        <f t="shared" si="65"/>
        <v>53</v>
      </c>
    </row>
    <row r="660" spans="1:16" hidden="1" x14ac:dyDescent="0.3">
      <c r="A660" t="str">
        <f t="shared" si="64"/>
        <v>2017Mark8</v>
      </c>
      <c r="B660">
        <f t="shared" si="60"/>
        <v>1753</v>
      </c>
      <c r="C660">
        <f t="shared" si="61"/>
        <v>1282</v>
      </c>
      <c r="D660" t="s">
        <v>22</v>
      </c>
      <c r="E660" t="str">
        <f>D661</f>
        <v>Brent</v>
      </c>
      <c r="F660">
        <v>2017</v>
      </c>
      <c r="G660">
        <v>8</v>
      </c>
      <c r="H660">
        <v>2.1</v>
      </c>
      <c r="I660" s="14">
        <v>83</v>
      </c>
      <c r="J660">
        <f>I660-I661</f>
        <v>-30</v>
      </c>
      <c r="K660" t="str">
        <f t="shared" si="62"/>
        <v>L</v>
      </c>
      <c r="L660" t="str">
        <f t="shared" si="63"/>
        <v>Mark</v>
      </c>
      <c r="M660" t="str">
        <f>VLOOKUP(L660,References!$A$2:$B$16,2,FALSE)</f>
        <v>AKCOVA</v>
      </c>
      <c r="N660" s="19" t="str">
        <f>IF(M660=M661,"N","Y")</f>
        <v>Y</v>
      </c>
      <c r="O660">
        <f>SUM(I660:I661)</f>
        <v>196</v>
      </c>
      <c r="P660">
        <f t="shared" si="65"/>
        <v>113</v>
      </c>
    </row>
    <row r="661" spans="1:16" hidden="1" x14ac:dyDescent="0.3">
      <c r="A661" t="str">
        <f t="shared" si="64"/>
        <v>2017Brent8</v>
      </c>
      <c r="B661">
        <f t="shared" si="60"/>
        <v>319</v>
      </c>
      <c r="C661">
        <f t="shared" si="61"/>
        <v>339</v>
      </c>
      <c r="D661" t="s">
        <v>47</v>
      </c>
      <c r="E661" t="str">
        <f>D660</f>
        <v>Mark</v>
      </c>
      <c r="F661">
        <v>2017</v>
      </c>
      <c r="G661">
        <v>8</v>
      </c>
      <c r="H661">
        <v>2.2000000000000002</v>
      </c>
      <c r="I661" s="14">
        <v>113</v>
      </c>
      <c r="J661">
        <f>I661-I660</f>
        <v>30</v>
      </c>
      <c r="K661" t="str">
        <f t="shared" si="62"/>
        <v>W</v>
      </c>
      <c r="L661" t="str">
        <f t="shared" si="63"/>
        <v>Brent</v>
      </c>
      <c r="M661" t="str">
        <f>VLOOKUP(L661,References!$A$2:$B$16,2,FALSE)</f>
        <v>TEXAROK</v>
      </c>
      <c r="N661" s="19" t="str">
        <f>IF(M661=M660,"N","Y")</f>
        <v>Y</v>
      </c>
      <c r="O661">
        <f>SUM(I660:I661)</f>
        <v>196</v>
      </c>
      <c r="P661">
        <f t="shared" si="65"/>
        <v>83</v>
      </c>
    </row>
    <row r="662" spans="1:16" hidden="1" x14ac:dyDescent="0.3">
      <c r="A662" t="str">
        <f t="shared" si="64"/>
        <v>2017Charles8</v>
      </c>
      <c r="B662">
        <f t="shared" si="60"/>
        <v>1055</v>
      </c>
      <c r="C662">
        <f t="shared" si="61"/>
        <v>1100</v>
      </c>
      <c r="D662" t="s">
        <v>48</v>
      </c>
      <c r="E662" t="str">
        <f>D663</f>
        <v>David</v>
      </c>
      <c r="F662">
        <v>2017</v>
      </c>
      <c r="G662">
        <v>8</v>
      </c>
      <c r="H662">
        <v>3.1</v>
      </c>
      <c r="I662" s="14">
        <v>88</v>
      </c>
      <c r="J662">
        <f>I662-I663</f>
        <v>-1</v>
      </c>
      <c r="K662" t="str">
        <f t="shared" si="62"/>
        <v>L</v>
      </c>
      <c r="L662" t="str">
        <f t="shared" si="63"/>
        <v>Charles</v>
      </c>
      <c r="M662" t="str">
        <f>VLOOKUP(L662,References!$A$2:$B$16,2,FALSE)</f>
        <v>AKCOVA</v>
      </c>
      <c r="N662" s="19" t="str">
        <f>IF(M662=M663,"N","Y")</f>
        <v>Y</v>
      </c>
      <c r="O662">
        <f>SUM(I662:I663)</f>
        <v>177</v>
      </c>
      <c r="P662">
        <f t="shared" si="65"/>
        <v>89</v>
      </c>
    </row>
    <row r="663" spans="1:16" hidden="1" x14ac:dyDescent="0.3">
      <c r="A663" t="str">
        <f t="shared" si="64"/>
        <v>2017David8</v>
      </c>
      <c r="B663">
        <f t="shared" si="60"/>
        <v>1004</v>
      </c>
      <c r="C663">
        <f t="shared" si="61"/>
        <v>1055</v>
      </c>
      <c r="D663" t="s">
        <v>29</v>
      </c>
      <c r="E663" t="str">
        <f>D662</f>
        <v>Charles</v>
      </c>
      <c r="F663">
        <v>2017</v>
      </c>
      <c r="G663">
        <v>8</v>
      </c>
      <c r="H663">
        <v>3.2</v>
      </c>
      <c r="I663" s="14">
        <v>89</v>
      </c>
      <c r="J663">
        <f>I663-I662</f>
        <v>1</v>
      </c>
      <c r="K663" t="str">
        <f t="shared" si="62"/>
        <v>W</v>
      </c>
      <c r="L663" t="str">
        <f t="shared" si="63"/>
        <v>David</v>
      </c>
      <c r="M663" t="str">
        <f>VLOOKUP(L663,References!$A$2:$B$16,2,FALSE)</f>
        <v>TEXAROK</v>
      </c>
      <c r="N663" s="19" t="str">
        <f>IF(M663=M662,"N","Y")</f>
        <v>Y</v>
      </c>
      <c r="O663">
        <f>SUM(I662:I663)</f>
        <v>177</v>
      </c>
      <c r="P663">
        <f t="shared" si="65"/>
        <v>88</v>
      </c>
    </row>
    <row r="664" spans="1:16" hidden="1" x14ac:dyDescent="0.3">
      <c r="A664" t="str">
        <f t="shared" si="64"/>
        <v>2017Abby8</v>
      </c>
      <c r="B664">
        <f t="shared" si="60"/>
        <v>619</v>
      </c>
      <c r="C664">
        <f t="shared" si="61"/>
        <v>1055</v>
      </c>
      <c r="D664" t="s">
        <v>27</v>
      </c>
      <c r="E664" t="str">
        <f>D665</f>
        <v>Emily</v>
      </c>
      <c r="F664">
        <v>2017</v>
      </c>
      <c r="G664">
        <v>8</v>
      </c>
      <c r="H664">
        <v>4.0999999999999996</v>
      </c>
      <c r="I664" s="14">
        <v>89</v>
      </c>
      <c r="J664">
        <f>I664-I665</f>
        <v>16</v>
      </c>
      <c r="K664" t="str">
        <f t="shared" si="62"/>
        <v>W</v>
      </c>
      <c r="L664" t="str">
        <f t="shared" si="63"/>
        <v>Abby</v>
      </c>
      <c r="M664" t="str">
        <f>VLOOKUP(L664,References!$A$2:$B$16,2,FALSE)</f>
        <v>AKCOVA</v>
      </c>
      <c r="N664" s="19" t="str">
        <f>IF(M664=M665,"N","Y")</f>
        <v>Y</v>
      </c>
      <c r="O664">
        <f>SUM(I664:I665)</f>
        <v>162</v>
      </c>
      <c r="P664">
        <f t="shared" si="65"/>
        <v>73</v>
      </c>
    </row>
    <row r="665" spans="1:16" hidden="1" x14ac:dyDescent="0.3">
      <c r="A665" t="str">
        <f t="shared" si="64"/>
        <v>2017Emily8</v>
      </c>
      <c r="B665">
        <f t="shared" si="60"/>
        <v>1455</v>
      </c>
      <c r="C665">
        <f t="shared" si="61"/>
        <v>1648</v>
      </c>
      <c r="D665" t="s">
        <v>43</v>
      </c>
      <c r="E665" t="str">
        <f>D664</f>
        <v>Abby</v>
      </c>
      <c r="F665">
        <v>2017</v>
      </c>
      <c r="G665">
        <v>8</v>
      </c>
      <c r="H665">
        <v>4.2</v>
      </c>
      <c r="I665" s="14">
        <v>73</v>
      </c>
      <c r="J665">
        <f>I665-I664</f>
        <v>-16</v>
      </c>
      <c r="K665" t="str">
        <f t="shared" si="62"/>
        <v>L</v>
      </c>
      <c r="L665" t="str">
        <f t="shared" si="63"/>
        <v>Emily</v>
      </c>
      <c r="M665" t="str">
        <f>VLOOKUP(L665,References!$A$2:$B$16,2,FALSE)</f>
        <v>TEXAROK</v>
      </c>
      <c r="N665" s="19" t="str">
        <f>IF(M665=M664,"N","Y")</f>
        <v>Y</v>
      </c>
      <c r="O665">
        <f>SUM(I664:I665)</f>
        <v>162</v>
      </c>
      <c r="P665">
        <f t="shared" si="65"/>
        <v>89</v>
      </c>
    </row>
    <row r="666" spans="1:16" hidden="1" x14ac:dyDescent="0.3">
      <c r="A666" t="str">
        <f t="shared" si="64"/>
        <v>2017BR8</v>
      </c>
      <c r="B666">
        <f t="shared" si="60"/>
        <v>1546</v>
      </c>
      <c r="C666">
        <f t="shared" si="61"/>
        <v>1318</v>
      </c>
      <c r="D666" t="s">
        <v>25</v>
      </c>
      <c r="E666" t="str">
        <f>D667</f>
        <v>Russell</v>
      </c>
      <c r="F666">
        <v>2017</v>
      </c>
      <c r="G666">
        <v>8</v>
      </c>
      <c r="H666">
        <v>5.0999999999999996</v>
      </c>
      <c r="I666" s="14">
        <v>82</v>
      </c>
      <c r="J666">
        <f>I666-I667</f>
        <v>-20</v>
      </c>
      <c r="K666" t="str">
        <f t="shared" si="62"/>
        <v>L</v>
      </c>
      <c r="L666" t="str">
        <f t="shared" si="63"/>
        <v>BR</v>
      </c>
      <c r="M666" t="str">
        <f>VLOOKUP(L666,References!$A$2:$B$16,2,FALSE)</f>
        <v>AKCOVA</v>
      </c>
      <c r="N666" s="19" t="str">
        <f>IF(M666=M667,"N","Y")</f>
        <v>Y</v>
      </c>
      <c r="O666">
        <f>SUM(I666:I667)</f>
        <v>184</v>
      </c>
      <c r="P666">
        <f t="shared" si="65"/>
        <v>102</v>
      </c>
    </row>
    <row r="667" spans="1:16" hidden="1" x14ac:dyDescent="0.3">
      <c r="A667" t="str">
        <f t="shared" si="64"/>
        <v>2017Russell8</v>
      </c>
      <c r="B667">
        <f t="shared" si="60"/>
        <v>517</v>
      </c>
      <c r="C667">
        <f t="shared" si="61"/>
        <v>631</v>
      </c>
      <c r="D667" t="s">
        <v>28</v>
      </c>
      <c r="E667" t="str">
        <f>D666</f>
        <v>BR</v>
      </c>
      <c r="F667">
        <v>2017</v>
      </c>
      <c r="G667">
        <v>8</v>
      </c>
      <c r="H667">
        <v>5.2</v>
      </c>
      <c r="I667" s="14">
        <v>102</v>
      </c>
      <c r="J667">
        <f>I667-I666</f>
        <v>20</v>
      </c>
      <c r="K667" t="str">
        <f t="shared" si="62"/>
        <v>W</v>
      </c>
      <c r="L667" t="str">
        <f t="shared" si="63"/>
        <v>Russell</v>
      </c>
      <c r="M667" t="str">
        <f>VLOOKUP(L667,References!$A$2:$B$16,2,FALSE)</f>
        <v>TEXAROK</v>
      </c>
      <c r="N667" s="19" t="str">
        <f>IF(M667=M666,"N","Y")</f>
        <v>Y</v>
      </c>
      <c r="O667">
        <f>SUM(I666:I667)</f>
        <v>184</v>
      </c>
      <c r="P667">
        <f t="shared" si="65"/>
        <v>82</v>
      </c>
    </row>
    <row r="668" spans="1:16" hidden="1" x14ac:dyDescent="0.3">
      <c r="A668" t="str">
        <f t="shared" si="64"/>
        <v>2017Watty8</v>
      </c>
      <c r="B668">
        <f t="shared" si="60"/>
        <v>1869</v>
      </c>
      <c r="C668">
        <f t="shared" si="61"/>
        <v>1853</v>
      </c>
      <c r="D668" t="s">
        <v>24</v>
      </c>
      <c r="E668" t="str">
        <f>D669</f>
        <v>Matt</v>
      </c>
      <c r="F668">
        <v>2017</v>
      </c>
      <c r="G668">
        <v>8</v>
      </c>
      <c r="H668">
        <v>6.1</v>
      </c>
      <c r="I668" s="14">
        <v>65</v>
      </c>
      <c r="J668">
        <f>I668-I669</f>
        <v>-38</v>
      </c>
      <c r="K668" t="str">
        <f t="shared" si="62"/>
        <v>L</v>
      </c>
      <c r="L668" t="str">
        <f t="shared" si="63"/>
        <v>Watty</v>
      </c>
      <c r="M668" t="str">
        <f>VLOOKUP(L668,References!$A$2:$B$16,2,FALSE)</f>
        <v>AKCOVA</v>
      </c>
      <c r="N668" s="19" t="str">
        <f>IF(M668=M669,"N","Y")</f>
        <v>Y</v>
      </c>
      <c r="O668">
        <f>SUM(I668:I669)</f>
        <v>168</v>
      </c>
      <c r="P668">
        <f t="shared" si="65"/>
        <v>103</v>
      </c>
    </row>
    <row r="669" spans="1:16" hidden="1" x14ac:dyDescent="0.3">
      <c r="A669" t="str">
        <f t="shared" si="64"/>
        <v>2017Matt8</v>
      </c>
      <c r="B669">
        <f t="shared" si="60"/>
        <v>210</v>
      </c>
      <c r="C669">
        <f t="shared" si="61"/>
        <v>603</v>
      </c>
      <c r="D669" t="s">
        <v>30</v>
      </c>
      <c r="E669" t="str">
        <f>D668</f>
        <v>Watty</v>
      </c>
      <c r="F669">
        <v>2017</v>
      </c>
      <c r="G669">
        <v>8</v>
      </c>
      <c r="H669">
        <v>6.2</v>
      </c>
      <c r="I669" s="14">
        <v>103</v>
      </c>
      <c r="J669">
        <f>I669-I668</f>
        <v>38</v>
      </c>
      <c r="K669" t="str">
        <f t="shared" si="62"/>
        <v>W</v>
      </c>
      <c r="L669" t="str">
        <f t="shared" si="63"/>
        <v>Matt</v>
      </c>
      <c r="M669" t="str">
        <f>VLOOKUP(L669,References!$A$2:$B$16,2,FALSE)</f>
        <v>TEXAROK</v>
      </c>
      <c r="N669" s="19" t="str">
        <f>IF(M669=M668,"N","Y")</f>
        <v>Y</v>
      </c>
      <c r="O669">
        <f>SUM(I668:I669)</f>
        <v>168</v>
      </c>
      <c r="P669">
        <f t="shared" si="65"/>
        <v>65</v>
      </c>
    </row>
    <row r="670" spans="1:16" hidden="1" x14ac:dyDescent="0.3">
      <c r="A670" t="str">
        <f t="shared" si="64"/>
        <v>2017Michael9</v>
      </c>
      <c r="B670">
        <f t="shared" si="60"/>
        <v>1546</v>
      </c>
      <c r="C670">
        <f t="shared" si="61"/>
        <v>1951</v>
      </c>
      <c r="D670" t="s">
        <v>23</v>
      </c>
      <c r="E670" t="str">
        <f>D671</f>
        <v>Charles</v>
      </c>
      <c r="F670">
        <v>2017</v>
      </c>
      <c r="G670">
        <v>9</v>
      </c>
      <c r="H670">
        <v>1.1000000000000001</v>
      </c>
      <c r="I670" s="14">
        <v>59</v>
      </c>
      <c r="J670">
        <f>I670-I671</f>
        <v>-20</v>
      </c>
      <c r="K670" t="str">
        <f t="shared" si="62"/>
        <v>L</v>
      </c>
      <c r="L670" t="str">
        <f t="shared" si="63"/>
        <v>Michael</v>
      </c>
      <c r="M670" t="str">
        <f>VLOOKUP(L670,References!$A$2:$B$16,2,FALSE)</f>
        <v>AKCOVA</v>
      </c>
      <c r="N670" s="19" t="str">
        <f>IF(M670=M671,"N","Y")</f>
        <v>N</v>
      </c>
      <c r="O670">
        <f>SUM(I670:I671)</f>
        <v>138</v>
      </c>
      <c r="P670">
        <f t="shared" si="65"/>
        <v>79</v>
      </c>
    </row>
    <row r="671" spans="1:16" hidden="1" x14ac:dyDescent="0.3">
      <c r="A671" t="str">
        <f t="shared" si="64"/>
        <v>2017Charles9</v>
      </c>
      <c r="B671">
        <f t="shared" si="60"/>
        <v>517</v>
      </c>
      <c r="C671">
        <f t="shared" si="61"/>
        <v>1439</v>
      </c>
      <c r="D671" t="s">
        <v>48</v>
      </c>
      <c r="E671" t="str">
        <f>D670</f>
        <v>Michael</v>
      </c>
      <c r="F671">
        <v>2017</v>
      </c>
      <c r="G671">
        <v>9</v>
      </c>
      <c r="H671">
        <v>1.2</v>
      </c>
      <c r="I671" s="14">
        <v>79</v>
      </c>
      <c r="J671">
        <f>I671-I670</f>
        <v>20</v>
      </c>
      <c r="K671" t="str">
        <f t="shared" si="62"/>
        <v>W</v>
      </c>
      <c r="L671" t="str">
        <f t="shared" si="63"/>
        <v>Charles</v>
      </c>
      <c r="M671" t="str">
        <f>VLOOKUP(L671,References!$A$2:$B$16,2,FALSE)</f>
        <v>AKCOVA</v>
      </c>
      <c r="N671" s="19" t="str">
        <f>IF(M671=M670,"N","Y")</f>
        <v>N</v>
      </c>
      <c r="O671">
        <f>SUM(I670:I671)</f>
        <v>138</v>
      </c>
      <c r="P671">
        <f t="shared" si="65"/>
        <v>59</v>
      </c>
    </row>
    <row r="672" spans="1:16" hidden="1" x14ac:dyDescent="0.3">
      <c r="A672" t="str">
        <f t="shared" si="64"/>
        <v>2017Russell9</v>
      </c>
      <c r="B672">
        <f t="shared" si="60"/>
        <v>1229</v>
      </c>
      <c r="C672">
        <f t="shared" si="61"/>
        <v>1648</v>
      </c>
      <c r="D672" t="s">
        <v>28</v>
      </c>
      <c r="E672" t="str">
        <f>D673</f>
        <v>Mark</v>
      </c>
      <c r="F672">
        <v>2017</v>
      </c>
      <c r="G672">
        <v>9</v>
      </c>
      <c r="H672">
        <v>2.1</v>
      </c>
      <c r="I672" s="14">
        <v>73</v>
      </c>
      <c r="J672">
        <f>I672-I673</f>
        <v>-7</v>
      </c>
      <c r="K672" t="str">
        <f t="shared" si="62"/>
        <v>L</v>
      </c>
      <c r="L672" t="str">
        <f t="shared" si="63"/>
        <v>Russell</v>
      </c>
      <c r="M672" t="str">
        <f>VLOOKUP(L672,References!$A$2:$B$16,2,FALSE)</f>
        <v>TEXAROK</v>
      </c>
      <c r="N672" s="19" t="str">
        <f>IF(M672=M673,"N","Y")</f>
        <v>Y</v>
      </c>
      <c r="O672">
        <f>SUM(I672:I673)</f>
        <v>153</v>
      </c>
      <c r="P672">
        <f t="shared" si="65"/>
        <v>80</v>
      </c>
    </row>
    <row r="673" spans="1:16" hidden="1" x14ac:dyDescent="0.3">
      <c r="A673" t="str">
        <f t="shared" si="64"/>
        <v>2017Mark9</v>
      </c>
      <c r="B673">
        <f t="shared" si="60"/>
        <v>836</v>
      </c>
      <c r="C673">
        <f t="shared" si="61"/>
        <v>1406</v>
      </c>
      <c r="D673" t="s">
        <v>22</v>
      </c>
      <c r="E673" t="str">
        <f>D672</f>
        <v>Russell</v>
      </c>
      <c r="F673">
        <v>2017</v>
      </c>
      <c r="G673">
        <v>9</v>
      </c>
      <c r="H673">
        <v>2.2000000000000002</v>
      </c>
      <c r="I673" s="14">
        <v>80</v>
      </c>
      <c r="J673">
        <f>I673-I672</f>
        <v>7</v>
      </c>
      <c r="K673" t="str">
        <f t="shared" si="62"/>
        <v>W</v>
      </c>
      <c r="L673" t="str">
        <f t="shared" si="63"/>
        <v>Mark</v>
      </c>
      <c r="M673" t="str">
        <f>VLOOKUP(L673,References!$A$2:$B$16,2,FALSE)</f>
        <v>AKCOVA</v>
      </c>
      <c r="N673" s="19" t="str">
        <f>IF(M673=M672,"N","Y")</f>
        <v>Y</v>
      </c>
      <c r="O673">
        <f>SUM(I672:I673)</f>
        <v>153</v>
      </c>
      <c r="P673">
        <f t="shared" si="65"/>
        <v>73</v>
      </c>
    </row>
    <row r="674" spans="1:16" hidden="1" x14ac:dyDescent="0.3">
      <c r="A674" t="str">
        <f t="shared" si="64"/>
        <v>2017Matt9</v>
      </c>
      <c r="B674">
        <f t="shared" si="60"/>
        <v>1357</v>
      </c>
      <c r="C674">
        <f t="shared" si="61"/>
        <v>1595</v>
      </c>
      <c r="D674" t="s">
        <v>30</v>
      </c>
      <c r="E674" t="str">
        <f>D675</f>
        <v>Brian</v>
      </c>
      <c r="F674">
        <v>2017</v>
      </c>
      <c r="G674">
        <v>9</v>
      </c>
      <c r="H674">
        <v>3.1</v>
      </c>
      <c r="I674" s="14">
        <v>75</v>
      </c>
      <c r="J674">
        <f>I674-I675</f>
        <v>-12</v>
      </c>
      <c r="K674" t="str">
        <f t="shared" si="62"/>
        <v>L</v>
      </c>
      <c r="L674" t="str">
        <f t="shared" si="63"/>
        <v>Matt</v>
      </c>
      <c r="M674" t="str">
        <f>VLOOKUP(L674,References!$A$2:$B$16,2,FALSE)</f>
        <v>TEXAROK</v>
      </c>
      <c r="N674" s="19" t="str">
        <f>IF(M674=M675,"N","Y")</f>
        <v>N</v>
      </c>
      <c r="O674">
        <f>SUM(I674:I675)</f>
        <v>162</v>
      </c>
      <c r="P674">
        <f t="shared" si="65"/>
        <v>87</v>
      </c>
    </row>
    <row r="675" spans="1:16" hidden="1" x14ac:dyDescent="0.3">
      <c r="A675" t="str">
        <f t="shared" si="64"/>
        <v>2017Brian9</v>
      </c>
      <c r="B675">
        <f t="shared" si="60"/>
        <v>713</v>
      </c>
      <c r="C675">
        <f t="shared" si="61"/>
        <v>1143</v>
      </c>
      <c r="D675" t="s">
        <v>26</v>
      </c>
      <c r="E675" t="str">
        <f>D674</f>
        <v>Matt</v>
      </c>
      <c r="F675">
        <v>2017</v>
      </c>
      <c r="G675">
        <v>9</v>
      </c>
      <c r="H675">
        <v>3.2</v>
      </c>
      <c r="I675" s="14">
        <v>87</v>
      </c>
      <c r="J675">
        <f>I675-I674</f>
        <v>12</v>
      </c>
      <c r="K675" t="str">
        <f t="shared" si="62"/>
        <v>W</v>
      </c>
      <c r="L675" t="str">
        <f t="shared" si="63"/>
        <v>Brian</v>
      </c>
      <c r="M675" t="str">
        <f>VLOOKUP(L675,References!$A$2:$B$16,2,FALSE)</f>
        <v>TEXAROK</v>
      </c>
      <c r="N675" s="19" t="str">
        <f>IF(M675=M674,"N","Y")</f>
        <v>N</v>
      </c>
      <c r="O675">
        <f>SUM(I674:I675)</f>
        <v>162</v>
      </c>
      <c r="P675">
        <f t="shared" si="65"/>
        <v>75</v>
      </c>
    </row>
    <row r="676" spans="1:16" hidden="1" x14ac:dyDescent="0.3">
      <c r="A676" t="str">
        <f t="shared" si="64"/>
        <v>2017Brent9</v>
      </c>
      <c r="B676">
        <f t="shared" si="60"/>
        <v>897</v>
      </c>
      <c r="C676">
        <f t="shared" si="61"/>
        <v>1143</v>
      </c>
      <c r="D676" t="s">
        <v>47</v>
      </c>
      <c r="E676" t="str">
        <f>D677</f>
        <v>Abby</v>
      </c>
      <c r="F676">
        <v>2017</v>
      </c>
      <c r="G676">
        <v>9</v>
      </c>
      <c r="H676">
        <v>4.0999999999999996</v>
      </c>
      <c r="I676" s="14">
        <v>87</v>
      </c>
      <c r="J676">
        <f>I676-I677</f>
        <v>5</v>
      </c>
      <c r="K676" t="str">
        <f t="shared" si="62"/>
        <v>W</v>
      </c>
      <c r="L676" t="str">
        <f t="shared" si="63"/>
        <v>Brent</v>
      </c>
      <c r="M676" t="str">
        <f>VLOOKUP(L676,References!$A$2:$B$16,2,FALSE)</f>
        <v>TEXAROK</v>
      </c>
      <c r="N676" s="19" t="str">
        <f>IF(M676=M677,"N","Y")</f>
        <v>Y</v>
      </c>
      <c r="O676">
        <f>SUM(I676:I677)</f>
        <v>169</v>
      </c>
      <c r="P676">
        <f t="shared" si="65"/>
        <v>82</v>
      </c>
    </row>
    <row r="677" spans="1:16" hidden="1" x14ac:dyDescent="0.3">
      <c r="A677" t="str">
        <f t="shared" si="64"/>
        <v>2017Abby9</v>
      </c>
      <c r="B677">
        <f t="shared" si="60"/>
        <v>1177</v>
      </c>
      <c r="C677">
        <f t="shared" si="61"/>
        <v>1318</v>
      </c>
      <c r="D677" t="s">
        <v>27</v>
      </c>
      <c r="E677" t="str">
        <f>D676</f>
        <v>Brent</v>
      </c>
      <c r="F677">
        <v>2017</v>
      </c>
      <c r="G677">
        <v>9</v>
      </c>
      <c r="H677">
        <v>4.2</v>
      </c>
      <c r="I677" s="14">
        <v>82</v>
      </c>
      <c r="J677">
        <f>I677-I676</f>
        <v>-5</v>
      </c>
      <c r="K677" t="str">
        <f t="shared" si="62"/>
        <v>L</v>
      </c>
      <c r="L677" t="str">
        <f t="shared" si="63"/>
        <v>Abby</v>
      </c>
      <c r="M677" t="str">
        <f>VLOOKUP(L677,References!$A$2:$B$16,2,FALSE)</f>
        <v>AKCOVA</v>
      </c>
      <c r="N677" s="19" t="str">
        <f>IF(M677=M676,"N","Y")</f>
        <v>Y</v>
      </c>
      <c r="O677">
        <f>SUM(I676:I677)</f>
        <v>169</v>
      </c>
      <c r="P677">
        <f t="shared" si="65"/>
        <v>87</v>
      </c>
    </row>
    <row r="678" spans="1:16" hidden="1" x14ac:dyDescent="0.3">
      <c r="A678" t="str">
        <f t="shared" si="64"/>
        <v>2017David9</v>
      </c>
      <c r="B678">
        <f t="shared" si="60"/>
        <v>1952</v>
      </c>
      <c r="C678">
        <f t="shared" si="61"/>
        <v>1936</v>
      </c>
      <c r="D678" t="s">
        <v>29</v>
      </c>
      <c r="E678" t="str">
        <f>D679</f>
        <v>BR</v>
      </c>
      <c r="F678">
        <v>2017</v>
      </c>
      <c r="G678">
        <v>9</v>
      </c>
      <c r="H678">
        <v>5.0999999999999996</v>
      </c>
      <c r="I678" s="14">
        <v>60</v>
      </c>
      <c r="J678">
        <f>I678-I679</f>
        <v>-46</v>
      </c>
      <c r="K678" t="str">
        <f t="shared" si="62"/>
        <v>L</v>
      </c>
      <c r="L678" t="str">
        <f t="shared" si="63"/>
        <v>David</v>
      </c>
      <c r="M678" t="str">
        <f>VLOOKUP(L678,References!$A$2:$B$16,2,FALSE)</f>
        <v>TEXAROK</v>
      </c>
      <c r="N678" s="19" t="str">
        <f>IF(M678=M679,"N","Y")</f>
        <v>Y</v>
      </c>
      <c r="O678">
        <f>SUM(I678:I679)</f>
        <v>166</v>
      </c>
      <c r="P678">
        <f t="shared" si="65"/>
        <v>106</v>
      </c>
    </row>
    <row r="679" spans="1:16" hidden="1" x14ac:dyDescent="0.3">
      <c r="A679" t="str">
        <f t="shared" si="64"/>
        <v>2017BR9</v>
      </c>
      <c r="B679">
        <f t="shared" si="60"/>
        <v>130</v>
      </c>
      <c r="C679">
        <f t="shared" si="61"/>
        <v>509</v>
      </c>
      <c r="D679" t="s">
        <v>25</v>
      </c>
      <c r="E679" t="str">
        <f>D678</f>
        <v>David</v>
      </c>
      <c r="F679">
        <v>2017</v>
      </c>
      <c r="G679">
        <v>9</v>
      </c>
      <c r="H679">
        <v>5.2</v>
      </c>
      <c r="I679" s="14">
        <v>106</v>
      </c>
      <c r="J679">
        <f>I679-I678</f>
        <v>46</v>
      </c>
      <c r="K679" t="str">
        <f t="shared" si="62"/>
        <v>W</v>
      </c>
      <c r="L679" t="str">
        <f t="shared" si="63"/>
        <v>BR</v>
      </c>
      <c r="M679" t="str">
        <f>VLOOKUP(L679,References!$A$2:$B$16,2,FALSE)</f>
        <v>AKCOVA</v>
      </c>
      <c r="N679" s="19" t="str">
        <f>IF(M679=M678,"N","Y")</f>
        <v>Y</v>
      </c>
      <c r="O679">
        <f>SUM(I678:I679)</f>
        <v>166</v>
      </c>
      <c r="P679">
        <f t="shared" si="65"/>
        <v>60</v>
      </c>
    </row>
    <row r="680" spans="1:16" hidden="1" x14ac:dyDescent="0.3">
      <c r="A680" t="str">
        <f t="shared" si="64"/>
        <v>2017Emily9</v>
      </c>
      <c r="B680">
        <f t="shared" si="60"/>
        <v>517</v>
      </c>
      <c r="C680">
        <f t="shared" si="61"/>
        <v>1318</v>
      </c>
      <c r="D680" t="s">
        <v>43</v>
      </c>
      <c r="E680" t="str">
        <f>D681</f>
        <v>Watty</v>
      </c>
      <c r="F680">
        <v>2017</v>
      </c>
      <c r="G680">
        <v>9</v>
      </c>
      <c r="H680">
        <v>6.1</v>
      </c>
      <c r="I680" s="14">
        <v>82</v>
      </c>
      <c r="J680">
        <f>I680-I681</f>
        <v>20</v>
      </c>
      <c r="K680" t="str">
        <f t="shared" si="62"/>
        <v>W</v>
      </c>
      <c r="L680" t="str">
        <f t="shared" si="63"/>
        <v>Emily</v>
      </c>
      <c r="M680" t="str">
        <f>VLOOKUP(L680,References!$A$2:$B$16,2,FALSE)</f>
        <v>TEXAROK</v>
      </c>
      <c r="N680" s="19" t="str">
        <f>IF(M680=M681,"N","Y")</f>
        <v>Y</v>
      </c>
      <c r="O680">
        <f>SUM(I680:I681)</f>
        <v>144</v>
      </c>
      <c r="P680">
        <f t="shared" si="65"/>
        <v>62</v>
      </c>
    </row>
    <row r="681" spans="1:16" hidden="1" x14ac:dyDescent="0.3">
      <c r="A681" t="str">
        <f t="shared" si="64"/>
        <v>2017Watty9</v>
      </c>
      <c r="B681">
        <f t="shared" si="60"/>
        <v>1546</v>
      </c>
      <c r="C681">
        <f t="shared" si="61"/>
        <v>1910</v>
      </c>
      <c r="D681" t="s">
        <v>24</v>
      </c>
      <c r="E681" t="str">
        <f>D680</f>
        <v>Emily</v>
      </c>
      <c r="F681">
        <v>2017</v>
      </c>
      <c r="G681">
        <v>9</v>
      </c>
      <c r="H681">
        <v>6.2</v>
      </c>
      <c r="I681" s="14">
        <v>62</v>
      </c>
      <c r="J681">
        <f>I681-I680</f>
        <v>-20</v>
      </c>
      <c r="K681" t="str">
        <f t="shared" si="62"/>
        <v>L</v>
      </c>
      <c r="L681" t="str">
        <f t="shared" si="63"/>
        <v>Watty</v>
      </c>
      <c r="M681" t="str">
        <f>VLOOKUP(L681,References!$A$2:$B$16,2,FALSE)</f>
        <v>AKCOVA</v>
      </c>
      <c r="N681" s="19" t="str">
        <f>IF(M681=M680,"N","Y")</f>
        <v>Y</v>
      </c>
      <c r="O681">
        <f>SUM(I680:I681)</f>
        <v>144</v>
      </c>
      <c r="P681">
        <f t="shared" si="65"/>
        <v>82</v>
      </c>
    </row>
    <row r="682" spans="1:16" hidden="1" x14ac:dyDescent="0.3">
      <c r="A682" t="str">
        <f t="shared" si="64"/>
        <v>2017BR10</v>
      </c>
      <c r="B682">
        <f t="shared" si="60"/>
        <v>1577</v>
      </c>
      <c r="C682">
        <f t="shared" si="61"/>
        <v>1910</v>
      </c>
      <c r="D682" t="s">
        <v>25</v>
      </c>
      <c r="E682" t="str">
        <f>D683</f>
        <v>Michael</v>
      </c>
      <c r="F682">
        <v>2017</v>
      </c>
      <c r="G682">
        <v>10</v>
      </c>
      <c r="H682">
        <v>1.1000000000000001</v>
      </c>
      <c r="I682" s="14">
        <v>62</v>
      </c>
      <c r="J682">
        <f>I682-I683</f>
        <v>-21</v>
      </c>
      <c r="K682" t="str">
        <f t="shared" si="62"/>
        <v>L</v>
      </c>
      <c r="L682" t="str">
        <f t="shared" si="63"/>
        <v>BR</v>
      </c>
      <c r="M682" t="str">
        <f>VLOOKUP(L682,References!$A$2:$B$16,2,FALSE)</f>
        <v>AKCOVA</v>
      </c>
      <c r="N682" s="19" t="str">
        <f>IF(M682=M683,"N","Y")</f>
        <v>N</v>
      </c>
      <c r="O682">
        <f>SUM(I682:I683)</f>
        <v>145</v>
      </c>
      <c r="P682">
        <f t="shared" si="65"/>
        <v>83</v>
      </c>
    </row>
    <row r="683" spans="1:16" hidden="1" x14ac:dyDescent="0.3">
      <c r="A683" t="str">
        <f t="shared" si="64"/>
        <v>2017Michael10</v>
      </c>
      <c r="B683">
        <f t="shared" si="60"/>
        <v>489</v>
      </c>
      <c r="C683">
        <f t="shared" si="61"/>
        <v>1282</v>
      </c>
      <c r="D683" t="s">
        <v>23</v>
      </c>
      <c r="E683" t="str">
        <f>D682</f>
        <v>BR</v>
      </c>
      <c r="F683">
        <v>2017</v>
      </c>
      <c r="G683">
        <v>10</v>
      </c>
      <c r="H683">
        <v>1.2</v>
      </c>
      <c r="I683" s="14">
        <v>83</v>
      </c>
      <c r="J683">
        <f>I683-I682</f>
        <v>21</v>
      </c>
      <c r="K683" t="str">
        <f t="shared" si="62"/>
        <v>W</v>
      </c>
      <c r="L683" t="str">
        <f t="shared" si="63"/>
        <v>Michael</v>
      </c>
      <c r="M683" t="str">
        <f>VLOOKUP(L683,References!$A$2:$B$16,2,FALSE)</f>
        <v>AKCOVA</v>
      </c>
      <c r="N683" s="19" t="str">
        <f>IF(M683=M682,"N","Y")</f>
        <v>N</v>
      </c>
      <c r="O683">
        <f>SUM(I682:I683)</f>
        <v>145</v>
      </c>
      <c r="P683">
        <f t="shared" si="65"/>
        <v>62</v>
      </c>
    </row>
    <row r="684" spans="1:16" hidden="1" x14ac:dyDescent="0.3">
      <c r="A684" t="str">
        <f t="shared" si="64"/>
        <v>2017Mark10</v>
      </c>
      <c r="B684">
        <f t="shared" si="60"/>
        <v>1040</v>
      </c>
      <c r="C684">
        <f t="shared" si="61"/>
        <v>1027</v>
      </c>
      <c r="D684" t="s">
        <v>22</v>
      </c>
      <c r="E684" t="str">
        <f>D685</f>
        <v>David</v>
      </c>
      <c r="F684">
        <v>2017</v>
      </c>
      <c r="G684">
        <v>10</v>
      </c>
      <c r="H684">
        <v>2.1</v>
      </c>
      <c r="I684" s="14">
        <v>90</v>
      </c>
      <c r="J684">
        <f>I684-I685</f>
        <v>0</v>
      </c>
      <c r="K684" t="str">
        <f t="shared" si="62"/>
        <v>T</v>
      </c>
      <c r="L684" t="str">
        <f t="shared" si="63"/>
        <v>Mark</v>
      </c>
      <c r="M684" t="str">
        <f>VLOOKUP(L684,References!$A$2:$B$16,2,FALSE)</f>
        <v>AKCOVA</v>
      </c>
      <c r="N684" s="19" t="str">
        <f>IF(M684=M685,"N","Y")</f>
        <v>Y</v>
      </c>
      <c r="O684">
        <f>SUM(I684:I685)</f>
        <v>180</v>
      </c>
      <c r="P684">
        <f t="shared" si="65"/>
        <v>90</v>
      </c>
    </row>
    <row r="685" spans="1:16" hidden="1" x14ac:dyDescent="0.3">
      <c r="A685" t="str">
        <f t="shared" si="64"/>
        <v>2017David10</v>
      </c>
      <c r="B685">
        <f t="shared" si="60"/>
        <v>1040</v>
      </c>
      <c r="C685">
        <f t="shared" si="61"/>
        <v>1027</v>
      </c>
      <c r="D685" t="s">
        <v>29</v>
      </c>
      <c r="E685" t="str">
        <f>D684</f>
        <v>Mark</v>
      </c>
      <c r="F685">
        <v>2017</v>
      </c>
      <c r="G685">
        <v>10</v>
      </c>
      <c r="H685">
        <v>2.2000000000000002</v>
      </c>
      <c r="I685" s="14">
        <v>90</v>
      </c>
      <c r="J685">
        <f>I685-I684</f>
        <v>0</v>
      </c>
      <c r="K685" t="str">
        <f t="shared" si="62"/>
        <v>T</v>
      </c>
      <c r="L685" t="str">
        <f t="shared" si="63"/>
        <v>David</v>
      </c>
      <c r="M685" t="str">
        <f>VLOOKUP(L685,References!$A$2:$B$16,2,FALSE)</f>
        <v>TEXAROK</v>
      </c>
      <c r="N685" s="19" t="str">
        <f>IF(M685=M684,"N","Y")</f>
        <v>Y</v>
      </c>
      <c r="O685">
        <f>SUM(I684:I685)</f>
        <v>180</v>
      </c>
      <c r="P685">
        <f t="shared" si="65"/>
        <v>90</v>
      </c>
    </row>
    <row r="686" spans="1:16" hidden="1" x14ac:dyDescent="0.3">
      <c r="A686" t="str">
        <f t="shared" si="64"/>
        <v>2017Brian10</v>
      </c>
      <c r="B686">
        <f t="shared" si="60"/>
        <v>836</v>
      </c>
      <c r="C686">
        <f t="shared" si="61"/>
        <v>1738</v>
      </c>
      <c r="D686" t="s">
        <v>26</v>
      </c>
      <c r="E686" t="str">
        <f>D687</f>
        <v>Emily</v>
      </c>
      <c r="F686">
        <v>2017</v>
      </c>
      <c r="G686">
        <v>10</v>
      </c>
      <c r="H686">
        <v>3.1</v>
      </c>
      <c r="I686" s="14">
        <v>70</v>
      </c>
      <c r="J686">
        <f>I686-I687</f>
        <v>7</v>
      </c>
      <c r="K686" t="str">
        <f t="shared" si="62"/>
        <v>W</v>
      </c>
      <c r="L686" t="str">
        <f t="shared" si="63"/>
        <v>Brian</v>
      </c>
      <c r="M686" t="str">
        <f>VLOOKUP(L686,References!$A$2:$B$16,2,FALSE)</f>
        <v>TEXAROK</v>
      </c>
      <c r="N686" s="19" t="str">
        <f>IF(M686=M687,"N","Y")</f>
        <v>N</v>
      </c>
      <c r="O686">
        <f>SUM(I686:I687)</f>
        <v>133</v>
      </c>
      <c r="P686">
        <f t="shared" si="65"/>
        <v>63</v>
      </c>
    </row>
    <row r="687" spans="1:16" hidden="1" x14ac:dyDescent="0.3">
      <c r="A687" t="str">
        <f t="shared" si="64"/>
        <v>2017Emily10</v>
      </c>
      <c r="B687">
        <f t="shared" si="60"/>
        <v>1229</v>
      </c>
      <c r="C687">
        <f t="shared" si="61"/>
        <v>1885</v>
      </c>
      <c r="D687" t="s">
        <v>43</v>
      </c>
      <c r="E687" t="str">
        <f>D686</f>
        <v>Brian</v>
      </c>
      <c r="F687">
        <v>2017</v>
      </c>
      <c r="G687">
        <v>10</v>
      </c>
      <c r="H687">
        <v>3.2</v>
      </c>
      <c r="I687" s="14">
        <v>63</v>
      </c>
      <c r="J687">
        <f>I687-I686</f>
        <v>-7</v>
      </c>
      <c r="K687" t="str">
        <f t="shared" si="62"/>
        <v>L</v>
      </c>
      <c r="L687" t="str">
        <f t="shared" si="63"/>
        <v>Emily</v>
      </c>
      <c r="M687" t="str">
        <f>VLOOKUP(L687,References!$A$2:$B$16,2,FALSE)</f>
        <v>TEXAROK</v>
      </c>
      <c r="N687" s="19" t="str">
        <f>IF(M687=M686,"N","Y")</f>
        <v>N</v>
      </c>
      <c r="O687">
        <f>SUM(I686:I687)</f>
        <v>133</v>
      </c>
      <c r="P687">
        <f t="shared" si="65"/>
        <v>70</v>
      </c>
    </row>
    <row r="688" spans="1:16" hidden="1" x14ac:dyDescent="0.3">
      <c r="A688" t="str">
        <f t="shared" si="64"/>
        <v>2017Abby10</v>
      </c>
      <c r="B688">
        <f t="shared" si="60"/>
        <v>78</v>
      </c>
      <c r="C688">
        <f t="shared" si="61"/>
        <v>321</v>
      </c>
      <c r="D688" t="s">
        <v>27</v>
      </c>
      <c r="E688" t="str">
        <f>D689</f>
        <v>Russell</v>
      </c>
      <c r="F688">
        <v>2017</v>
      </c>
      <c r="G688">
        <v>10</v>
      </c>
      <c r="H688">
        <v>4.0999999999999996</v>
      </c>
      <c r="I688" s="14">
        <v>114</v>
      </c>
      <c r="J688">
        <f>I688-I689</f>
        <v>55</v>
      </c>
      <c r="K688" t="str">
        <f t="shared" si="62"/>
        <v>W</v>
      </c>
      <c r="L688" t="str">
        <f t="shared" si="63"/>
        <v>Abby</v>
      </c>
      <c r="M688" t="str">
        <f>VLOOKUP(L688,References!$A$2:$B$16,2,FALSE)</f>
        <v>AKCOVA</v>
      </c>
      <c r="N688" s="19" t="str">
        <f>IF(M688=M689,"N","Y")</f>
        <v>Y</v>
      </c>
      <c r="O688">
        <f>SUM(I688:I689)</f>
        <v>173</v>
      </c>
      <c r="P688">
        <f t="shared" si="65"/>
        <v>59</v>
      </c>
    </row>
    <row r="689" spans="1:16" hidden="1" x14ac:dyDescent="0.3">
      <c r="A689" t="str">
        <f t="shared" si="64"/>
        <v>2017Russell10</v>
      </c>
      <c r="B689">
        <f t="shared" si="60"/>
        <v>2009</v>
      </c>
      <c r="C689">
        <f t="shared" si="61"/>
        <v>1951</v>
      </c>
      <c r="D689" t="s">
        <v>28</v>
      </c>
      <c r="E689" t="str">
        <f>D688</f>
        <v>Abby</v>
      </c>
      <c r="F689">
        <v>2017</v>
      </c>
      <c r="G689">
        <v>10</v>
      </c>
      <c r="H689">
        <v>4.2</v>
      </c>
      <c r="I689" s="14">
        <v>59</v>
      </c>
      <c r="J689">
        <f>I689-I688</f>
        <v>-55</v>
      </c>
      <c r="K689" t="str">
        <f t="shared" si="62"/>
        <v>L</v>
      </c>
      <c r="L689" t="str">
        <f t="shared" si="63"/>
        <v>Russell</v>
      </c>
      <c r="M689" t="str">
        <f>VLOOKUP(L689,References!$A$2:$B$16,2,FALSE)</f>
        <v>TEXAROK</v>
      </c>
      <c r="N689" s="19" t="str">
        <f>IF(M689=M688,"N","Y")</f>
        <v>Y</v>
      </c>
      <c r="O689">
        <f>SUM(I688:I689)</f>
        <v>173</v>
      </c>
      <c r="P689">
        <f t="shared" si="65"/>
        <v>114</v>
      </c>
    </row>
    <row r="690" spans="1:16" hidden="1" x14ac:dyDescent="0.3">
      <c r="A690" t="str">
        <f t="shared" si="64"/>
        <v>2017Charles10</v>
      </c>
      <c r="B690">
        <f t="shared" si="60"/>
        <v>548</v>
      </c>
      <c r="C690">
        <f t="shared" si="61"/>
        <v>1027</v>
      </c>
      <c r="D690" t="s">
        <v>48</v>
      </c>
      <c r="E690" t="str">
        <f>D691</f>
        <v>Matt</v>
      </c>
      <c r="F690">
        <v>2017</v>
      </c>
      <c r="G690">
        <v>10</v>
      </c>
      <c r="H690">
        <v>5.0999999999999996</v>
      </c>
      <c r="I690" s="14">
        <v>90</v>
      </c>
      <c r="J690">
        <f>I690-I691</f>
        <v>19</v>
      </c>
      <c r="K690" t="str">
        <f t="shared" si="62"/>
        <v>W</v>
      </c>
      <c r="L690" t="str">
        <f t="shared" si="63"/>
        <v>Charles</v>
      </c>
      <c r="M690" t="str">
        <f>VLOOKUP(L690,References!$A$2:$B$16,2,FALSE)</f>
        <v>AKCOVA</v>
      </c>
      <c r="N690" s="19" t="str">
        <f>IF(M690=M691,"N","Y")</f>
        <v>Y</v>
      </c>
      <c r="O690">
        <f>SUM(I690:I691)</f>
        <v>161</v>
      </c>
      <c r="P690">
        <f t="shared" si="65"/>
        <v>71</v>
      </c>
    </row>
    <row r="691" spans="1:16" hidden="1" x14ac:dyDescent="0.3">
      <c r="A691" t="str">
        <f t="shared" si="64"/>
        <v>2017Matt10</v>
      </c>
      <c r="B691">
        <f t="shared" si="60"/>
        <v>1523</v>
      </c>
      <c r="C691">
        <f t="shared" si="61"/>
        <v>1717</v>
      </c>
      <c r="D691" t="s">
        <v>30</v>
      </c>
      <c r="E691" t="str">
        <f>D690</f>
        <v>Charles</v>
      </c>
      <c r="F691">
        <v>2017</v>
      </c>
      <c r="G691">
        <v>10</v>
      </c>
      <c r="H691">
        <v>5.2</v>
      </c>
      <c r="I691" s="14">
        <v>71</v>
      </c>
      <c r="J691">
        <f>I691-I690</f>
        <v>-19</v>
      </c>
      <c r="K691" t="str">
        <f t="shared" si="62"/>
        <v>L</v>
      </c>
      <c r="L691" t="str">
        <f t="shared" si="63"/>
        <v>Matt</v>
      </c>
      <c r="M691" t="str">
        <f>VLOOKUP(L691,References!$A$2:$B$16,2,FALSE)</f>
        <v>TEXAROK</v>
      </c>
      <c r="N691" s="19" t="str">
        <f>IF(M691=M690,"N","Y")</f>
        <v>Y</v>
      </c>
      <c r="O691">
        <f>SUM(I690:I691)</f>
        <v>161</v>
      </c>
      <c r="P691">
        <f t="shared" si="65"/>
        <v>90</v>
      </c>
    </row>
    <row r="692" spans="1:16" hidden="1" x14ac:dyDescent="0.3">
      <c r="A692" t="str">
        <f t="shared" si="64"/>
        <v>2017Watty10</v>
      </c>
      <c r="B692">
        <f t="shared" si="60"/>
        <v>1055</v>
      </c>
      <c r="C692">
        <f t="shared" si="61"/>
        <v>1648</v>
      </c>
      <c r="D692" t="s">
        <v>24</v>
      </c>
      <c r="E692" t="str">
        <f>D693</f>
        <v>Brent</v>
      </c>
      <c r="F692">
        <v>2017</v>
      </c>
      <c r="G692">
        <v>10</v>
      </c>
      <c r="H692">
        <v>6.1</v>
      </c>
      <c r="I692" s="14">
        <v>73</v>
      </c>
      <c r="J692">
        <f>I692-I693</f>
        <v>-1</v>
      </c>
      <c r="K692" t="str">
        <f t="shared" si="62"/>
        <v>L</v>
      </c>
      <c r="L692" t="str">
        <f t="shared" si="63"/>
        <v>Watty</v>
      </c>
      <c r="M692" t="str">
        <f>VLOOKUP(L692,References!$A$2:$B$16,2,FALSE)</f>
        <v>AKCOVA</v>
      </c>
      <c r="N692" s="19" t="str">
        <f>IF(M692=M693,"N","Y")</f>
        <v>Y</v>
      </c>
      <c r="O692">
        <f>SUM(I692:I693)</f>
        <v>147</v>
      </c>
      <c r="P692">
        <f t="shared" si="65"/>
        <v>74</v>
      </c>
    </row>
    <row r="693" spans="1:16" hidden="1" x14ac:dyDescent="0.3">
      <c r="A693" t="str">
        <f t="shared" si="64"/>
        <v>2017Brent10</v>
      </c>
      <c r="B693">
        <f t="shared" si="60"/>
        <v>1004</v>
      </c>
      <c r="C693">
        <f t="shared" si="61"/>
        <v>1618</v>
      </c>
      <c r="D693" t="s">
        <v>47</v>
      </c>
      <c r="E693" t="str">
        <f>D692</f>
        <v>Watty</v>
      </c>
      <c r="F693">
        <v>2017</v>
      </c>
      <c r="G693">
        <v>10</v>
      </c>
      <c r="H693">
        <v>6.2</v>
      </c>
      <c r="I693" s="14">
        <v>74</v>
      </c>
      <c r="J693">
        <f>I693-I692</f>
        <v>1</v>
      </c>
      <c r="K693" t="str">
        <f t="shared" si="62"/>
        <v>W</v>
      </c>
      <c r="L693" t="str">
        <f t="shared" si="63"/>
        <v>Brent</v>
      </c>
      <c r="M693" t="str">
        <f>VLOOKUP(L693,References!$A$2:$B$16,2,FALSE)</f>
        <v>TEXAROK</v>
      </c>
      <c r="N693" s="19" t="str">
        <f>IF(M693=M692,"N","Y")</f>
        <v>Y</v>
      </c>
      <c r="O693">
        <f>SUM(I692:I693)</f>
        <v>147</v>
      </c>
      <c r="P693">
        <f t="shared" si="65"/>
        <v>73</v>
      </c>
    </row>
    <row r="694" spans="1:16" hidden="1" x14ac:dyDescent="0.3">
      <c r="A694" t="str">
        <f t="shared" si="64"/>
        <v>2017Michael11</v>
      </c>
      <c r="B694">
        <f t="shared" si="60"/>
        <v>173</v>
      </c>
      <c r="C694">
        <f t="shared" si="61"/>
        <v>893</v>
      </c>
      <c r="D694" t="s">
        <v>23</v>
      </c>
      <c r="E694" t="str">
        <f>D695</f>
        <v>Mark</v>
      </c>
      <c r="F694">
        <v>2017</v>
      </c>
      <c r="G694">
        <v>11</v>
      </c>
      <c r="H694">
        <v>1.1000000000000001</v>
      </c>
      <c r="I694" s="14">
        <v>94</v>
      </c>
      <c r="J694">
        <f>I694-I695</f>
        <v>42</v>
      </c>
      <c r="K694" t="str">
        <f t="shared" si="62"/>
        <v>W</v>
      </c>
      <c r="L694" t="str">
        <f t="shared" si="63"/>
        <v>Michael</v>
      </c>
      <c r="M694" t="str">
        <f>VLOOKUP(L694,References!$A$2:$B$16,2,FALSE)</f>
        <v>AKCOVA</v>
      </c>
      <c r="N694" s="19" t="str">
        <f>IF(M694=M695,"N","Y")</f>
        <v>N</v>
      </c>
      <c r="O694">
        <f>SUM(I694:I695)</f>
        <v>146</v>
      </c>
      <c r="P694">
        <f t="shared" si="65"/>
        <v>52</v>
      </c>
    </row>
    <row r="695" spans="1:16" hidden="1" x14ac:dyDescent="0.3">
      <c r="A695" t="str">
        <f t="shared" si="64"/>
        <v>2017Mark11</v>
      </c>
      <c r="B695">
        <f t="shared" si="60"/>
        <v>1914</v>
      </c>
      <c r="C695">
        <f t="shared" si="61"/>
        <v>2034</v>
      </c>
      <c r="D695" t="s">
        <v>22</v>
      </c>
      <c r="E695" t="str">
        <f>D694</f>
        <v>Michael</v>
      </c>
      <c r="F695">
        <v>2017</v>
      </c>
      <c r="G695">
        <v>11</v>
      </c>
      <c r="H695">
        <v>1.2</v>
      </c>
      <c r="I695" s="14">
        <v>52</v>
      </c>
      <c r="J695">
        <f>I695-I694</f>
        <v>-42</v>
      </c>
      <c r="K695" t="str">
        <f t="shared" si="62"/>
        <v>L</v>
      </c>
      <c r="L695" t="str">
        <f t="shared" si="63"/>
        <v>Mark</v>
      </c>
      <c r="M695" t="str">
        <f>VLOOKUP(L695,References!$A$2:$B$16,2,FALSE)</f>
        <v>AKCOVA</v>
      </c>
      <c r="N695" s="19" t="str">
        <f>IF(M695=M694,"N","Y")</f>
        <v>N</v>
      </c>
      <c r="O695">
        <f>SUM(I694:I695)</f>
        <v>146</v>
      </c>
      <c r="P695">
        <f t="shared" si="65"/>
        <v>94</v>
      </c>
    </row>
    <row r="696" spans="1:16" hidden="1" x14ac:dyDescent="0.3">
      <c r="A696" t="str">
        <f t="shared" si="64"/>
        <v>2017Matt11</v>
      </c>
      <c r="B696">
        <f t="shared" si="60"/>
        <v>433</v>
      </c>
      <c r="C696">
        <f t="shared" si="61"/>
        <v>1468</v>
      </c>
      <c r="D696" t="s">
        <v>30</v>
      </c>
      <c r="E696" t="str">
        <f>D697</f>
        <v>BR</v>
      </c>
      <c r="F696">
        <v>2017</v>
      </c>
      <c r="G696">
        <v>11</v>
      </c>
      <c r="H696">
        <v>2.1</v>
      </c>
      <c r="I696" s="14">
        <v>78</v>
      </c>
      <c r="J696">
        <f>I696-I697</f>
        <v>24</v>
      </c>
      <c r="K696" t="str">
        <f t="shared" si="62"/>
        <v>W</v>
      </c>
      <c r="L696" t="str">
        <f t="shared" si="63"/>
        <v>Matt</v>
      </c>
      <c r="M696" t="str">
        <f>VLOOKUP(L696,References!$A$2:$B$16,2,FALSE)</f>
        <v>TEXAROK</v>
      </c>
      <c r="N696" s="19" t="str">
        <f>IF(M696=M697,"N","Y")</f>
        <v>Y</v>
      </c>
      <c r="O696">
        <f>SUM(I696:I697)</f>
        <v>132</v>
      </c>
      <c r="P696">
        <f t="shared" si="65"/>
        <v>54</v>
      </c>
    </row>
    <row r="697" spans="1:16" hidden="1" x14ac:dyDescent="0.3">
      <c r="A697" t="str">
        <f t="shared" si="64"/>
        <v>2017BR11</v>
      </c>
      <c r="B697">
        <f t="shared" si="60"/>
        <v>1644</v>
      </c>
      <c r="C697">
        <f t="shared" si="61"/>
        <v>2017</v>
      </c>
      <c r="D697" t="s">
        <v>25</v>
      </c>
      <c r="E697" t="str">
        <f>D696</f>
        <v>Matt</v>
      </c>
      <c r="F697">
        <v>2017</v>
      </c>
      <c r="G697">
        <v>11</v>
      </c>
      <c r="H697">
        <v>2.2000000000000002</v>
      </c>
      <c r="I697" s="14">
        <v>54</v>
      </c>
      <c r="J697">
        <f>I697-I696</f>
        <v>-24</v>
      </c>
      <c r="K697" t="str">
        <f t="shared" si="62"/>
        <v>L</v>
      </c>
      <c r="L697" t="str">
        <f t="shared" si="63"/>
        <v>BR</v>
      </c>
      <c r="M697" t="str">
        <f>VLOOKUP(L697,References!$A$2:$B$16,2,FALSE)</f>
        <v>AKCOVA</v>
      </c>
      <c r="N697" s="19" t="str">
        <f>IF(M697=M696,"N","Y")</f>
        <v>Y</v>
      </c>
      <c r="O697">
        <f>SUM(I696:I697)</f>
        <v>132</v>
      </c>
      <c r="P697">
        <f t="shared" si="65"/>
        <v>78</v>
      </c>
    </row>
    <row r="698" spans="1:16" hidden="1" x14ac:dyDescent="0.3">
      <c r="A698" t="str">
        <f t="shared" si="64"/>
        <v>2017Brent11</v>
      </c>
      <c r="B698">
        <f t="shared" si="60"/>
        <v>1117</v>
      </c>
      <c r="C698">
        <f t="shared" si="61"/>
        <v>893</v>
      </c>
      <c r="D698" t="s">
        <v>47</v>
      </c>
      <c r="E698" t="str">
        <f>D699</f>
        <v>Brian</v>
      </c>
      <c r="F698">
        <v>2017</v>
      </c>
      <c r="G698">
        <v>11</v>
      </c>
      <c r="H698">
        <v>3.1</v>
      </c>
      <c r="I698" s="14">
        <v>94</v>
      </c>
      <c r="J698">
        <f>I698-I699</f>
        <v>-3</v>
      </c>
      <c r="K698" t="str">
        <f t="shared" si="62"/>
        <v>L</v>
      </c>
      <c r="L698" t="str">
        <f t="shared" si="63"/>
        <v>Brent</v>
      </c>
      <c r="M698" t="str">
        <f>VLOOKUP(L698,References!$A$2:$B$16,2,FALSE)</f>
        <v>TEXAROK</v>
      </c>
      <c r="N698" s="19" t="str">
        <f>IF(M698=M699,"N","Y")</f>
        <v>N</v>
      </c>
      <c r="O698">
        <f>SUM(I698:I699)</f>
        <v>191</v>
      </c>
      <c r="P698">
        <f t="shared" si="65"/>
        <v>97</v>
      </c>
    </row>
    <row r="699" spans="1:16" hidden="1" x14ac:dyDescent="0.3">
      <c r="A699" t="str">
        <f t="shared" si="64"/>
        <v>2017Brian11</v>
      </c>
      <c r="B699">
        <f t="shared" si="60"/>
        <v>949</v>
      </c>
      <c r="C699">
        <f t="shared" si="61"/>
        <v>777</v>
      </c>
      <c r="D699" t="s">
        <v>26</v>
      </c>
      <c r="E699" t="str">
        <f>D698</f>
        <v>Brent</v>
      </c>
      <c r="F699">
        <v>2017</v>
      </c>
      <c r="G699">
        <v>11</v>
      </c>
      <c r="H699">
        <v>3.2</v>
      </c>
      <c r="I699" s="14">
        <v>97</v>
      </c>
      <c r="J699">
        <f>I699-I698</f>
        <v>3</v>
      </c>
      <c r="K699" t="str">
        <f t="shared" si="62"/>
        <v>W</v>
      </c>
      <c r="L699" t="str">
        <f t="shared" si="63"/>
        <v>Brian</v>
      </c>
      <c r="M699" t="str">
        <f>VLOOKUP(L699,References!$A$2:$B$16,2,FALSE)</f>
        <v>TEXAROK</v>
      </c>
      <c r="N699" s="19" t="str">
        <f>IF(M699=M698,"N","Y")</f>
        <v>N</v>
      </c>
      <c r="O699">
        <f>SUM(I698:I699)</f>
        <v>191</v>
      </c>
      <c r="P699">
        <f t="shared" si="65"/>
        <v>94</v>
      </c>
    </row>
    <row r="700" spans="1:16" hidden="1" x14ac:dyDescent="0.3">
      <c r="A700" t="str">
        <f t="shared" si="64"/>
        <v>2017David11</v>
      </c>
      <c r="B700">
        <f t="shared" si="60"/>
        <v>1952</v>
      </c>
      <c r="C700">
        <f t="shared" si="61"/>
        <v>1318</v>
      </c>
      <c r="D700" t="s">
        <v>29</v>
      </c>
      <c r="E700" t="str">
        <f>D701</f>
        <v>Abby</v>
      </c>
      <c r="F700">
        <v>2017</v>
      </c>
      <c r="G700">
        <v>11</v>
      </c>
      <c r="H700">
        <v>4.0999999999999996</v>
      </c>
      <c r="I700" s="14">
        <v>82</v>
      </c>
      <c r="J700">
        <f>I700-I701</f>
        <v>-46</v>
      </c>
      <c r="K700" t="str">
        <f t="shared" si="62"/>
        <v>L</v>
      </c>
      <c r="L700" t="str">
        <f t="shared" si="63"/>
        <v>David</v>
      </c>
      <c r="M700" t="str">
        <f>VLOOKUP(L700,References!$A$2:$B$16,2,FALSE)</f>
        <v>TEXAROK</v>
      </c>
      <c r="N700" s="19" t="str">
        <f>IF(M700=M701,"N","Y")</f>
        <v>Y</v>
      </c>
      <c r="O700">
        <f>SUM(I700:I701)</f>
        <v>210</v>
      </c>
      <c r="P700">
        <f t="shared" si="65"/>
        <v>128</v>
      </c>
    </row>
    <row r="701" spans="1:16" hidden="1" x14ac:dyDescent="0.3">
      <c r="A701" t="str">
        <f t="shared" si="64"/>
        <v>2017Abby11</v>
      </c>
      <c r="B701">
        <f t="shared" si="60"/>
        <v>130</v>
      </c>
      <c r="C701">
        <f t="shared" si="61"/>
        <v>128</v>
      </c>
      <c r="D701" t="s">
        <v>27</v>
      </c>
      <c r="E701" t="str">
        <f>D700</f>
        <v>David</v>
      </c>
      <c r="F701">
        <v>2017</v>
      </c>
      <c r="G701">
        <v>11</v>
      </c>
      <c r="H701">
        <v>4.2</v>
      </c>
      <c r="I701" s="14">
        <v>128</v>
      </c>
      <c r="J701">
        <f>I701-I700</f>
        <v>46</v>
      </c>
      <c r="K701" t="str">
        <f t="shared" si="62"/>
        <v>W</v>
      </c>
      <c r="L701" t="str">
        <f t="shared" si="63"/>
        <v>Abby</v>
      </c>
      <c r="M701" t="str">
        <f>VLOOKUP(L701,References!$A$2:$B$16,2,FALSE)</f>
        <v>AKCOVA</v>
      </c>
      <c r="N701" s="19" t="str">
        <f>IF(M701=M700,"N","Y")</f>
        <v>Y</v>
      </c>
      <c r="O701">
        <f>SUM(I700:I701)</f>
        <v>210</v>
      </c>
      <c r="P701">
        <f t="shared" si="65"/>
        <v>82</v>
      </c>
    </row>
    <row r="702" spans="1:16" hidden="1" x14ac:dyDescent="0.3">
      <c r="A702" t="str">
        <f t="shared" si="64"/>
        <v>2017Emily11</v>
      </c>
      <c r="B702">
        <f t="shared" si="60"/>
        <v>2009</v>
      </c>
      <c r="C702">
        <f t="shared" si="61"/>
        <v>1717</v>
      </c>
      <c r="D702" t="s">
        <v>43</v>
      </c>
      <c r="E702" t="str">
        <f>D703</f>
        <v>Charles</v>
      </c>
      <c r="F702">
        <v>2017</v>
      </c>
      <c r="G702">
        <v>11</v>
      </c>
      <c r="H702">
        <v>5.0999999999999996</v>
      </c>
      <c r="I702" s="14">
        <v>71</v>
      </c>
      <c r="J702">
        <f>I702-I703</f>
        <v>-55</v>
      </c>
      <c r="K702" t="str">
        <f t="shared" si="62"/>
        <v>L</v>
      </c>
      <c r="L702" t="str">
        <f t="shared" si="63"/>
        <v>Emily</v>
      </c>
      <c r="M702" t="str">
        <f>VLOOKUP(L702,References!$A$2:$B$16,2,FALSE)</f>
        <v>TEXAROK</v>
      </c>
      <c r="N702" s="19" t="str">
        <f>IF(M702=M703,"N","Y")</f>
        <v>Y</v>
      </c>
      <c r="O702">
        <f>SUM(I702:I703)</f>
        <v>197</v>
      </c>
      <c r="P702">
        <f t="shared" si="65"/>
        <v>126</v>
      </c>
    </row>
    <row r="703" spans="1:16" hidden="1" x14ac:dyDescent="0.3">
      <c r="A703" t="str">
        <f t="shared" si="64"/>
        <v>2017Charles11</v>
      </c>
      <c r="B703">
        <f t="shared" si="60"/>
        <v>78</v>
      </c>
      <c r="C703">
        <f t="shared" si="61"/>
        <v>150</v>
      </c>
      <c r="D703" t="s">
        <v>48</v>
      </c>
      <c r="E703" t="str">
        <f>D702</f>
        <v>Emily</v>
      </c>
      <c r="F703">
        <v>2017</v>
      </c>
      <c r="G703">
        <v>11</v>
      </c>
      <c r="H703">
        <v>5.2</v>
      </c>
      <c r="I703" s="14">
        <v>126</v>
      </c>
      <c r="J703">
        <f>I703-I702</f>
        <v>55</v>
      </c>
      <c r="K703" t="str">
        <f t="shared" si="62"/>
        <v>W</v>
      </c>
      <c r="L703" t="str">
        <f t="shared" si="63"/>
        <v>Charles</v>
      </c>
      <c r="M703" t="str">
        <f>VLOOKUP(L703,References!$A$2:$B$16,2,FALSE)</f>
        <v>AKCOVA</v>
      </c>
      <c r="N703" s="19" t="str">
        <f>IF(M703=M702,"N","Y")</f>
        <v>Y</v>
      </c>
      <c r="O703">
        <f>SUM(I702:I703)</f>
        <v>197</v>
      </c>
      <c r="P703">
        <f t="shared" si="65"/>
        <v>71</v>
      </c>
    </row>
    <row r="704" spans="1:16" hidden="1" x14ac:dyDescent="0.3">
      <c r="A704" t="str">
        <f t="shared" si="64"/>
        <v>2017Russell11</v>
      </c>
      <c r="B704">
        <f t="shared" si="60"/>
        <v>1357</v>
      </c>
      <c r="C704">
        <f t="shared" si="61"/>
        <v>1853</v>
      </c>
      <c r="D704" t="s">
        <v>28</v>
      </c>
      <c r="E704" t="str">
        <f>D705</f>
        <v>Watty</v>
      </c>
      <c r="F704">
        <v>2017</v>
      </c>
      <c r="G704">
        <v>11</v>
      </c>
      <c r="H704">
        <v>6.1</v>
      </c>
      <c r="I704" s="14">
        <v>65</v>
      </c>
      <c r="J704">
        <f>I704-I705</f>
        <v>-12</v>
      </c>
      <c r="K704" t="str">
        <f t="shared" si="62"/>
        <v>L</v>
      </c>
      <c r="L704" t="str">
        <f t="shared" si="63"/>
        <v>Russell</v>
      </c>
      <c r="M704" t="str">
        <f>VLOOKUP(L704,References!$A$2:$B$16,2,FALSE)</f>
        <v>TEXAROK</v>
      </c>
      <c r="N704" s="19" t="str">
        <f>IF(M704=M705,"N","Y")</f>
        <v>Y</v>
      </c>
      <c r="O704">
        <f>SUM(I704:I705)</f>
        <v>142</v>
      </c>
      <c r="P704">
        <f t="shared" si="65"/>
        <v>77</v>
      </c>
    </row>
    <row r="705" spans="1:16" hidden="1" x14ac:dyDescent="0.3">
      <c r="A705" t="str">
        <f t="shared" si="64"/>
        <v>2017Watty11</v>
      </c>
      <c r="B705">
        <f t="shared" si="60"/>
        <v>713</v>
      </c>
      <c r="C705">
        <f t="shared" si="61"/>
        <v>1512</v>
      </c>
      <c r="D705" t="s">
        <v>24</v>
      </c>
      <c r="E705" t="str">
        <f>D704</f>
        <v>Russell</v>
      </c>
      <c r="F705">
        <v>2017</v>
      </c>
      <c r="G705">
        <v>11</v>
      </c>
      <c r="H705">
        <v>6.2</v>
      </c>
      <c r="I705" s="14">
        <v>77</v>
      </c>
      <c r="J705">
        <f>I705-I704</f>
        <v>12</v>
      </c>
      <c r="K705" t="str">
        <f t="shared" si="62"/>
        <v>W</v>
      </c>
      <c r="L705" t="str">
        <f t="shared" si="63"/>
        <v>Watty</v>
      </c>
      <c r="M705" t="str">
        <f>VLOOKUP(L705,References!$A$2:$B$16,2,FALSE)</f>
        <v>AKCOVA</v>
      </c>
      <c r="N705" s="19" t="str">
        <f>IF(M705=M704,"N","Y")</f>
        <v>Y</v>
      </c>
      <c r="O705">
        <f>SUM(I704:I705)</f>
        <v>142</v>
      </c>
      <c r="P705">
        <f t="shared" si="65"/>
        <v>65</v>
      </c>
    </row>
    <row r="706" spans="1:16" hidden="1" x14ac:dyDescent="0.3">
      <c r="A706" t="str">
        <f t="shared" si="64"/>
        <v>2017Michael12</v>
      </c>
      <c r="B706">
        <f t="shared" ref="B706:B769" si="66">RANK(J706,diff)</f>
        <v>571</v>
      </c>
      <c r="C706">
        <f t="shared" ref="C706:C769" si="67">RANK(I706,points)</f>
        <v>822</v>
      </c>
      <c r="D706" t="s">
        <v>23</v>
      </c>
      <c r="E706" t="str">
        <f>D707</f>
        <v>Abby</v>
      </c>
      <c r="F706">
        <v>2017</v>
      </c>
      <c r="G706">
        <v>12</v>
      </c>
      <c r="H706">
        <v>1.1000000000000001</v>
      </c>
      <c r="I706" s="14">
        <v>96</v>
      </c>
      <c r="J706">
        <f>I706-I707</f>
        <v>18</v>
      </c>
      <c r="K706" t="str">
        <f t="shared" ref="K706:K769" si="68">IF(J706&gt;0,"W",IF(J706&lt;0,"L","T"))</f>
        <v>W</v>
      </c>
      <c r="L706" t="str">
        <f t="shared" ref="L706:L769" si="69">D706</f>
        <v>Michael</v>
      </c>
      <c r="M706" t="str">
        <f>VLOOKUP(L706,References!$A$2:$B$16,2,FALSE)</f>
        <v>AKCOVA</v>
      </c>
      <c r="N706" s="19" t="str">
        <f>IF(M706=M707,"N","Y")</f>
        <v>N</v>
      </c>
      <c r="O706">
        <f>SUM(I706:I707)</f>
        <v>174</v>
      </c>
      <c r="P706">
        <f t="shared" si="65"/>
        <v>78</v>
      </c>
    </row>
    <row r="707" spans="1:16" hidden="1" x14ac:dyDescent="0.3">
      <c r="A707" t="str">
        <f t="shared" ref="A707:A770" si="70">F707&amp;D707&amp;G707</f>
        <v>2017Abby12</v>
      </c>
      <c r="B707">
        <f t="shared" si="66"/>
        <v>1497</v>
      </c>
      <c r="C707">
        <f t="shared" si="67"/>
        <v>1468</v>
      </c>
      <c r="D707" t="s">
        <v>27</v>
      </c>
      <c r="E707" t="str">
        <f>D706</f>
        <v>Michael</v>
      </c>
      <c r="F707">
        <v>2017</v>
      </c>
      <c r="G707">
        <v>12</v>
      </c>
      <c r="H707">
        <v>1.2</v>
      </c>
      <c r="I707" s="14">
        <v>78</v>
      </c>
      <c r="J707">
        <f>I707-I706</f>
        <v>-18</v>
      </c>
      <c r="K707" t="str">
        <f t="shared" si="68"/>
        <v>L</v>
      </c>
      <c r="L707" t="str">
        <f t="shared" si="69"/>
        <v>Abby</v>
      </c>
      <c r="M707" t="str">
        <f>VLOOKUP(L707,References!$A$2:$B$16,2,FALSE)</f>
        <v>AKCOVA</v>
      </c>
      <c r="N707" s="19" t="str">
        <f>IF(M707=M706,"N","Y")</f>
        <v>N</v>
      </c>
      <c r="O707">
        <f>SUM(I706:I707)</f>
        <v>174</v>
      </c>
      <c r="P707">
        <f t="shared" ref="P707:P770" si="71">I707-J707</f>
        <v>96</v>
      </c>
    </row>
    <row r="708" spans="1:16" hidden="1" x14ac:dyDescent="0.3">
      <c r="A708" t="str">
        <f t="shared" si="70"/>
        <v>2017Emily12</v>
      </c>
      <c r="B708">
        <f t="shared" si="66"/>
        <v>803</v>
      </c>
      <c r="C708">
        <f t="shared" si="67"/>
        <v>383</v>
      </c>
      <c r="D708" t="s">
        <v>43</v>
      </c>
      <c r="E708" t="str">
        <f>D709</f>
        <v>BR</v>
      </c>
      <c r="F708">
        <v>2017</v>
      </c>
      <c r="G708">
        <v>12</v>
      </c>
      <c r="H708">
        <v>2.1</v>
      </c>
      <c r="I708" s="14">
        <v>111</v>
      </c>
      <c r="J708">
        <f>I708-I709</f>
        <v>8</v>
      </c>
      <c r="K708" t="str">
        <f t="shared" si="68"/>
        <v>W</v>
      </c>
      <c r="L708" t="str">
        <f t="shared" si="69"/>
        <v>Emily</v>
      </c>
      <c r="M708" t="str">
        <f>VLOOKUP(L708,References!$A$2:$B$16,2,FALSE)</f>
        <v>TEXAROK</v>
      </c>
      <c r="N708" s="19" t="str">
        <f>IF(M708=M709,"N","Y")</f>
        <v>Y</v>
      </c>
      <c r="O708">
        <f>SUM(I708:I709)</f>
        <v>214</v>
      </c>
      <c r="P708">
        <f t="shared" si="71"/>
        <v>103</v>
      </c>
    </row>
    <row r="709" spans="1:16" hidden="1" x14ac:dyDescent="0.3">
      <c r="A709" t="str">
        <f t="shared" si="70"/>
        <v>2017BR12</v>
      </c>
      <c r="B709">
        <f t="shared" si="66"/>
        <v>1258</v>
      </c>
      <c r="C709">
        <f t="shared" si="67"/>
        <v>603</v>
      </c>
      <c r="D709" t="s">
        <v>25</v>
      </c>
      <c r="E709" t="str">
        <f>D708</f>
        <v>Emily</v>
      </c>
      <c r="F709">
        <v>2017</v>
      </c>
      <c r="G709">
        <v>12</v>
      </c>
      <c r="H709">
        <v>2.2000000000000002</v>
      </c>
      <c r="I709" s="14">
        <v>103</v>
      </c>
      <c r="J709">
        <f>I709-I708</f>
        <v>-8</v>
      </c>
      <c r="K709" t="str">
        <f t="shared" si="68"/>
        <v>L</v>
      </c>
      <c r="L709" t="str">
        <f t="shared" si="69"/>
        <v>BR</v>
      </c>
      <c r="M709" t="str">
        <f>VLOOKUP(L709,References!$A$2:$B$16,2,FALSE)</f>
        <v>AKCOVA</v>
      </c>
      <c r="N709" s="19" t="str">
        <f>IF(M709=M708,"N","Y")</f>
        <v>Y</v>
      </c>
      <c r="O709">
        <f>SUM(I708:I709)</f>
        <v>214</v>
      </c>
      <c r="P709">
        <f t="shared" si="71"/>
        <v>111</v>
      </c>
    </row>
    <row r="710" spans="1:16" hidden="1" x14ac:dyDescent="0.3">
      <c r="A710" t="str">
        <f t="shared" si="70"/>
        <v>2017Russell12</v>
      </c>
      <c r="B710">
        <f t="shared" si="66"/>
        <v>489</v>
      </c>
      <c r="C710">
        <f t="shared" si="67"/>
        <v>435</v>
      </c>
      <c r="D710" t="s">
        <v>28</v>
      </c>
      <c r="E710" t="str">
        <f>D711</f>
        <v>Brian</v>
      </c>
      <c r="F710">
        <v>2017</v>
      </c>
      <c r="G710">
        <v>12</v>
      </c>
      <c r="H710">
        <v>3.1</v>
      </c>
      <c r="I710" s="14">
        <v>109</v>
      </c>
      <c r="J710">
        <f>I710-I711</f>
        <v>21</v>
      </c>
      <c r="K710" t="str">
        <f t="shared" si="68"/>
        <v>W</v>
      </c>
      <c r="L710" t="str">
        <f t="shared" si="69"/>
        <v>Russell</v>
      </c>
      <c r="M710" t="str">
        <f>VLOOKUP(L710,References!$A$2:$B$16,2,FALSE)</f>
        <v>TEXAROK</v>
      </c>
      <c r="N710" s="19" t="str">
        <f>IF(M710=M711,"N","Y")</f>
        <v>N</v>
      </c>
      <c r="O710">
        <f>SUM(I710:I711)</f>
        <v>197</v>
      </c>
      <c r="P710">
        <f t="shared" si="71"/>
        <v>88</v>
      </c>
    </row>
    <row r="711" spans="1:16" hidden="1" x14ac:dyDescent="0.3">
      <c r="A711" t="str">
        <f t="shared" si="70"/>
        <v>2017Brian12</v>
      </c>
      <c r="B711">
        <f t="shared" si="66"/>
        <v>1577</v>
      </c>
      <c r="C711">
        <f t="shared" si="67"/>
        <v>1100</v>
      </c>
      <c r="D711" t="s">
        <v>26</v>
      </c>
      <c r="E711" t="str">
        <f>D710</f>
        <v>Russell</v>
      </c>
      <c r="F711">
        <v>2017</v>
      </c>
      <c r="G711">
        <v>12</v>
      </c>
      <c r="H711">
        <v>3.2</v>
      </c>
      <c r="I711" s="14">
        <v>88</v>
      </c>
      <c r="J711">
        <f>I711-I710</f>
        <v>-21</v>
      </c>
      <c r="K711" t="str">
        <f t="shared" si="68"/>
        <v>L</v>
      </c>
      <c r="L711" t="str">
        <f t="shared" si="69"/>
        <v>Brian</v>
      </c>
      <c r="M711" t="str">
        <f>VLOOKUP(L711,References!$A$2:$B$16,2,FALSE)</f>
        <v>TEXAROK</v>
      </c>
      <c r="N711" s="19" t="str">
        <f>IF(M711=M710,"N","Y")</f>
        <v>N</v>
      </c>
      <c r="O711">
        <f>SUM(I710:I711)</f>
        <v>197</v>
      </c>
      <c r="P711">
        <f t="shared" si="71"/>
        <v>109</v>
      </c>
    </row>
    <row r="712" spans="1:16" hidden="1" x14ac:dyDescent="0.3">
      <c r="A712" t="str">
        <f t="shared" si="70"/>
        <v>2017Matt12</v>
      </c>
      <c r="B712">
        <f t="shared" si="66"/>
        <v>803</v>
      </c>
      <c r="C712">
        <f t="shared" si="67"/>
        <v>1173</v>
      </c>
      <c r="D712" t="s">
        <v>30</v>
      </c>
      <c r="E712" t="str">
        <f>D713</f>
        <v>Mark</v>
      </c>
      <c r="F712">
        <v>2017</v>
      </c>
      <c r="G712">
        <v>12</v>
      </c>
      <c r="H712">
        <v>4.0999999999999996</v>
      </c>
      <c r="I712" s="14">
        <v>86</v>
      </c>
      <c r="J712">
        <f>I712-I713</f>
        <v>8</v>
      </c>
      <c r="K712" t="str">
        <f t="shared" si="68"/>
        <v>W</v>
      </c>
      <c r="L712" t="str">
        <f t="shared" si="69"/>
        <v>Matt</v>
      </c>
      <c r="M712" t="str">
        <f>VLOOKUP(L712,References!$A$2:$B$16,2,FALSE)</f>
        <v>TEXAROK</v>
      </c>
      <c r="N712" s="19" t="str">
        <f>IF(M712=M713,"N","Y")</f>
        <v>Y</v>
      </c>
      <c r="O712">
        <f>SUM(I712:I713)</f>
        <v>164</v>
      </c>
      <c r="P712">
        <f t="shared" si="71"/>
        <v>78</v>
      </c>
    </row>
    <row r="713" spans="1:16" hidden="1" x14ac:dyDescent="0.3">
      <c r="A713" t="str">
        <f t="shared" si="70"/>
        <v>2017Mark12</v>
      </c>
      <c r="B713">
        <f t="shared" si="66"/>
        <v>1258</v>
      </c>
      <c r="C713">
        <f t="shared" si="67"/>
        <v>1468</v>
      </c>
      <c r="D713" t="s">
        <v>22</v>
      </c>
      <c r="E713" t="str">
        <f>D712</f>
        <v>Matt</v>
      </c>
      <c r="F713">
        <v>2017</v>
      </c>
      <c r="G713">
        <v>12</v>
      </c>
      <c r="H713">
        <v>4.2</v>
      </c>
      <c r="I713" s="14">
        <v>78</v>
      </c>
      <c r="J713">
        <f>I713-I712</f>
        <v>-8</v>
      </c>
      <c r="K713" t="str">
        <f t="shared" si="68"/>
        <v>L</v>
      </c>
      <c r="L713" t="str">
        <f t="shared" si="69"/>
        <v>Mark</v>
      </c>
      <c r="M713" t="str">
        <f>VLOOKUP(L713,References!$A$2:$B$16,2,FALSE)</f>
        <v>AKCOVA</v>
      </c>
      <c r="N713" s="19" t="str">
        <f>IF(M713=M712,"N","Y")</f>
        <v>Y</v>
      </c>
      <c r="O713">
        <f>SUM(I712:I713)</f>
        <v>164</v>
      </c>
      <c r="P713">
        <f t="shared" si="71"/>
        <v>86</v>
      </c>
    </row>
    <row r="714" spans="1:16" hidden="1" x14ac:dyDescent="0.3">
      <c r="A714" t="str">
        <f t="shared" si="70"/>
        <v>2017Brent12</v>
      </c>
      <c r="B714">
        <f t="shared" si="66"/>
        <v>1577</v>
      </c>
      <c r="C714">
        <f t="shared" si="67"/>
        <v>1365</v>
      </c>
      <c r="D714" t="s">
        <v>47</v>
      </c>
      <c r="E714" t="str">
        <f>D715</f>
        <v>Charles</v>
      </c>
      <c r="F714">
        <v>2017</v>
      </c>
      <c r="G714">
        <v>12</v>
      </c>
      <c r="H714">
        <v>5.0999999999999996</v>
      </c>
      <c r="I714" s="14">
        <v>81</v>
      </c>
      <c r="J714">
        <f>I714-I715</f>
        <v>-21</v>
      </c>
      <c r="K714" t="str">
        <f t="shared" si="68"/>
        <v>L</v>
      </c>
      <c r="L714" t="str">
        <f t="shared" si="69"/>
        <v>Brent</v>
      </c>
      <c r="M714" t="str">
        <f>VLOOKUP(L714,References!$A$2:$B$16,2,FALSE)</f>
        <v>TEXAROK</v>
      </c>
      <c r="N714" s="19" t="str">
        <f>IF(M714=M715,"N","Y")</f>
        <v>Y</v>
      </c>
      <c r="O714">
        <f>SUM(I714:I715)</f>
        <v>183</v>
      </c>
      <c r="P714">
        <f t="shared" si="71"/>
        <v>102</v>
      </c>
    </row>
    <row r="715" spans="1:16" hidden="1" x14ac:dyDescent="0.3">
      <c r="A715" t="str">
        <f t="shared" si="70"/>
        <v>2017Charles12</v>
      </c>
      <c r="B715">
        <f t="shared" si="66"/>
        <v>489</v>
      </c>
      <c r="C715">
        <f t="shared" si="67"/>
        <v>631</v>
      </c>
      <c r="D715" t="s">
        <v>48</v>
      </c>
      <c r="E715" t="str">
        <f>D714</f>
        <v>Brent</v>
      </c>
      <c r="F715">
        <v>2017</v>
      </c>
      <c r="G715">
        <v>12</v>
      </c>
      <c r="H715">
        <v>5.2</v>
      </c>
      <c r="I715" s="14">
        <v>102</v>
      </c>
      <c r="J715">
        <f>I715-I714</f>
        <v>21</v>
      </c>
      <c r="K715" t="str">
        <f t="shared" si="68"/>
        <v>W</v>
      </c>
      <c r="L715" t="str">
        <f t="shared" si="69"/>
        <v>Charles</v>
      </c>
      <c r="M715" t="str">
        <f>VLOOKUP(L715,References!$A$2:$B$16,2,FALSE)</f>
        <v>AKCOVA</v>
      </c>
      <c r="N715" s="19" t="str">
        <f>IF(M715=M714,"N","Y")</f>
        <v>Y</v>
      </c>
      <c r="O715">
        <f>SUM(I714:I715)</f>
        <v>183</v>
      </c>
      <c r="P715">
        <f t="shared" si="71"/>
        <v>81</v>
      </c>
    </row>
    <row r="716" spans="1:16" hidden="1" x14ac:dyDescent="0.3">
      <c r="A716" t="str">
        <f t="shared" si="70"/>
        <v>2017David12</v>
      </c>
      <c r="B716">
        <f t="shared" si="66"/>
        <v>371</v>
      </c>
      <c r="C716">
        <f t="shared" si="67"/>
        <v>1468</v>
      </c>
      <c r="D716" t="s">
        <v>29</v>
      </c>
      <c r="E716" t="str">
        <f>D717</f>
        <v>Watty</v>
      </c>
      <c r="F716">
        <v>2017</v>
      </c>
      <c r="G716">
        <v>12</v>
      </c>
      <c r="H716">
        <v>6.1</v>
      </c>
      <c r="I716" s="14">
        <v>78</v>
      </c>
      <c r="J716">
        <f>I716-I717</f>
        <v>27</v>
      </c>
      <c r="K716" t="str">
        <f t="shared" si="68"/>
        <v>W</v>
      </c>
      <c r="L716" t="str">
        <f t="shared" si="69"/>
        <v>David</v>
      </c>
      <c r="M716" t="str">
        <f>VLOOKUP(L716,References!$A$2:$B$16,2,FALSE)</f>
        <v>TEXAROK</v>
      </c>
      <c r="N716" s="19" t="str">
        <f>IF(M716=M717,"N","Y")</f>
        <v>Y</v>
      </c>
      <c r="O716">
        <f>SUM(I716:I717)</f>
        <v>129</v>
      </c>
      <c r="P716">
        <f t="shared" si="71"/>
        <v>51</v>
      </c>
    </row>
    <row r="717" spans="1:16" hidden="1" x14ac:dyDescent="0.3">
      <c r="A717" t="str">
        <f t="shared" si="70"/>
        <v>2017Watty12</v>
      </c>
      <c r="B717">
        <f t="shared" si="66"/>
        <v>1702</v>
      </c>
      <c r="C717">
        <f t="shared" si="67"/>
        <v>2040</v>
      </c>
      <c r="D717" t="s">
        <v>24</v>
      </c>
      <c r="E717" t="str">
        <f>D716</f>
        <v>David</v>
      </c>
      <c r="F717">
        <v>2017</v>
      </c>
      <c r="G717">
        <v>12</v>
      </c>
      <c r="H717">
        <v>6.2</v>
      </c>
      <c r="I717" s="14">
        <v>51</v>
      </c>
      <c r="J717">
        <f>I717-I716</f>
        <v>-27</v>
      </c>
      <c r="K717" t="str">
        <f t="shared" si="68"/>
        <v>L</v>
      </c>
      <c r="L717" t="str">
        <f t="shared" si="69"/>
        <v>Watty</v>
      </c>
      <c r="M717" t="str">
        <f>VLOOKUP(L717,References!$A$2:$B$16,2,FALSE)</f>
        <v>AKCOVA</v>
      </c>
      <c r="N717" s="19" t="str">
        <f>IF(M717=M716,"N","Y")</f>
        <v>Y</v>
      </c>
      <c r="O717">
        <f>SUM(I716:I717)</f>
        <v>129</v>
      </c>
      <c r="P717">
        <f t="shared" si="71"/>
        <v>78</v>
      </c>
    </row>
    <row r="718" spans="1:16" hidden="1" x14ac:dyDescent="0.3">
      <c r="A718" t="str">
        <f t="shared" si="70"/>
        <v>2017Watty13</v>
      </c>
      <c r="B718">
        <f t="shared" si="66"/>
        <v>1004</v>
      </c>
      <c r="C718">
        <f t="shared" si="67"/>
        <v>1210</v>
      </c>
      <c r="D718" t="s">
        <v>24</v>
      </c>
      <c r="E718" t="str">
        <f>D719</f>
        <v>Michael</v>
      </c>
      <c r="F718">
        <v>2017</v>
      </c>
      <c r="G718">
        <v>13</v>
      </c>
      <c r="H718">
        <v>1.1000000000000001</v>
      </c>
      <c r="I718" s="14">
        <v>85</v>
      </c>
      <c r="J718">
        <f>I718-I719</f>
        <v>1</v>
      </c>
      <c r="K718" t="str">
        <f t="shared" si="68"/>
        <v>W</v>
      </c>
      <c r="L718" t="str">
        <f t="shared" si="69"/>
        <v>Watty</v>
      </c>
      <c r="M718" t="str">
        <f>VLOOKUP(L718,References!$A$2:$B$16,2,FALSE)</f>
        <v>AKCOVA</v>
      </c>
      <c r="N718" s="19" t="str">
        <f>IF(M718=M719,"N","Y")</f>
        <v>N</v>
      </c>
      <c r="O718">
        <f>SUM(I718:I719)</f>
        <v>169</v>
      </c>
      <c r="P718">
        <f t="shared" si="71"/>
        <v>84</v>
      </c>
    </row>
    <row r="719" spans="1:16" hidden="1" x14ac:dyDescent="0.3">
      <c r="A719" t="str">
        <f t="shared" si="70"/>
        <v>2017Michael13</v>
      </c>
      <c r="B719">
        <f t="shared" si="66"/>
        <v>1055</v>
      </c>
      <c r="C719">
        <f t="shared" si="67"/>
        <v>1241</v>
      </c>
      <c r="D719" t="s">
        <v>23</v>
      </c>
      <c r="E719" t="str">
        <f>D718</f>
        <v>Watty</v>
      </c>
      <c r="F719">
        <v>2017</v>
      </c>
      <c r="G719">
        <v>13</v>
      </c>
      <c r="H719">
        <v>1.2</v>
      </c>
      <c r="I719" s="14">
        <v>84</v>
      </c>
      <c r="J719">
        <f>I719-I718</f>
        <v>-1</v>
      </c>
      <c r="K719" t="str">
        <f t="shared" si="68"/>
        <v>L</v>
      </c>
      <c r="L719" t="str">
        <f t="shared" si="69"/>
        <v>Michael</v>
      </c>
      <c r="M719" t="str">
        <f>VLOOKUP(L719,References!$A$2:$B$16,2,FALSE)</f>
        <v>AKCOVA</v>
      </c>
      <c r="N719" s="19" t="str">
        <f>IF(M719=M718,"N","Y")</f>
        <v>N</v>
      </c>
      <c r="O719">
        <f>SUM(I718:I719)</f>
        <v>169</v>
      </c>
      <c r="P719">
        <f t="shared" si="71"/>
        <v>85</v>
      </c>
    </row>
    <row r="720" spans="1:16" hidden="1" x14ac:dyDescent="0.3">
      <c r="A720" t="str">
        <f t="shared" si="70"/>
        <v>2017Mark13</v>
      </c>
      <c r="B720">
        <f t="shared" si="66"/>
        <v>1577</v>
      </c>
      <c r="C720">
        <f t="shared" si="67"/>
        <v>1439</v>
      </c>
      <c r="D720" t="s">
        <v>22</v>
      </c>
      <c r="E720" t="str">
        <f>D721</f>
        <v>Emily</v>
      </c>
      <c r="F720">
        <v>2017</v>
      </c>
      <c r="G720">
        <v>13</v>
      </c>
      <c r="H720">
        <v>2.1</v>
      </c>
      <c r="I720" s="14">
        <v>79</v>
      </c>
      <c r="J720">
        <f>I720-I721</f>
        <v>-21</v>
      </c>
      <c r="K720" t="str">
        <f t="shared" si="68"/>
        <v>L</v>
      </c>
      <c r="L720" t="str">
        <f t="shared" si="69"/>
        <v>Mark</v>
      </c>
      <c r="M720" t="str">
        <f>VLOOKUP(L720,References!$A$2:$B$16,2,FALSE)</f>
        <v>AKCOVA</v>
      </c>
      <c r="N720" s="19" t="str">
        <f>IF(M720=M721,"N","Y")</f>
        <v>Y</v>
      </c>
      <c r="O720">
        <f>SUM(I720:I721)</f>
        <v>179</v>
      </c>
      <c r="P720">
        <f t="shared" si="71"/>
        <v>100</v>
      </c>
    </row>
    <row r="721" spans="1:16" hidden="1" x14ac:dyDescent="0.3">
      <c r="A721" t="str">
        <f t="shared" si="70"/>
        <v>2017Emily13</v>
      </c>
      <c r="B721">
        <f t="shared" si="66"/>
        <v>489</v>
      </c>
      <c r="C721">
        <f t="shared" si="67"/>
        <v>678</v>
      </c>
      <c r="D721" t="s">
        <v>43</v>
      </c>
      <c r="E721" t="str">
        <f>D720</f>
        <v>Mark</v>
      </c>
      <c r="F721">
        <v>2017</v>
      </c>
      <c r="G721">
        <v>13</v>
      </c>
      <c r="H721">
        <v>2.2000000000000002</v>
      </c>
      <c r="I721" s="14">
        <v>100</v>
      </c>
      <c r="J721">
        <f>I721-I720</f>
        <v>21</v>
      </c>
      <c r="K721" t="str">
        <f t="shared" si="68"/>
        <v>W</v>
      </c>
      <c r="L721" t="str">
        <f t="shared" si="69"/>
        <v>Emily</v>
      </c>
      <c r="M721" t="str">
        <f>VLOOKUP(L721,References!$A$2:$B$16,2,FALSE)</f>
        <v>TEXAROK</v>
      </c>
      <c r="N721" s="19" t="str">
        <f>IF(M721=M720,"N","Y")</f>
        <v>Y</v>
      </c>
      <c r="O721">
        <f>SUM(I720:I721)</f>
        <v>179</v>
      </c>
      <c r="P721">
        <f t="shared" si="71"/>
        <v>79</v>
      </c>
    </row>
    <row r="722" spans="1:16" hidden="1" x14ac:dyDescent="0.3">
      <c r="A722" t="str">
        <f t="shared" si="70"/>
        <v>2017Charles13</v>
      </c>
      <c r="B722">
        <f t="shared" si="66"/>
        <v>782</v>
      </c>
      <c r="C722">
        <f t="shared" si="67"/>
        <v>1767</v>
      </c>
      <c r="D722" t="s">
        <v>48</v>
      </c>
      <c r="E722" t="str">
        <f>D723</f>
        <v>Russell</v>
      </c>
      <c r="F722">
        <v>2017</v>
      </c>
      <c r="G722">
        <v>13</v>
      </c>
      <c r="H722">
        <v>3.1</v>
      </c>
      <c r="I722" s="14">
        <v>69</v>
      </c>
      <c r="J722">
        <f>I722-I723</f>
        <v>9</v>
      </c>
      <c r="K722" t="str">
        <f t="shared" si="68"/>
        <v>W</v>
      </c>
      <c r="L722" t="str">
        <f t="shared" si="69"/>
        <v>Charles</v>
      </c>
      <c r="M722" t="str">
        <f>VLOOKUP(L722,References!$A$2:$B$16,2,FALSE)</f>
        <v>AKCOVA</v>
      </c>
      <c r="N722" s="19" t="str">
        <f>IF(M722=M723,"N","Y")</f>
        <v>Y</v>
      </c>
      <c r="O722">
        <f>SUM(I722:I723)</f>
        <v>129</v>
      </c>
      <c r="P722">
        <f t="shared" si="71"/>
        <v>60</v>
      </c>
    </row>
    <row r="723" spans="1:16" hidden="1" x14ac:dyDescent="0.3">
      <c r="A723" t="str">
        <f t="shared" si="70"/>
        <v>2017Russell13</v>
      </c>
      <c r="B723">
        <f t="shared" si="66"/>
        <v>1291</v>
      </c>
      <c r="C723">
        <f t="shared" si="67"/>
        <v>1936</v>
      </c>
      <c r="D723" t="s">
        <v>28</v>
      </c>
      <c r="E723" t="str">
        <f>D722</f>
        <v>Charles</v>
      </c>
      <c r="F723">
        <v>2017</v>
      </c>
      <c r="G723">
        <v>13</v>
      </c>
      <c r="H723">
        <v>3.2</v>
      </c>
      <c r="I723" s="14">
        <v>60</v>
      </c>
      <c r="J723">
        <f>I723-I722</f>
        <v>-9</v>
      </c>
      <c r="K723" t="str">
        <f t="shared" si="68"/>
        <v>L</v>
      </c>
      <c r="L723" t="str">
        <f t="shared" si="69"/>
        <v>Russell</v>
      </c>
      <c r="M723" t="str">
        <f>VLOOKUP(L723,References!$A$2:$B$16,2,FALSE)</f>
        <v>TEXAROK</v>
      </c>
      <c r="N723" s="19" t="str">
        <f>IF(M723=M722,"N","Y")</f>
        <v>Y</v>
      </c>
      <c r="O723">
        <f>SUM(I722:I723)</f>
        <v>129</v>
      </c>
      <c r="P723">
        <f t="shared" si="71"/>
        <v>69</v>
      </c>
    </row>
    <row r="724" spans="1:16" hidden="1" x14ac:dyDescent="0.3">
      <c r="A724" t="str">
        <f t="shared" si="70"/>
        <v>2017Abby13</v>
      </c>
      <c r="B724">
        <f t="shared" si="66"/>
        <v>949</v>
      </c>
      <c r="C724">
        <f t="shared" si="67"/>
        <v>435</v>
      </c>
      <c r="D724" t="s">
        <v>27</v>
      </c>
      <c r="E724" t="str">
        <f>D725</f>
        <v>Matt</v>
      </c>
      <c r="F724">
        <v>2017</v>
      </c>
      <c r="G724">
        <v>13</v>
      </c>
      <c r="H724">
        <v>4.0999999999999996</v>
      </c>
      <c r="I724" s="14">
        <v>109</v>
      </c>
      <c r="J724">
        <f>I724-I725</f>
        <v>3</v>
      </c>
      <c r="K724" t="str">
        <f t="shared" si="68"/>
        <v>W</v>
      </c>
      <c r="L724" t="str">
        <f t="shared" si="69"/>
        <v>Abby</v>
      </c>
      <c r="M724" t="str">
        <f>VLOOKUP(L724,References!$A$2:$B$16,2,FALSE)</f>
        <v>AKCOVA</v>
      </c>
      <c r="N724" s="19" t="str">
        <f>IF(M724=M725,"N","Y")</f>
        <v>Y</v>
      </c>
      <c r="O724">
        <f>SUM(I724:I725)</f>
        <v>215</v>
      </c>
      <c r="P724">
        <f t="shared" si="71"/>
        <v>106</v>
      </c>
    </row>
    <row r="725" spans="1:16" hidden="1" x14ac:dyDescent="0.3">
      <c r="A725" t="str">
        <f t="shared" si="70"/>
        <v>2017Matt13</v>
      </c>
      <c r="B725">
        <f t="shared" si="66"/>
        <v>1117</v>
      </c>
      <c r="C725">
        <f t="shared" si="67"/>
        <v>509</v>
      </c>
      <c r="D725" t="s">
        <v>30</v>
      </c>
      <c r="E725" t="str">
        <f>D724</f>
        <v>Abby</v>
      </c>
      <c r="F725">
        <v>2017</v>
      </c>
      <c r="G725">
        <v>13</v>
      </c>
      <c r="H725">
        <v>4.2</v>
      </c>
      <c r="I725" s="14">
        <v>106</v>
      </c>
      <c r="J725">
        <f>I725-I724</f>
        <v>-3</v>
      </c>
      <c r="K725" t="str">
        <f t="shared" si="68"/>
        <v>L</v>
      </c>
      <c r="L725" t="str">
        <f t="shared" si="69"/>
        <v>Matt</v>
      </c>
      <c r="M725" t="str">
        <f>VLOOKUP(L725,References!$A$2:$B$16,2,FALSE)</f>
        <v>TEXAROK</v>
      </c>
      <c r="N725" s="19" t="str">
        <f>IF(M725=M724,"N","Y")</f>
        <v>Y</v>
      </c>
      <c r="O725">
        <f>SUM(I724:I725)</f>
        <v>215</v>
      </c>
      <c r="P725">
        <f t="shared" si="71"/>
        <v>109</v>
      </c>
    </row>
    <row r="726" spans="1:16" hidden="1" x14ac:dyDescent="0.3">
      <c r="A726" t="str">
        <f t="shared" si="70"/>
        <v>2017BR13</v>
      </c>
      <c r="B726">
        <f t="shared" si="66"/>
        <v>1381</v>
      </c>
      <c r="C726">
        <f t="shared" si="67"/>
        <v>926</v>
      </c>
      <c r="D726" t="s">
        <v>25</v>
      </c>
      <c r="E726" t="str">
        <f>D727</f>
        <v>Brent</v>
      </c>
      <c r="F726">
        <v>2017</v>
      </c>
      <c r="G726">
        <v>13</v>
      </c>
      <c r="H726">
        <v>5.0999999999999996</v>
      </c>
      <c r="I726" s="14">
        <v>93</v>
      </c>
      <c r="J726">
        <f>I726-I727</f>
        <v>-13</v>
      </c>
      <c r="K726" t="str">
        <f t="shared" si="68"/>
        <v>L</v>
      </c>
      <c r="L726" t="str">
        <f t="shared" si="69"/>
        <v>BR</v>
      </c>
      <c r="M726" t="str">
        <f>VLOOKUP(L726,References!$A$2:$B$16,2,FALSE)</f>
        <v>AKCOVA</v>
      </c>
      <c r="N726" s="19" t="str">
        <f>IF(M726=M727,"N","Y")</f>
        <v>Y</v>
      </c>
      <c r="O726">
        <f>SUM(I726:I727)</f>
        <v>199</v>
      </c>
      <c r="P726">
        <f t="shared" si="71"/>
        <v>106</v>
      </c>
    </row>
    <row r="727" spans="1:16" hidden="1" x14ac:dyDescent="0.3">
      <c r="A727" t="str">
        <f t="shared" si="70"/>
        <v>2017Brent13</v>
      </c>
      <c r="B727">
        <f t="shared" si="66"/>
        <v>685</v>
      </c>
      <c r="C727">
        <f t="shared" si="67"/>
        <v>509</v>
      </c>
      <c r="D727" t="s">
        <v>47</v>
      </c>
      <c r="E727" t="str">
        <f>D726</f>
        <v>BR</v>
      </c>
      <c r="F727">
        <v>2017</v>
      </c>
      <c r="G727">
        <v>13</v>
      </c>
      <c r="H727">
        <v>5.2</v>
      </c>
      <c r="I727" s="14">
        <v>106</v>
      </c>
      <c r="J727">
        <f>I727-I726</f>
        <v>13</v>
      </c>
      <c r="K727" t="str">
        <f t="shared" si="68"/>
        <v>W</v>
      </c>
      <c r="L727" t="str">
        <f t="shared" si="69"/>
        <v>Brent</v>
      </c>
      <c r="M727" t="str">
        <f>VLOOKUP(L727,References!$A$2:$B$16,2,FALSE)</f>
        <v>TEXAROK</v>
      </c>
      <c r="N727" s="19" t="str">
        <f>IF(M727=M726,"N","Y")</f>
        <v>Y</v>
      </c>
      <c r="O727">
        <f>SUM(I726:I727)</f>
        <v>199</v>
      </c>
      <c r="P727">
        <f t="shared" si="71"/>
        <v>93</v>
      </c>
    </row>
    <row r="728" spans="1:16" hidden="1" x14ac:dyDescent="0.3">
      <c r="A728" t="str">
        <f t="shared" si="70"/>
        <v>2017Brian13</v>
      </c>
      <c r="B728">
        <f t="shared" si="66"/>
        <v>660</v>
      </c>
      <c r="C728">
        <f t="shared" si="67"/>
        <v>857</v>
      </c>
      <c r="D728" t="s">
        <v>26</v>
      </c>
      <c r="E728" t="str">
        <f>D729</f>
        <v>David</v>
      </c>
      <c r="F728">
        <v>2017</v>
      </c>
      <c r="G728">
        <v>13</v>
      </c>
      <c r="H728">
        <v>6.1</v>
      </c>
      <c r="I728" s="14">
        <v>95</v>
      </c>
      <c r="J728">
        <f>I728-I729</f>
        <v>14</v>
      </c>
      <c r="K728" t="str">
        <f t="shared" si="68"/>
        <v>W</v>
      </c>
      <c r="L728" t="str">
        <f t="shared" si="69"/>
        <v>Brian</v>
      </c>
      <c r="M728" t="str">
        <f>VLOOKUP(L728,References!$A$2:$B$16,2,FALSE)</f>
        <v>TEXAROK</v>
      </c>
      <c r="N728" s="19" t="str">
        <f>IF(M728=M729,"N","Y")</f>
        <v>N</v>
      </c>
      <c r="O728">
        <f>SUM(I728:I729)</f>
        <v>176</v>
      </c>
      <c r="P728">
        <f t="shared" si="71"/>
        <v>81</v>
      </c>
    </row>
    <row r="729" spans="1:16" hidden="1" x14ac:dyDescent="0.3">
      <c r="A729" t="str">
        <f t="shared" si="70"/>
        <v>2017David13</v>
      </c>
      <c r="B729">
        <f t="shared" si="66"/>
        <v>1409</v>
      </c>
      <c r="C729">
        <f t="shared" si="67"/>
        <v>1365</v>
      </c>
      <c r="D729" t="s">
        <v>29</v>
      </c>
      <c r="E729" t="str">
        <f>D728</f>
        <v>Brian</v>
      </c>
      <c r="F729">
        <v>2017</v>
      </c>
      <c r="G729">
        <v>13</v>
      </c>
      <c r="H729">
        <v>6.2</v>
      </c>
      <c r="I729" s="14">
        <v>81</v>
      </c>
      <c r="J729">
        <f>I729-I728</f>
        <v>-14</v>
      </c>
      <c r="K729" t="str">
        <f t="shared" si="68"/>
        <v>L</v>
      </c>
      <c r="L729" t="str">
        <f t="shared" si="69"/>
        <v>David</v>
      </c>
      <c r="M729" t="str">
        <f>VLOOKUP(L729,References!$A$2:$B$16,2,FALSE)</f>
        <v>TEXAROK</v>
      </c>
      <c r="N729" s="19" t="str">
        <f>IF(M729=M728,"N","Y")</f>
        <v>N</v>
      </c>
      <c r="O729">
        <f>SUM(I728:I729)</f>
        <v>176</v>
      </c>
      <c r="P729">
        <f t="shared" si="71"/>
        <v>95</v>
      </c>
    </row>
    <row r="730" spans="1:16" hidden="1" x14ac:dyDescent="0.3">
      <c r="A730" t="str">
        <f t="shared" si="70"/>
        <v>2018Michael1</v>
      </c>
      <c r="B730">
        <f t="shared" si="66"/>
        <v>1004</v>
      </c>
      <c r="C730">
        <f t="shared" si="67"/>
        <v>227</v>
      </c>
      <c r="D730" t="s">
        <v>23</v>
      </c>
      <c r="E730" t="str">
        <f>D731</f>
        <v>Matt</v>
      </c>
      <c r="F730">
        <v>2018</v>
      </c>
      <c r="G730">
        <v>1</v>
      </c>
      <c r="H730">
        <v>1.1000000000000001</v>
      </c>
      <c r="I730" s="14">
        <v>120</v>
      </c>
      <c r="J730">
        <f>I730-I731</f>
        <v>1</v>
      </c>
      <c r="K730" t="str">
        <f t="shared" si="68"/>
        <v>W</v>
      </c>
      <c r="L730" t="str">
        <f t="shared" si="69"/>
        <v>Michael</v>
      </c>
      <c r="M730" t="str">
        <f>VLOOKUP(L730,References!$A$2:$B$16,2,FALSE)</f>
        <v>AKCOVA</v>
      </c>
      <c r="N730" s="19" t="str">
        <f>IF(M730=M731,"N","Y")</f>
        <v>Y</v>
      </c>
      <c r="O730">
        <f>SUM(I730:I731)</f>
        <v>239</v>
      </c>
      <c r="P730">
        <f t="shared" si="71"/>
        <v>119</v>
      </c>
    </row>
    <row r="731" spans="1:16" hidden="1" x14ac:dyDescent="0.3">
      <c r="A731" t="str">
        <f t="shared" si="70"/>
        <v>2018Matt1</v>
      </c>
      <c r="B731">
        <f t="shared" si="66"/>
        <v>1055</v>
      </c>
      <c r="C731">
        <f t="shared" si="67"/>
        <v>248</v>
      </c>
      <c r="D731" t="s">
        <v>30</v>
      </c>
      <c r="E731" t="str">
        <f>D730</f>
        <v>Michael</v>
      </c>
      <c r="F731">
        <v>2018</v>
      </c>
      <c r="G731">
        <v>1</v>
      </c>
      <c r="H731">
        <v>1.2</v>
      </c>
      <c r="I731" s="14">
        <v>119</v>
      </c>
      <c r="J731">
        <f>I731-I730</f>
        <v>-1</v>
      </c>
      <c r="K731" t="str">
        <f t="shared" si="68"/>
        <v>L</v>
      </c>
      <c r="L731" t="str">
        <f t="shared" si="69"/>
        <v>Matt</v>
      </c>
      <c r="M731" t="str">
        <f>VLOOKUP(L731,References!$A$2:$B$16,2,FALSE)</f>
        <v>TEXAROK</v>
      </c>
      <c r="N731" s="19" t="str">
        <f>IF(M731=M730,"N","Y")</f>
        <v>Y</v>
      </c>
      <c r="O731">
        <f>SUM(I730:I731)</f>
        <v>239</v>
      </c>
      <c r="P731">
        <f t="shared" si="71"/>
        <v>120</v>
      </c>
    </row>
    <row r="732" spans="1:16" hidden="1" x14ac:dyDescent="0.3">
      <c r="A732" t="str">
        <f t="shared" si="70"/>
        <v>2018Brent1</v>
      </c>
      <c r="B732">
        <f t="shared" si="66"/>
        <v>150</v>
      </c>
      <c r="C732">
        <f t="shared" si="67"/>
        <v>603</v>
      </c>
      <c r="D732" t="s">
        <v>47</v>
      </c>
      <c r="E732" t="str">
        <f>D733</f>
        <v>Russell</v>
      </c>
      <c r="F732">
        <v>2018</v>
      </c>
      <c r="G732">
        <v>1</v>
      </c>
      <c r="H732">
        <v>2.1</v>
      </c>
      <c r="I732" s="14">
        <v>103</v>
      </c>
      <c r="J732">
        <f>I732-I733</f>
        <v>44</v>
      </c>
      <c r="K732" t="str">
        <f t="shared" si="68"/>
        <v>W</v>
      </c>
      <c r="L732" t="str">
        <f t="shared" si="69"/>
        <v>Brent</v>
      </c>
      <c r="M732" t="str">
        <f>VLOOKUP(L732,References!$A$2:$B$16,2,FALSE)</f>
        <v>TEXAROK</v>
      </c>
      <c r="N732" s="19" t="str">
        <f>IF(M732=M733,"N","Y")</f>
        <v>N</v>
      </c>
      <c r="O732">
        <f>SUM(I732:I733)</f>
        <v>162</v>
      </c>
      <c r="P732">
        <f t="shared" si="71"/>
        <v>59</v>
      </c>
    </row>
    <row r="733" spans="1:16" hidden="1" x14ac:dyDescent="0.3">
      <c r="A733" t="str">
        <f t="shared" si="70"/>
        <v>2018Russell1</v>
      </c>
      <c r="B733">
        <f t="shared" si="66"/>
        <v>1933</v>
      </c>
      <c r="C733">
        <f t="shared" si="67"/>
        <v>1951</v>
      </c>
      <c r="D733" t="s">
        <v>28</v>
      </c>
      <c r="E733" t="str">
        <f>D732</f>
        <v>Brent</v>
      </c>
      <c r="F733">
        <v>2018</v>
      </c>
      <c r="G733">
        <v>1</v>
      </c>
      <c r="H733">
        <v>2.2000000000000002</v>
      </c>
      <c r="I733" s="14">
        <v>59</v>
      </c>
      <c r="J733">
        <f>I733-I732</f>
        <v>-44</v>
      </c>
      <c r="K733" t="str">
        <f t="shared" si="68"/>
        <v>L</v>
      </c>
      <c r="L733" t="str">
        <f t="shared" si="69"/>
        <v>Russell</v>
      </c>
      <c r="M733" t="str">
        <f>VLOOKUP(L733,References!$A$2:$B$16,2,FALSE)</f>
        <v>TEXAROK</v>
      </c>
      <c r="N733" s="19" t="str">
        <f>IF(M733=M732,"N","Y")</f>
        <v>N</v>
      </c>
      <c r="O733">
        <f>SUM(I732:I733)</f>
        <v>162</v>
      </c>
      <c r="P733">
        <f t="shared" si="71"/>
        <v>103</v>
      </c>
    </row>
    <row r="734" spans="1:16" hidden="1" x14ac:dyDescent="0.3">
      <c r="A734" t="str">
        <f t="shared" si="70"/>
        <v>2018BR1</v>
      </c>
      <c r="B734">
        <f t="shared" si="66"/>
        <v>897</v>
      </c>
      <c r="C734">
        <f t="shared" si="67"/>
        <v>857</v>
      </c>
      <c r="D734" t="s">
        <v>25</v>
      </c>
      <c r="E734" t="str">
        <f>D735</f>
        <v>Watty</v>
      </c>
      <c r="F734">
        <v>2018</v>
      </c>
      <c r="G734">
        <v>1</v>
      </c>
      <c r="H734">
        <v>3.1</v>
      </c>
      <c r="I734" s="14">
        <v>95</v>
      </c>
      <c r="J734">
        <f>I734-I735</f>
        <v>5</v>
      </c>
      <c r="K734" t="str">
        <f t="shared" si="68"/>
        <v>W</v>
      </c>
      <c r="L734" t="str">
        <f t="shared" si="69"/>
        <v>BR</v>
      </c>
      <c r="M734" t="str">
        <f>VLOOKUP(L734,References!$A$2:$B$16,2,FALSE)</f>
        <v>AKCOVA</v>
      </c>
      <c r="N734" s="19" t="str">
        <f>IF(M734=M735,"N","Y")</f>
        <v>N</v>
      </c>
      <c r="O734">
        <f>SUM(I734:I735)</f>
        <v>185</v>
      </c>
      <c r="P734">
        <f t="shared" si="71"/>
        <v>90</v>
      </c>
    </row>
    <row r="735" spans="1:16" hidden="1" x14ac:dyDescent="0.3">
      <c r="A735" t="str">
        <f t="shared" si="70"/>
        <v>2018Watty1</v>
      </c>
      <c r="B735">
        <f t="shared" si="66"/>
        <v>1177</v>
      </c>
      <c r="C735">
        <f t="shared" si="67"/>
        <v>1027</v>
      </c>
      <c r="D735" t="s">
        <v>24</v>
      </c>
      <c r="E735" t="str">
        <f>D734</f>
        <v>BR</v>
      </c>
      <c r="F735">
        <v>2018</v>
      </c>
      <c r="G735">
        <v>1</v>
      </c>
      <c r="H735">
        <v>3.2</v>
      </c>
      <c r="I735" s="14">
        <v>90</v>
      </c>
      <c r="J735">
        <f>I735-I734</f>
        <v>-5</v>
      </c>
      <c r="K735" t="str">
        <f t="shared" si="68"/>
        <v>L</v>
      </c>
      <c r="L735" t="str">
        <f t="shared" si="69"/>
        <v>Watty</v>
      </c>
      <c r="M735" t="str">
        <f>VLOOKUP(L735,References!$A$2:$B$16,2,FALSE)</f>
        <v>AKCOVA</v>
      </c>
      <c r="N735" s="19" t="str">
        <f>IF(M735=M734,"N","Y")</f>
        <v>N</v>
      </c>
      <c r="O735">
        <f>SUM(I734:I735)</f>
        <v>185</v>
      </c>
      <c r="P735">
        <f t="shared" si="71"/>
        <v>95</v>
      </c>
    </row>
    <row r="736" spans="1:16" hidden="1" x14ac:dyDescent="0.3">
      <c r="A736" t="str">
        <f t="shared" si="70"/>
        <v>2018Emily1</v>
      </c>
      <c r="B736">
        <f t="shared" si="66"/>
        <v>180</v>
      </c>
      <c r="C736">
        <f t="shared" si="67"/>
        <v>746</v>
      </c>
      <c r="D736" t="s">
        <v>43</v>
      </c>
      <c r="E736" t="str">
        <f>D737</f>
        <v>David</v>
      </c>
      <c r="F736">
        <v>2018</v>
      </c>
      <c r="G736">
        <v>1</v>
      </c>
      <c r="H736">
        <v>4.0999999999999996</v>
      </c>
      <c r="I736" s="14">
        <v>98</v>
      </c>
      <c r="J736">
        <f>I736-I737</f>
        <v>41</v>
      </c>
      <c r="K736" t="str">
        <f t="shared" si="68"/>
        <v>W</v>
      </c>
      <c r="L736" t="str">
        <f t="shared" si="69"/>
        <v>Emily</v>
      </c>
      <c r="M736" t="str">
        <f>VLOOKUP(L736,References!$A$2:$B$16,2,FALSE)</f>
        <v>TEXAROK</v>
      </c>
      <c r="N736" s="19" t="str">
        <f>IF(M736=M737,"N","Y")</f>
        <v>N</v>
      </c>
      <c r="O736">
        <f>SUM(I736:I737)</f>
        <v>155</v>
      </c>
      <c r="P736">
        <f t="shared" si="71"/>
        <v>57</v>
      </c>
    </row>
    <row r="737" spans="1:16" hidden="1" x14ac:dyDescent="0.3">
      <c r="A737" t="str">
        <f t="shared" si="70"/>
        <v>2018David1</v>
      </c>
      <c r="B737">
        <f t="shared" si="66"/>
        <v>1907</v>
      </c>
      <c r="C737">
        <f t="shared" si="67"/>
        <v>1988</v>
      </c>
      <c r="D737" t="s">
        <v>29</v>
      </c>
      <c r="E737" t="str">
        <f>D736</f>
        <v>Emily</v>
      </c>
      <c r="F737">
        <v>2018</v>
      </c>
      <c r="G737">
        <v>1</v>
      </c>
      <c r="H737">
        <v>4.2</v>
      </c>
      <c r="I737" s="14">
        <v>57</v>
      </c>
      <c r="J737">
        <f>I737-I736</f>
        <v>-41</v>
      </c>
      <c r="K737" t="str">
        <f t="shared" si="68"/>
        <v>L</v>
      </c>
      <c r="L737" t="str">
        <f t="shared" si="69"/>
        <v>David</v>
      </c>
      <c r="M737" t="str">
        <f>VLOOKUP(L737,References!$A$2:$B$16,2,FALSE)</f>
        <v>TEXAROK</v>
      </c>
      <c r="N737" s="19" t="str">
        <f>IF(M737=M736,"N","Y")</f>
        <v>N</v>
      </c>
      <c r="O737">
        <f>SUM(I736:I737)</f>
        <v>155</v>
      </c>
      <c r="P737">
        <f t="shared" si="71"/>
        <v>98</v>
      </c>
    </row>
    <row r="738" spans="1:16" hidden="1" x14ac:dyDescent="0.3">
      <c r="A738" t="str">
        <f t="shared" si="70"/>
        <v>2018Abby1</v>
      </c>
      <c r="B738">
        <f t="shared" si="66"/>
        <v>1702</v>
      </c>
      <c r="C738">
        <f t="shared" si="67"/>
        <v>1282</v>
      </c>
      <c r="D738" t="s">
        <v>27</v>
      </c>
      <c r="E738" t="str">
        <f>D739</f>
        <v>Mark</v>
      </c>
      <c r="F738">
        <v>2018</v>
      </c>
      <c r="G738">
        <v>1</v>
      </c>
      <c r="H738">
        <v>5.0999999999999996</v>
      </c>
      <c r="I738" s="14">
        <v>83</v>
      </c>
      <c r="J738">
        <f>I738-I739</f>
        <v>-27</v>
      </c>
      <c r="K738" t="str">
        <f t="shared" si="68"/>
        <v>L</v>
      </c>
      <c r="L738" t="str">
        <f t="shared" si="69"/>
        <v>Abby</v>
      </c>
      <c r="M738" t="str">
        <f>VLOOKUP(L738,References!$A$2:$B$16,2,FALSE)</f>
        <v>AKCOVA</v>
      </c>
      <c r="N738" s="19" t="str">
        <f>IF(M738=M739,"N","Y")</f>
        <v>N</v>
      </c>
      <c r="O738">
        <f>SUM(I738:I739)</f>
        <v>193</v>
      </c>
      <c r="P738">
        <f t="shared" si="71"/>
        <v>110</v>
      </c>
    </row>
    <row r="739" spans="1:16" hidden="1" x14ac:dyDescent="0.3">
      <c r="A739" t="str">
        <f t="shared" si="70"/>
        <v>2018Mark1</v>
      </c>
      <c r="B739">
        <f t="shared" si="66"/>
        <v>371</v>
      </c>
      <c r="C739">
        <f t="shared" si="67"/>
        <v>412</v>
      </c>
      <c r="D739" t="s">
        <v>22</v>
      </c>
      <c r="E739" t="str">
        <f>D738</f>
        <v>Abby</v>
      </c>
      <c r="F739">
        <v>2018</v>
      </c>
      <c r="G739">
        <v>1</v>
      </c>
      <c r="H739">
        <v>5.2</v>
      </c>
      <c r="I739" s="14">
        <v>110</v>
      </c>
      <c r="J739">
        <f>I739-I738</f>
        <v>27</v>
      </c>
      <c r="K739" t="str">
        <f t="shared" si="68"/>
        <v>W</v>
      </c>
      <c r="L739" t="str">
        <f t="shared" si="69"/>
        <v>Mark</v>
      </c>
      <c r="M739" t="str">
        <f>VLOOKUP(L739,References!$A$2:$B$16,2,FALSE)</f>
        <v>AKCOVA</v>
      </c>
      <c r="N739" s="19" t="str">
        <f>IF(M739=M738,"N","Y")</f>
        <v>N</v>
      </c>
      <c r="O739">
        <f>SUM(I738:I739)</f>
        <v>193</v>
      </c>
      <c r="P739">
        <f t="shared" si="71"/>
        <v>83</v>
      </c>
    </row>
    <row r="740" spans="1:16" hidden="1" x14ac:dyDescent="0.3">
      <c r="A740" t="str">
        <f t="shared" si="70"/>
        <v>2018Charles1</v>
      </c>
      <c r="B740">
        <f t="shared" si="66"/>
        <v>1824</v>
      </c>
      <c r="C740">
        <f t="shared" si="67"/>
        <v>1618</v>
      </c>
      <c r="D740" t="s">
        <v>48</v>
      </c>
      <c r="E740" t="str">
        <f>D741</f>
        <v>Brian</v>
      </c>
      <c r="F740">
        <v>2018</v>
      </c>
      <c r="G740">
        <v>1</v>
      </c>
      <c r="H740">
        <v>6.1</v>
      </c>
      <c r="I740" s="14">
        <v>74</v>
      </c>
      <c r="J740">
        <f>I740-I741</f>
        <v>-34</v>
      </c>
      <c r="K740" t="str">
        <f t="shared" si="68"/>
        <v>L</v>
      </c>
      <c r="L740" t="str">
        <f t="shared" si="69"/>
        <v>Charles</v>
      </c>
      <c r="M740" t="str">
        <f>VLOOKUP(L740,References!$A$2:$B$16,2,FALSE)</f>
        <v>AKCOVA</v>
      </c>
      <c r="N740" s="19" t="str">
        <f>IF(M740=M741,"N","Y")</f>
        <v>Y</v>
      </c>
      <c r="O740">
        <f>SUM(I740:I741)</f>
        <v>182</v>
      </c>
      <c r="P740">
        <f t="shared" si="71"/>
        <v>108</v>
      </c>
    </row>
    <row r="741" spans="1:16" hidden="1" x14ac:dyDescent="0.3">
      <c r="A741" t="str">
        <f t="shared" si="70"/>
        <v>2018Brian1</v>
      </c>
      <c r="B741">
        <f t="shared" si="66"/>
        <v>262</v>
      </c>
      <c r="C741">
        <f t="shared" si="67"/>
        <v>462</v>
      </c>
      <c r="D741" t="s">
        <v>26</v>
      </c>
      <c r="E741" t="str">
        <f>D740</f>
        <v>Charles</v>
      </c>
      <c r="F741">
        <v>2018</v>
      </c>
      <c r="G741">
        <v>1</v>
      </c>
      <c r="H741">
        <v>6.2</v>
      </c>
      <c r="I741" s="14">
        <v>108</v>
      </c>
      <c r="J741">
        <f>I741-I740</f>
        <v>34</v>
      </c>
      <c r="K741" t="str">
        <f t="shared" si="68"/>
        <v>W</v>
      </c>
      <c r="L741" t="str">
        <f t="shared" si="69"/>
        <v>Brian</v>
      </c>
      <c r="M741" t="str">
        <f>VLOOKUP(L741,References!$A$2:$B$16,2,FALSE)</f>
        <v>TEXAROK</v>
      </c>
      <c r="N741" s="19" t="str">
        <f>IF(M741=M740,"N","Y")</f>
        <v>Y</v>
      </c>
      <c r="O741">
        <f>SUM(I740:I741)</f>
        <v>182</v>
      </c>
      <c r="P741">
        <f t="shared" si="71"/>
        <v>74</v>
      </c>
    </row>
    <row r="742" spans="1:16" hidden="1" x14ac:dyDescent="0.3">
      <c r="A742" t="str">
        <f t="shared" si="70"/>
        <v>2018Emily2</v>
      </c>
      <c r="B742">
        <f t="shared" si="66"/>
        <v>270</v>
      </c>
      <c r="C742">
        <f t="shared" si="67"/>
        <v>173</v>
      </c>
      <c r="D742" t="s">
        <v>43</v>
      </c>
      <c r="E742" t="str">
        <f>D743</f>
        <v>Michael</v>
      </c>
      <c r="F742">
        <v>2018</v>
      </c>
      <c r="G742">
        <v>2</v>
      </c>
      <c r="H742">
        <v>1.1000000000000001</v>
      </c>
      <c r="I742" s="14">
        <v>124</v>
      </c>
      <c r="J742">
        <f>I742-I743</f>
        <v>33</v>
      </c>
      <c r="K742" t="str">
        <f t="shared" si="68"/>
        <v>W</v>
      </c>
      <c r="L742" t="str">
        <f t="shared" si="69"/>
        <v>Emily</v>
      </c>
      <c r="M742" t="str">
        <f>VLOOKUP(L742,References!$A$2:$B$16,2,FALSE)</f>
        <v>TEXAROK</v>
      </c>
      <c r="N742" s="19" t="str">
        <f>IF(M742=M743,"N","Y")</f>
        <v>Y</v>
      </c>
      <c r="O742">
        <f>SUM(I742:I743)</f>
        <v>215</v>
      </c>
      <c r="P742">
        <f t="shared" si="71"/>
        <v>91</v>
      </c>
    </row>
    <row r="743" spans="1:16" hidden="1" x14ac:dyDescent="0.3">
      <c r="A743" t="str">
        <f t="shared" si="70"/>
        <v>2018Michael2</v>
      </c>
      <c r="B743">
        <f t="shared" si="66"/>
        <v>1810</v>
      </c>
      <c r="C743">
        <f t="shared" si="67"/>
        <v>992</v>
      </c>
      <c r="D743" t="s">
        <v>23</v>
      </c>
      <c r="E743" t="str">
        <f>D742</f>
        <v>Emily</v>
      </c>
      <c r="F743">
        <v>2018</v>
      </c>
      <c r="G743">
        <v>2</v>
      </c>
      <c r="H743">
        <v>1.2</v>
      </c>
      <c r="I743" s="14">
        <v>91</v>
      </c>
      <c r="J743">
        <f>I743-I742</f>
        <v>-33</v>
      </c>
      <c r="K743" t="str">
        <f t="shared" si="68"/>
        <v>L</v>
      </c>
      <c r="L743" t="str">
        <f t="shared" si="69"/>
        <v>Michael</v>
      </c>
      <c r="M743" t="str">
        <f>VLOOKUP(L743,References!$A$2:$B$16,2,FALSE)</f>
        <v>AKCOVA</v>
      </c>
      <c r="N743" s="19" t="str">
        <f>IF(M743=M742,"N","Y")</f>
        <v>Y</v>
      </c>
      <c r="O743">
        <f>SUM(I742:I743)</f>
        <v>215</v>
      </c>
      <c r="P743">
        <f t="shared" si="71"/>
        <v>124</v>
      </c>
    </row>
    <row r="744" spans="1:16" hidden="1" x14ac:dyDescent="0.3">
      <c r="A744" t="str">
        <f t="shared" si="70"/>
        <v>2018David2</v>
      </c>
      <c r="B744">
        <f t="shared" si="66"/>
        <v>1409</v>
      </c>
      <c r="C744">
        <f t="shared" si="67"/>
        <v>1468</v>
      </c>
      <c r="D744" t="s">
        <v>29</v>
      </c>
      <c r="E744" t="str">
        <f>D745</f>
        <v>Russell</v>
      </c>
      <c r="F744">
        <v>2018</v>
      </c>
      <c r="G744">
        <v>2</v>
      </c>
      <c r="H744">
        <v>2.1</v>
      </c>
      <c r="I744" s="14">
        <v>78</v>
      </c>
      <c r="J744">
        <f>I744-I745</f>
        <v>-14</v>
      </c>
      <c r="K744" t="str">
        <f t="shared" si="68"/>
        <v>L</v>
      </c>
      <c r="L744" t="str">
        <f t="shared" si="69"/>
        <v>David</v>
      </c>
      <c r="M744" t="str">
        <f>VLOOKUP(L744,References!$A$2:$B$16,2,FALSE)</f>
        <v>TEXAROK</v>
      </c>
      <c r="N744" s="19" t="str">
        <f>IF(M744=M745,"N","Y")</f>
        <v>N</v>
      </c>
      <c r="O744">
        <f>SUM(I744:I745)</f>
        <v>170</v>
      </c>
      <c r="P744">
        <f t="shared" si="71"/>
        <v>92</v>
      </c>
    </row>
    <row r="745" spans="1:16" hidden="1" x14ac:dyDescent="0.3">
      <c r="A745" t="str">
        <f t="shared" si="70"/>
        <v>2018Russell2</v>
      </c>
      <c r="B745">
        <f t="shared" si="66"/>
        <v>660</v>
      </c>
      <c r="C745">
        <f t="shared" si="67"/>
        <v>958</v>
      </c>
      <c r="D745" t="s">
        <v>28</v>
      </c>
      <c r="E745" t="str">
        <f>D744</f>
        <v>David</v>
      </c>
      <c r="F745">
        <v>2018</v>
      </c>
      <c r="G745">
        <v>2</v>
      </c>
      <c r="H745">
        <v>2.2000000000000002</v>
      </c>
      <c r="I745" s="14">
        <v>92</v>
      </c>
      <c r="J745">
        <f>I745-I744</f>
        <v>14</v>
      </c>
      <c r="K745" t="str">
        <f t="shared" si="68"/>
        <v>W</v>
      </c>
      <c r="L745" t="str">
        <f t="shared" si="69"/>
        <v>Russell</v>
      </c>
      <c r="M745" t="str">
        <f>VLOOKUP(L745,References!$A$2:$B$16,2,FALSE)</f>
        <v>TEXAROK</v>
      </c>
      <c r="N745" s="19" t="str">
        <f>IF(M745=M744,"N","Y")</f>
        <v>N</v>
      </c>
      <c r="O745">
        <f>SUM(I744:I745)</f>
        <v>170</v>
      </c>
      <c r="P745">
        <f t="shared" si="71"/>
        <v>78</v>
      </c>
    </row>
    <row r="746" spans="1:16" hidden="1" x14ac:dyDescent="0.3">
      <c r="A746" t="str">
        <f t="shared" si="70"/>
        <v>2018Mark2</v>
      </c>
      <c r="B746">
        <f t="shared" si="66"/>
        <v>2024</v>
      </c>
      <c r="C746">
        <f t="shared" si="67"/>
        <v>1767</v>
      </c>
      <c r="D746" t="s">
        <v>22</v>
      </c>
      <c r="E746" t="str">
        <f>D747</f>
        <v>Charles</v>
      </c>
      <c r="F746">
        <v>2018</v>
      </c>
      <c r="G746">
        <v>2</v>
      </c>
      <c r="H746">
        <v>3.1</v>
      </c>
      <c r="I746" s="14">
        <v>69</v>
      </c>
      <c r="J746">
        <f>I746-I747</f>
        <v>-58</v>
      </c>
      <c r="K746" t="str">
        <f t="shared" si="68"/>
        <v>L</v>
      </c>
      <c r="L746" t="str">
        <f t="shared" si="69"/>
        <v>Mark</v>
      </c>
      <c r="M746" t="str">
        <f>VLOOKUP(L746,References!$A$2:$B$16,2,FALSE)</f>
        <v>AKCOVA</v>
      </c>
      <c r="N746" s="19" t="str">
        <f>IF(M746=M747,"N","Y")</f>
        <v>N</v>
      </c>
      <c r="O746">
        <f>SUM(I746:I747)</f>
        <v>196</v>
      </c>
      <c r="P746">
        <f t="shared" si="71"/>
        <v>127</v>
      </c>
    </row>
    <row r="747" spans="1:16" hidden="1" x14ac:dyDescent="0.3">
      <c r="A747" t="str">
        <f t="shared" si="70"/>
        <v>2018Charles2</v>
      </c>
      <c r="B747">
        <f t="shared" si="66"/>
        <v>62</v>
      </c>
      <c r="C747">
        <f t="shared" si="67"/>
        <v>136</v>
      </c>
      <c r="D747" t="s">
        <v>48</v>
      </c>
      <c r="E747" t="str">
        <f>D746</f>
        <v>Mark</v>
      </c>
      <c r="F747">
        <v>2018</v>
      </c>
      <c r="G747">
        <v>2</v>
      </c>
      <c r="H747">
        <v>3.2</v>
      </c>
      <c r="I747" s="14">
        <v>127</v>
      </c>
      <c r="J747">
        <f>I747-I746</f>
        <v>58</v>
      </c>
      <c r="K747" t="str">
        <f t="shared" si="68"/>
        <v>W</v>
      </c>
      <c r="L747" t="str">
        <f t="shared" si="69"/>
        <v>Charles</v>
      </c>
      <c r="M747" t="str">
        <f>VLOOKUP(L747,References!$A$2:$B$16,2,FALSE)</f>
        <v>AKCOVA</v>
      </c>
      <c r="N747" s="19" t="str">
        <f>IF(M747=M746,"N","Y")</f>
        <v>N</v>
      </c>
      <c r="O747">
        <f>SUM(I746:I747)</f>
        <v>196</v>
      </c>
      <c r="P747">
        <f t="shared" si="71"/>
        <v>69</v>
      </c>
    </row>
    <row r="748" spans="1:16" hidden="1" x14ac:dyDescent="0.3">
      <c r="A748" t="str">
        <f t="shared" si="70"/>
        <v>2018Matt2</v>
      </c>
      <c r="B748">
        <f t="shared" si="66"/>
        <v>865</v>
      </c>
      <c r="C748">
        <f t="shared" si="67"/>
        <v>992</v>
      </c>
      <c r="D748" t="s">
        <v>30</v>
      </c>
      <c r="E748" t="str">
        <f>D749</f>
        <v>Brent</v>
      </c>
      <c r="F748">
        <v>2018</v>
      </c>
      <c r="G748">
        <v>2</v>
      </c>
      <c r="H748">
        <v>4.0999999999999996</v>
      </c>
      <c r="I748" s="14">
        <v>91</v>
      </c>
      <c r="J748">
        <f>I748-I749</f>
        <v>6</v>
      </c>
      <c r="K748" t="str">
        <f t="shared" si="68"/>
        <v>W</v>
      </c>
      <c r="L748" t="str">
        <f t="shared" si="69"/>
        <v>Matt</v>
      </c>
      <c r="M748" t="str">
        <f>VLOOKUP(L748,References!$A$2:$B$16,2,FALSE)</f>
        <v>TEXAROK</v>
      </c>
      <c r="N748" s="19" t="str">
        <f>IF(M748=M749,"N","Y")</f>
        <v>N</v>
      </c>
      <c r="O748">
        <f>SUM(I748:I749)</f>
        <v>176</v>
      </c>
      <c r="P748">
        <f t="shared" si="71"/>
        <v>85</v>
      </c>
    </row>
    <row r="749" spans="1:16" hidden="1" x14ac:dyDescent="0.3">
      <c r="A749" t="str">
        <f t="shared" si="70"/>
        <v>2018Brent2</v>
      </c>
      <c r="B749">
        <f t="shared" si="66"/>
        <v>1197</v>
      </c>
      <c r="C749">
        <f t="shared" si="67"/>
        <v>1210</v>
      </c>
      <c r="D749" t="s">
        <v>47</v>
      </c>
      <c r="E749" t="str">
        <f>D748</f>
        <v>Matt</v>
      </c>
      <c r="F749">
        <v>2018</v>
      </c>
      <c r="G749">
        <v>2</v>
      </c>
      <c r="H749">
        <v>4.2</v>
      </c>
      <c r="I749" s="14">
        <v>85</v>
      </c>
      <c r="J749">
        <f>I749-I748</f>
        <v>-6</v>
      </c>
      <c r="K749" t="str">
        <f t="shared" si="68"/>
        <v>L</v>
      </c>
      <c r="L749" t="str">
        <f t="shared" si="69"/>
        <v>Brent</v>
      </c>
      <c r="M749" t="str">
        <f>VLOOKUP(L749,References!$A$2:$B$16,2,FALSE)</f>
        <v>TEXAROK</v>
      </c>
      <c r="N749" s="19" t="str">
        <f>IF(M749=M748,"N","Y")</f>
        <v>N</v>
      </c>
      <c r="O749">
        <f>SUM(I748:I749)</f>
        <v>176</v>
      </c>
      <c r="P749">
        <f t="shared" si="71"/>
        <v>91</v>
      </c>
    </row>
    <row r="750" spans="1:16" hidden="1" x14ac:dyDescent="0.3">
      <c r="A750" t="str">
        <f t="shared" si="70"/>
        <v>2018BR2</v>
      </c>
      <c r="B750">
        <f t="shared" si="66"/>
        <v>410</v>
      </c>
      <c r="C750">
        <f t="shared" si="67"/>
        <v>777</v>
      </c>
      <c r="D750" t="s">
        <v>25</v>
      </c>
      <c r="E750" t="str">
        <f>D751</f>
        <v>Abby</v>
      </c>
      <c r="F750">
        <v>2018</v>
      </c>
      <c r="G750">
        <v>2</v>
      </c>
      <c r="H750">
        <v>5.0999999999999996</v>
      </c>
      <c r="I750" s="14">
        <v>97</v>
      </c>
      <c r="J750">
        <f>I750-I751</f>
        <v>25</v>
      </c>
      <c r="K750" t="str">
        <f t="shared" si="68"/>
        <v>W</v>
      </c>
      <c r="L750" t="str">
        <f t="shared" si="69"/>
        <v>BR</v>
      </c>
      <c r="M750" t="str">
        <f>VLOOKUP(L750,References!$A$2:$B$16,2,FALSE)</f>
        <v>AKCOVA</v>
      </c>
      <c r="N750" s="19" t="str">
        <f>IF(M750=M751,"N","Y")</f>
        <v>N</v>
      </c>
      <c r="O750">
        <f>SUM(I750:I751)</f>
        <v>169</v>
      </c>
      <c r="P750">
        <f t="shared" si="71"/>
        <v>72</v>
      </c>
    </row>
    <row r="751" spans="1:16" hidden="1" x14ac:dyDescent="0.3">
      <c r="A751" t="str">
        <f t="shared" si="70"/>
        <v>2018Abby2</v>
      </c>
      <c r="B751">
        <f t="shared" si="66"/>
        <v>1661</v>
      </c>
      <c r="C751">
        <f t="shared" si="67"/>
        <v>1684</v>
      </c>
      <c r="D751" t="s">
        <v>27</v>
      </c>
      <c r="E751" t="str">
        <f>D750</f>
        <v>BR</v>
      </c>
      <c r="F751">
        <v>2018</v>
      </c>
      <c r="G751">
        <v>2</v>
      </c>
      <c r="H751">
        <v>5.2</v>
      </c>
      <c r="I751" s="14">
        <v>72</v>
      </c>
      <c r="J751">
        <f>I751-I750</f>
        <v>-25</v>
      </c>
      <c r="K751" t="str">
        <f t="shared" si="68"/>
        <v>L</v>
      </c>
      <c r="L751" t="str">
        <f t="shared" si="69"/>
        <v>Abby</v>
      </c>
      <c r="M751" t="str">
        <f>VLOOKUP(L751,References!$A$2:$B$16,2,FALSE)</f>
        <v>AKCOVA</v>
      </c>
      <c r="N751" s="19" t="str">
        <f>IF(M751=M750,"N","Y")</f>
        <v>N</v>
      </c>
      <c r="O751">
        <f>SUM(I750:I751)</f>
        <v>169</v>
      </c>
      <c r="P751">
        <f t="shared" si="71"/>
        <v>97</v>
      </c>
    </row>
    <row r="752" spans="1:16" hidden="1" x14ac:dyDescent="0.3">
      <c r="A752" t="str">
        <f t="shared" si="70"/>
        <v>2018Watty2</v>
      </c>
      <c r="B752">
        <f t="shared" si="66"/>
        <v>865</v>
      </c>
      <c r="C752">
        <f t="shared" si="67"/>
        <v>857</v>
      </c>
      <c r="D752" t="s">
        <v>24</v>
      </c>
      <c r="E752" t="str">
        <f>D753</f>
        <v>Brian</v>
      </c>
      <c r="F752">
        <v>2018</v>
      </c>
      <c r="G752">
        <v>2</v>
      </c>
      <c r="H752">
        <v>6.1</v>
      </c>
      <c r="I752" s="14">
        <v>95</v>
      </c>
      <c r="J752">
        <f>I752-I753</f>
        <v>6</v>
      </c>
      <c r="K752" t="str">
        <f t="shared" si="68"/>
        <v>W</v>
      </c>
      <c r="L752" t="str">
        <f t="shared" si="69"/>
        <v>Watty</v>
      </c>
      <c r="M752" t="str">
        <f>VLOOKUP(L752,References!$A$2:$B$16,2,FALSE)</f>
        <v>AKCOVA</v>
      </c>
      <c r="N752" s="19" t="str">
        <f>IF(M752=M753,"N","Y")</f>
        <v>Y</v>
      </c>
      <c r="O752">
        <f>SUM(I752:I753)</f>
        <v>184</v>
      </c>
      <c r="P752">
        <f t="shared" si="71"/>
        <v>89</v>
      </c>
    </row>
    <row r="753" spans="1:16" hidden="1" x14ac:dyDescent="0.3">
      <c r="A753" t="str">
        <f t="shared" si="70"/>
        <v>2018Brian2</v>
      </c>
      <c r="B753">
        <f t="shared" si="66"/>
        <v>1197</v>
      </c>
      <c r="C753">
        <f t="shared" si="67"/>
        <v>1055</v>
      </c>
      <c r="D753" t="s">
        <v>26</v>
      </c>
      <c r="E753" t="str">
        <f>D752</f>
        <v>Watty</v>
      </c>
      <c r="F753">
        <v>2018</v>
      </c>
      <c r="G753">
        <v>2</v>
      </c>
      <c r="H753">
        <v>6.2</v>
      </c>
      <c r="I753" s="14">
        <v>89</v>
      </c>
      <c r="J753">
        <f>I753-I752</f>
        <v>-6</v>
      </c>
      <c r="K753" t="str">
        <f t="shared" si="68"/>
        <v>L</v>
      </c>
      <c r="L753" t="str">
        <f t="shared" si="69"/>
        <v>Brian</v>
      </c>
      <c r="M753" t="str">
        <f>VLOOKUP(L753,References!$A$2:$B$16,2,FALSE)</f>
        <v>TEXAROK</v>
      </c>
      <c r="N753" s="19" t="str">
        <f>IF(M753=M752,"N","Y")</f>
        <v>Y</v>
      </c>
      <c r="O753">
        <f>SUM(I752:I753)</f>
        <v>184</v>
      </c>
      <c r="P753">
        <f t="shared" si="71"/>
        <v>95</v>
      </c>
    </row>
    <row r="754" spans="1:16" hidden="1" x14ac:dyDescent="0.3">
      <c r="A754" t="str">
        <f t="shared" si="70"/>
        <v>2018Michael3</v>
      </c>
      <c r="B754">
        <f t="shared" si="66"/>
        <v>97</v>
      </c>
      <c r="C754">
        <f t="shared" si="67"/>
        <v>136</v>
      </c>
      <c r="D754" t="s">
        <v>23</v>
      </c>
      <c r="E754" t="str">
        <f>D755</f>
        <v>Brent</v>
      </c>
      <c r="F754">
        <v>2018</v>
      </c>
      <c r="G754">
        <v>3</v>
      </c>
      <c r="H754">
        <v>1.1000000000000001</v>
      </c>
      <c r="I754" s="14">
        <v>127</v>
      </c>
      <c r="J754">
        <f>I754-I755</f>
        <v>52</v>
      </c>
      <c r="K754" t="str">
        <f t="shared" si="68"/>
        <v>W</v>
      </c>
      <c r="L754" t="str">
        <f t="shared" si="69"/>
        <v>Michael</v>
      </c>
      <c r="M754" t="str">
        <f>VLOOKUP(L754,References!$A$2:$B$16,2,FALSE)</f>
        <v>AKCOVA</v>
      </c>
      <c r="N754" s="19" t="str">
        <f>IF(M754=M755,"N","Y")</f>
        <v>Y</v>
      </c>
      <c r="O754">
        <f>SUM(I754:I755)</f>
        <v>202</v>
      </c>
      <c r="P754">
        <f t="shared" si="71"/>
        <v>75</v>
      </c>
    </row>
    <row r="755" spans="1:16" hidden="1" x14ac:dyDescent="0.3">
      <c r="A755" t="str">
        <f t="shared" si="70"/>
        <v>2018Brent3</v>
      </c>
      <c r="B755">
        <f t="shared" si="66"/>
        <v>1991</v>
      </c>
      <c r="C755">
        <f t="shared" si="67"/>
        <v>1595</v>
      </c>
      <c r="D755" t="s">
        <v>47</v>
      </c>
      <c r="E755" t="str">
        <f>D754</f>
        <v>Michael</v>
      </c>
      <c r="F755">
        <v>2018</v>
      </c>
      <c r="G755">
        <v>3</v>
      </c>
      <c r="H755">
        <v>1.2</v>
      </c>
      <c r="I755" s="14">
        <v>75</v>
      </c>
      <c r="J755">
        <f>I755-I754</f>
        <v>-52</v>
      </c>
      <c r="K755" t="str">
        <f t="shared" si="68"/>
        <v>L</v>
      </c>
      <c r="L755" t="str">
        <f t="shared" si="69"/>
        <v>Brent</v>
      </c>
      <c r="M755" t="str">
        <f>VLOOKUP(L755,References!$A$2:$B$16,2,FALSE)</f>
        <v>TEXAROK</v>
      </c>
      <c r="N755" s="19" t="str">
        <f>IF(M755=M754,"N","Y")</f>
        <v>Y</v>
      </c>
      <c r="O755">
        <f>SUM(I754:I755)</f>
        <v>202</v>
      </c>
      <c r="P755">
        <f t="shared" si="71"/>
        <v>127</v>
      </c>
    </row>
    <row r="756" spans="1:16" hidden="1" x14ac:dyDescent="0.3">
      <c r="A756" t="str">
        <f t="shared" si="70"/>
        <v>2018David3</v>
      </c>
      <c r="B756">
        <f t="shared" si="66"/>
        <v>949</v>
      </c>
      <c r="C756">
        <f t="shared" si="67"/>
        <v>631</v>
      </c>
      <c r="D756" t="s">
        <v>29</v>
      </c>
      <c r="E756" t="str">
        <f>D757</f>
        <v>Matt</v>
      </c>
      <c r="F756">
        <v>2018</v>
      </c>
      <c r="G756">
        <v>3</v>
      </c>
      <c r="H756">
        <v>2.1</v>
      </c>
      <c r="I756" s="14">
        <v>102</v>
      </c>
      <c r="J756">
        <f>I756-I757</f>
        <v>3</v>
      </c>
      <c r="K756" t="str">
        <f t="shared" si="68"/>
        <v>W</v>
      </c>
      <c r="L756" t="str">
        <f t="shared" si="69"/>
        <v>David</v>
      </c>
      <c r="M756" t="str">
        <f>VLOOKUP(L756,References!$A$2:$B$16,2,FALSE)</f>
        <v>TEXAROK</v>
      </c>
      <c r="N756" s="19" t="str">
        <f>IF(M756=M757,"N","Y")</f>
        <v>N</v>
      </c>
      <c r="O756">
        <f>SUM(I756:I757)</f>
        <v>201</v>
      </c>
      <c r="P756">
        <f t="shared" si="71"/>
        <v>99</v>
      </c>
    </row>
    <row r="757" spans="1:16" hidden="1" x14ac:dyDescent="0.3">
      <c r="A757" t="str">
        <f t="shared" si="70"/>
        <v>2018Matt3</v>
      </c>
      <c r="B757">
        <f t="shared" si="66"/>
        <v>1117</v>
      </c>
      <c r="C757">
        <f t="shared" si="67"/>
        <v>714</v>
      </c>
      <c r="D757" t="s">
        <v>30</v>
      </c>
      <c r="E757" t="str">
        <f>D756</f>
        <v>David</v>
      </c>
      <c r="F757">
        <v>2018</v>
      </c>
      <c r="G757">
        <v>3</v>
      </c>
      <c r="H757">
        <v>2.2000000000000002</v>
      </c>
      <c r="I757" s="14">
        <v>99</v>
      </c>
      <c r="J757">
        <f>I757-I756</f>
        <v>-3</v>
      </c>
      <c r="K757" t="str">
        <f t="shared" si="68"/>
        <v>L</v>
      </c>
      <c r="L757" t="str">
        <f t="shared" si="69"/>
        <v>Matt</v>
      </c>
      <c r="M757" t="str">
        <f>VLOOKUP(L757,References!$A$2:$B$16,2,FALSE)</f>
        <v>TEXAROK</v>
      </c>
      <c r="N757" s="19" t="str">
        <f>IF(M757=M756,"N","Y")</f>
        <v>N</v>
      </c>
      <c r="O757">
        <f>SUM(I756:I757)</f>
        <v>201</v>
      </c>
      <c r="P757">
        <f t="shared" si="71"/>
        <v>102</v>
      </c>
    </row>
    <row r="758" spans="1:16" hidden="1" x14ac:dyDescent="0.3">
      <c r="A758" t="str">
        <f t="shared" si="70"/>
        <v>2018Brian3</v>
      </c>
      <c r="B758">
        <f t="shared" si="66"/>
        <v>1040</v>
      </c>
      <c r="C758">
        <f t="shared" si="67"/>
        <v>893</v>
      </c>
      <c r="D758" t="s">
        <v>26</v>
      </c>
      <c r="E758" t="str">
        <f>D759</f>
        <v>BR</v>
      </c>
      <c r="F758">
        <v>2018</v>
      </c>
      <c r="G758">
        <v>3</v>
      </c>
      <c r="H758">
        <v>3.1</v>
      </c>
      <c r="I758" s="14">
        <v>94</v>
      </c>
      <c r="J758">
        <f>I758-I759</f>
        <v>0</v>
      </c>
      <c r="K758" t="str">
        <f t="shared" si="68"/>
        <v>T</v>
      </c>
      <c r="L758" t="str">
        <f t="shared" si="69"/>
        <v>Brian</v>
      </c>
      <c r="M758" t="str">
        <f>VLOOKUP(L758,References!$A$2:$B$16,2,FALSE)</f>
        <v>TEXAROK</v>
      </c>
      <c r="N758" s="19" t="str">
        <f>IF(M758=M759,"N","Y")</f>
        <v>Y</v>
      </c>
      <c r="O758">
        <f>SUM(I758:I759)</f>
        <v>188</v>
      </c>
      <c r="P758">
        <f t="shared" si="71"/>
        <v>94</v>
      </c>
    </row>
    <row r="759" spans="1:16" hidden="1" x14ac:dyDescent="0.3">
      <c r="A759" t="str">
        <f t="shared" si="70"/>
        <v>2018BR3</v>
      </c>
      <c r="B759">
        <f t="shared" si="66"/>
        <v>1040</v>
      </c>
      <c r="C759">
        <f t="shared" si="67"/>
        <v>893</v>
      </c>
      <c r="D759" t="s">
        <v>25</v>
      </c>
      <c r="E759" t="str">
        <f>D758</f>
        <v>Brian</v>
      </c>
      <c r="F759">
        <v>2018</v>
      </c>
      <c r="G759">
        <v>3</v>
      </c>
      <c r="H759">
        <v>3.2</v>
      </c>
      <c r="I759" s="14">
        <v>94</v>
      </c>
      <c r="J759">
        <f>I759-I758</f>
        <v>0</v>
      </c>
      <c r="K759" t="str">
        <f t="shared" si="68"/>
        <v>T</v>
      </c>
      <c r="L759" t="str">
        <f t="shared" si="69"/>
        <v>BR</v>
      </c>
      <c r="M759" t="str">
        <f>VLOOKUP(L759,References!$A$2:$B$16,2,FALSE)</f>
        <v>AKCOVA</v>
      </c>
      <c r="N759" s="19" t="str">
        <f>IF(M759=M758,"N","Y")</f>
        <v>Y</v>
      </c>
      <c r="O759">
        <f>SUM(I758:I759)</f>
        <v>188</v>
      </c>
      <c r="P759">
        <f t="shared" si="71"/>
        <v>94</v>
      </c>
    </row>
    <row r="760" spans="1:16" hidden="1" x14ac:dyDescent="0.3">
      <c r="A760" t="str">
        <f t="shared" si="70"/>
        <v>2018Russell3</v>
      </c>
      <c r="B760">
        <f t="shared" si="66"/>
        <v>1753</v>
      </c>
      <c r="C760">
        <f t="shared" si="67"/>
        <v>1738</v>
      </c>
      <c r="D760" t="s">
        <v>28</v>
      </c>
      <c r="E760" t="str">
        <f>D761</f>
        <v>Emily</v>
      </c>
      <c r="F760">
        <v>2018</v>
      </c>
      <c r="G760">
        <v>3</v>
      </c>
      <c r="H760">
        <v>4.0999999999999996</v>
      </c>
      <c r="I760" s="14">
        <v>70</v>
      </c>
      <c r="J760">
        <f>I760-I761</f>
        <v>-30</v>
      </c>
      <c r="K760" t="str">
        <f t="shared" si="68"/>
        <v>L</v>
      </c>
      <c r="L760" t="str">
        <f t="shared" si="69"/>
        <v>Russell</v>
      </c>
      <c r="M760" t="str">
        <f>VLOOKUP(L760,References!$A$2:$B$16,2,FALSE)</f>
        <v>TEXAROK</v>
      </c>
      <c r="N760" s="19" t="str">
        <f>IF(M760=M761,"N","Y")</f>
        <v>N</v>
      </c>
      <c r="O760">
        <f>SUM(I760:I761)</f>
        <v>170</v>
      </c>
      <c r="P760">
        <f t="shared" si="71"/>
        <v>100</v>
      </c>
    </row>
    <row r="761" spans="1:16" hidden="1" x14ac:dyDescent="0.3">
      <c r="A761" t="str">
        <f t="shared" si="70"/>
        <v>2018Emily3</v>
      </c>
      <c r="B761">
        <f t="shared" si="66"/>
        <v>319</v>
      </c>
      <c r="C761">
        <f t="shared" si="67"/>
        <v>678</v>
      </c>
      <c r="D761" t="s">
        <v>43</v>
      </c>
      <c r="E761" t="str">
        <f>D760</f>
        <v>Russell</v>
      </c>
      <c r="F761">
        <v>2018</v>
      </c>
      <c r="G761">
        <v>3</v>
      </c>
      <c r="H761">
        <v>4.2</v>
      </c>
      <c r="I761" s="14">
        <v>100</v>
      </c>
      <c r="J761">
        <f>I761-I760</f>
        <v>30</v>
      </c>
      <c r="K761" t="str">
        <f t="shared" si="68"/>
        <v>W</v>
      </c>
      <c r="L761" t="str">
        <f t="shared" si="69"/>
        <v>Emily</v>
      </c>
      <c r="M761" t="str">
        <f>VLOOKUP(L761,References!$A$2:$B$16,2,FALSE)</f>
        <v>TEXAROK</v>
      </c>
      <c r="N761" s="19" t="str">
        <f>IF(M761=M760,"N","Y")</f>
        <v>N</v>
      </c>
      <c r="O761">
        <f>SUM(I760:I761)</f>
        <v>170</v>
      </c>
      <c r="P761">
        <f t="shared" si="71"/>
        <v>70</v>
      </c>
    </row>
    <row r="762" spans="1:16" hidden="1" x14ac:dyDescent="0.3">
      <c r="A762" t="str">
        <f t="shared" si="70"/>
        <v>2018Abby3</v>
      </c>
      <c r="B762">
        <f t="shared" si="66"/>
        <v>713</v>
      </c>
      <c r="C762">
        <f t="shared" si="67"/>
        <v>926</v>
      </c>
      <c r="D762" t="s">
        <v>27</v>
      </c>
      <c r="E762" t="str">
        <f>D763</f>
        <v>Charles</v>
      </c>
      <c r="F762">
        <v>2018</v>
      </c>
      <c r="G762">
        <v>3</v>
      </c>
      <c r="H762">
        <v>5.0999999999999996</v>
      </c>
      <c r="I762" s="14">
        <v>93</v>
      </c>
      <c r="J762">
        <f>I762-I763</f>
        <v>12</v>
      </c>
      <c r="K762" t="str">
        <f t="shared" si="68"/>
        <v>W</v>
      </c>
      <c r="L762" t="str">
        <f t="shared" si="69"/>
        <v>Abby</v>
      </c>
      <c r="M762" t="str">
        <f>VLOOKUP(L762,References!$A$2:$B$16,2,FALSE)</f>
        <v>AKCOVA</v>
      </c>
      <c r="N762" s="19" t="str">
        <f>IF(M762=M763,"N","Y")</f>
        <v>N</v>
      </c>
      <c r="O762">
        <f>SUM(I762:I763)</f>
        <v>174</v>
      </c>
      <c r="P762">
        <f t="shared" si="71"/>
        <v>81</v>
      </c>
    </row>
    <row r="763" spans="1:16" hidden="1" x14ac:dyDescent="0.3">
      <c r="A763" t="str">
        <f t="shared" si="70"/>
        <v>2018Charles3</v>
      </c>
      <c r="B763">
        <f t="shared" si="66"/>
        <v>1357</v>
      </c>
      <c r="C763">
        <f t="shared" si="67"/>
        <v>1365</v>
      </c>
      <c r="D763" t="s">
        <v>48</v>
      </c>
      <c r="E763" t="str">
        <f>D762</f>
        <v>Abby</v>
      </c>
      <c r="F763">
        <v>2018</v>
      </c>
      <c r="G763">
        <v>3</v>
      </c>
      <c r="H763">
        <v>5.2</v>
      </c>
      <c r="I763" s="14">
        <v>81</v>
      </c>
      <c r="J763">
        <f>I763-I762</f>
        <v>-12</v>
      </c>
      <c r="K763" t="str">
        <f t="shared" si="68"/>
        <v>L</v>
      </c>
      <c r="L763" t="str">
        <f t="shared" si="69"/>
        <v>Charles</v>
      </c>
      <c r="M763" t="str">
        <f>VLOOKUP(L763,References!$A$2:$B$16,2,FALSE)</f>
        <v>AKCOVA</v>
      </c>
      <c r="N763" s="19" t="str">
        <f>IF(M763=M762,"N","Y")</f>
        <v>N</v>
      </c>
      <c r="O763">
        <f>SUM(I762:I763)</f>
        <v>174</v>
      </c>
      <c r="P763">
        <f t="shared" si="71"/>
        <v>93</v>
      </c>
    </row>
    <row r="764" spans="1:16" hidden="1" x14ac:dyDescent="0.3">
      <c r="A764" t="str">
        <f t="shared" si="70"/>
        <v>2018Watty3</v>
      </c>
      <c r="B764">
        <f t="shared" si="66"/>
        <v>1661</v>
      </c>
      <c r="C764">
        <f t="shared" si="67"/>
        <v>2027</v>
      </c>
      <c r="D764" t="s">
        <v>24</v>
      </c>
      <c r="E764" t="str">
        <f>D765</f>
        <v>Mark</v>
      </c>
      <c r="F764">
        <v>2018</v>
      </c>
      <c r="G764">
        <v>3</v>
      </c>
      <c r="H764">
        <v>6.1</v>
      </c>
      <c r="I764" s="14">
        <v>53</v>
      </c>
      <c r="J764">
        <f>I764-I765</f>
        <v>-25</v>
      </c>
      <c r="K764" t="str">
        <f t="shared" si="68"/>
        <v>L</v>
      </c>
      <c r="L764" t="str">
        <f t="shared" si="69"/>
        <v>Watty</v>
      </c>
      <c r="M764" t="str">
        <f>VLOOKUP(L764,References!$A$2:$B$16,2,FALSE)</f>
        <v>AKCOVA</v>
      </c>
      <c r="N764" s="19" t="str">
        <f>IF(M764=M765,"N","Y")</f>
        <v>N</v>
      </c>
      <c r="O764">
        <f>SUM(I764:I765)</f>
        <v>131</v>
      </c>
      <c r="P764">
        <f t="shared" si="71"/>
        <v>78</v>
      </c>
    </row>
    <row r="765" spans="1:16" hidden="1" x14ac:dyDescent="0.3">
      <c r="A765" t="str">
        <f t="shared" si="70"/>
        <v>2018Mark3</v>
      </c>
      <c r="B765">
        <f t="shared" si="66"/>
        <v>410</v>
      </c>
      <c r="C765">
        <f t="shared" si="67"/>
        <v>1468</v>
      </c>
      <c r="D765" t="s">
        <v>22</v>
      </c>
      <c r="E765" t="str">
        <f>D764</f>
        <v>Watty</v>
      </c>
      <c r="F765">
        <v>2018</v>
      </c>
      <c r="G765">
        <v>3</v>
      </c>
      <c r="H765">
        <v>6.2</v>
      </c>
      <c r="I765" s="14">
        <v>78</v>
      </c>
      <c r="J765">
        <f>I765-I764</f>
        <v>25</v>
      </c>
      <c r="K765" t="str">
        <f t="shared" si="68"/>
        <v>W</v>
      </c>
      <c r="L765" t="str">
        <f t="shared" si="69"/>
        <v>Mark</v>
      </c>
      <c r="M765" t="str">
        <f>VLOOKUP(L765,References!$A$2:$B$16,2,FALSE)</f>
        <v>AKCOVA</v>
      </c>
      <c r="N765" s="19" t="str">
        <f>IF(M765=M764,"N","Y")</f>
        <v>N</v>
      </c>
      <c r="O765">
        <f>SUM(I764:I765)</f>
        <v>131</v>
      </c>
      <c r="P765">
        <f t="shared" si="71"/>
        <v>53</v>
      </c>
    </row>
    <row r="766" spans="1:16" hidden="1" x14ac:dyDescent="0.3">
      <c r="A766" t="str">
        <f t="shared" si="70"/>
        <v>2018Russell4</v>
      </c>
      <c r="B766">
        <f t="shared" si="66"/>
        <v>225</v>
      </c>
      <c r="C766">
        <f t="shared" si="67"/>
        <v>631</v>
      </c>
      <c r="D766" t="s">
        <v>28</v>
      </c>
      <c r="E766" t="str">
        <f>D767</f>
        <v>Michael</v>
      </c>
      <c r="F766">
        <v>2018</v>
      </c>
      <c r="G766">
        <v>4</v>
      </c>
      <c r="H766">
        <v>1.1000000000000001</v>
      </c>
      <c r="I766" s="14">
        <v>102</v>
      </c>
      <c r="J766">
        <f>I766-I767</f>
        <v>37</v>
      </c>
      <c r="K766" t="str">
        <f t="shared" si="68"/>
        <v>W</v>
      </c>
      <c r="L766" t="str">
        <f t="shared" si="69"/>
        <v>Russell</v>
      </c>
      <c r="M766" t="str">
        <f>VLOOKUP(L766,References!$A$2:$B$16,2,FALSE)</f>
        <v>TEXAROK</v>
      </c>
      <c r="N766" s="19" t="str">
        <f>IF(M766=M767,"N","Y")</f>
        <v>Y</v>
      </c>
      <c r="O766">
        <f>SUM(I766:I767)</f>
        <v>167</v>
      </c>
      <c r="P766">
        <f t="shared" si="71"/>
        <v>65</v>
      </c>
    </row>
    <row r="767" spans="1:16" x14ac:dyDescent="0.3">
      <c r="A767" t="str">
        <f t="shared" si="70"/>
        <v>2018Michael4</v>
      </c>
      <c r="B767">
        <f t="shared" si="66"/>
        <v>1856</v>
      </c>
      <c r="C767">
        <f t="shared" si="67"/>
        <v>1853</v>
      </c>
      <c r="D767" t="s">
        <v>23</v>
      </c>
      <c r="E767" t="str">
        <f>D766</f>
        <v>Russell</v>
      </c>
      <c r="F767">
        <v>2018</v>
      </c>
      <c r="G767">
        <v>4</v>
      </c>
      <c r="H767">
        <v>1.2</v>
      </c>
      <c r="I767" s="14">
        <v>65</v>
      </c>
      <c r="J767">
        <f>I767-I766</f>
        <v>-37</v>
      </c>
      <c r="K767" t="str">
        <f t="shared" si="68"/>
        <v>L</v>
      </c>
      <c r="L767" t="str">
        <f t="shared" si="69"/>
        <v>Michael</v>
      </c>
      <c r="M767" t="str">
        <f>VLOOKUP(L767,References!$A$2:$B$16,2,FALSE)</f>
        <v>AKCOVA</v>
      </c>
      <c r="N767" s="19" t="str">
        <f>IF(M767=M766,"N","Y")</f>
        <v>Y</v>
      </c>
      <c r="O767">
        <f>SUM(I766:I767)</f>
        <v>167</v>
      </c>
      <c r="P767">
        <f t="shared" si="71"/>
        <v>102</v>
      </c>
    </row>
    <row r="768" spans="1:16" hidden="1" x14ac:dyDescent="0.3">
      <c r="A768" t="str">
        <f t="shared" si="70"/>
        <v>2018Emily4</v>
      </c>
      <c r="B768">
        <f t="shared" si="66"/>
        <v>103</v>
      </c>
      <c r="C768">
        <f t="shared" si="67"/>
        <v>17</v>
      </c>
      <c r="D768" t="s">
        <v>43</v>
      </c>
      <c r="E768" t="str">
        <f>D769</f>
        <v>Matt</v>
      </c>
      <c r="F768">
        <v>2018</v>
      </c>
      <c r="G768">
        <v>4</v>
      </c>
      <c r="H768">
        <v>2.1</v>
      </c>
      <c r="I768" s="14">
        <v>155</v>
      </c>
      <c r="J768">
        <f>I768-I769</f>
        <v>51</v>
      </c>
      <c r="K768" t="str">
        <f t="shared" si="68"/>
        <v>W</v>
      </c>
      <c r="L768" t="str">
        <f t="shared" si="69"/>
        <v>Emily</v>
      </c>
      <c r="M768" t="str">
        <f>VLOOKUP(L768,References!$A$2:$B$16,2,FALSE)</f>
        <v>TEXAROK</v>
      </c>
      <c r="N768" s="19" t="str">
        <f>IF(M768=M769,"N","Y")</f>
        <v>N</v>
      </c>
      <c r="O768">
        <f>SUM(I768:I769)</f>
        <v>259</v>
      </c>
      <c r="P768">
        <f t="shared" si="71"/>
        <v>104</v>
      </c>
    </row>
    <row r="769" spans="1:16" hidden="1" x14ac:dyDescent="0.3">
      <c r="A769" t="str">
        <f t="shared" si="70"/>
        <v>2018Matt4</v>
      </c>
      <c r="B769">
        <f t="shared" si="66"/>
        <v>1987</v>
      </c>
      <c r="C769">
        <f t="shared" si="67"/>
        <v>566</v>
      </c>
      <c r="D769" t="s">
        <v>30</v>
      </c>
      <c r="E769" t="str">
        <f>D768</f>
        <v>Emily</v>
      </c>
      <c r="F769">
        <v>2018</v>
      </c>
      <c r="G769">
        <v>4</v>
      </c>
      <c r="H769">
        <v>2.2000000000000002</v>
      </c>
      <c r="I769" s="14">
        <v>104</v>
      </c>
      <c r="J769">
        <f>I769-I768</f>
        <v>-51</v>
      </c>
      <c r="K769" t="str">
        <f t="shared" si="68"/>
        <v>L</v>
      </c>
      <c r="L769" t="str">
        <f t="shared" si="69"/>
        <v>Matt</v>
      </c>
      <c r="M769" t="str">
        <f>VLOOKUP(L769,References!$A$2:$B$16,2,FALSE)</f>
        <v>TEXAROK</v>
      </c>
      <c r="N769" s="19" t="str">
        <f>IF(M769=M768,"N","Y")</f>
        <v>N</v>
      </c>
      <c r="O769">
        <f>SUM(I768:I769)</f>
        <v>259</v>
      </c>
      <c r="P769">
        <f t="shared" si="71"/>
        <v>155</v>
      </c>
    </row>
    <row r="770" spans="1:16" hidden="1" x14ac:dyDescent="0.3">
      <c r="A770" t="str">
        <f t="shared" si="70"/>
        <v>2018Charles4</v>
      </c>
      <c r="B770">
        <f t="shared" ref="B770:B833" si="72">RANK(J770,diff)</f>
        <v>597</v>
      </c>
      <c r="C770">
        <f t="shared" ref="C770:C833" si="73">RANK(I770,points)</f>
        <v>339</v>
      </c>
      <c r="D770" t="s">
        <v>48</v>
      </c>
      <c r="E770" t="str">
        <f>D771</f>
        <v>Watty</v>
      </c>
      <c r="F770">
        <v>2018</v>
      </c>
      <c r="G770">
        <v>4</v>
      </c>
      <c r="H770">
        <v>3.1</v>
      </c>
      <c r="I770" s="14">
        <v>113</v>
      </c>
      <c r="J770">
        <f>I770-I771</f>
        <v>17</v>
      </c>
      <c r="K770" t="str">
        <f t="shared" ref="K770:K833" si="74">IF(J770&gt;0,"W",IF(J770&lt;0,"L","T"))</f>
        <v>W</v>
      </c>
      <c r="L770" t="str">
        <f t="shared" ref="L770:L833" si="75">D770</f>
        <v>Charles</v>
      </c>
      <c r="M770" t="str">
        <f>VLOOKUP(L770,References!$A$2:$B$16,2,FALSE)</f>
        <v>AKCOVA</v>
      </c>
      <c r="N770" s="19" t="str">
        <f>IF(M770=M771,"N","Y")</f>
        <v>N</v>
      </c>
      <c r="O770">
        <f>SUM(I770:I771)</f>
        <v>209</v>
      </c>
      <c r="P770">
        <f t="shared" si="71"/>
        <v>96</v>
      </c>
    </row>
    <row r="771" spans="1:16" hidden="1" x14ac:dyDescent="0.3">
      <c r="A771" t="str">
        <f t="shared" ref="A771:A834" si="76">F771&amp;D771&amp;G771</f>
        <v>2018Watty4</v>
      </c>
      <c r="B771">
        <f t="shared" si="72"/>
        <v>1475</v>
      </c>
      <c r="C771">
        <f t="shared" si="73"/>
        <v>822</v>
      </c>
      <c r="D771" t="s">
        <v>24</v>
      </c>
      <c r="E771" t="str">
        <f>D770</f>
        <v>Charles</v>
      </c>
      <c r="F771">
        <v>2018</v>
      </c>
      <c r="G771">
        <v>4</v>
      </c>
      <c r="H771">
        <v>3.2</v>
      </c>
      <c r="I771" s="14">
        <v>96</v>
      </c>
      <c r="J771">
        <f>I771-I770</f>
        <v>-17</v>
      </c>
      <c r="K771" t="str">
        <f t="shared" si="74"/>
        <v>L</v>
      </c>
      <c r="L771" t="str">
        <f t="shared" si="75"/>
        <v>Watty</v>
      </c>
      <c r="M771" t="str">
        <f>VLOOKUP(L771,References!$A$2:$B$16,2,FALSE)</f>
        <v>AKCOVA</v>
      </c>
      <c r="N771" s="19" t="str">
        <f>IF(M771=M770,"N","Y")</f>
        <v>N</v>
      </c>
      <c r="O771">
        <f>SUM(I770:I771)</f>
        <v>209</v>
      </c>
      <c r="P771">
        <f t="shared" ref="P771:P834" si="77">I771-J771</f>
        <v>113</v>
      </c>
    </row>
    <row r="772" spans="1:16" hidden="1" x14ac:dyDescent="0.3">
      <c r="A772" t="str">
        <f t="shared" si="76"/>
        <v>2018Brent4</v>
      </c>
      <c r="B772">
        <f t="shared" si="72"/>
        <v>433</v>
      </c>
      <c r="C772">
        <f t="shared" si="73"/>
        <v>292</v>
      </c>
      <c r="D772" t="s">
        <v>47</v>
      </c>
      <c r="E772" t="str">
        <f>D773</f>
        <v>David</v>
      </c>
      <c r="F772">
        <v>2018</v>
      </c>
      <c r="G772">
        <v>4</v>
      </c>
      <c r="H772">
        <v>4.0999999999999996</v>
      </c>
      <c r="I772" s="14">
        <v>116</v>
      </c>
      <c r="J772">
        <f>I772-I773</f>
        <v>24</v>
      </c>
      <c r="K772" t="str">
        <f t="shared" si="74"/>
        <v>W</v>
      </c>
      <c r="L772" t="str">
        <f t="shared" si="75"/>
        <v>Brent</v>
      </c>
      <c r="M772" t="str">
        <f>VLOOKUP(L772,References!$A$2:$B$16,2,FALSE)</f>
        <v>TEXAROK</v>
      </c>
      <c r="N772" s="19" t="str">
        <f>IF(M772=M773,"N","Y")</f>
        <v>N</v>
      </c>
      <c r="O772">
        <f>SUM(I772:I773)</f>
        <v>208</v>
      </c>
      <c r="P772">
        <f t="shared" si="77"/>
        <v>92</v>
      </c>
    </row>
    <row r="773" spans="1:16" hidden="1" x14ac:dyDescent="0.3">
      <c r="A773" t="str">
        <f t="shared" si="76"/>
        <v>2018David4</v>
      </c>
      <c r="B773">
        <f t="shared" si="72"/>
        <v>1644</v>
      </c>
      <c r="C773">
        <f t="shared" si="73"/>
        <v>958</v>
      </c>
      <c r="D773" t="s">
        <v>29</v>
      </c>
      <c r="E773" t="str">
        <f>D772</f>
        <v>Brent</v>
      </c>
      <c r="F773">
        <v>2018</v>
      </c>
      <c r="G773">
        <v>4</v>
      </c>
      <c r="H773">
        <v>4.2</v>
      </c>
      <c r="I773" s="14">
        <v>92</v>
      </c>
      <c r="J773">
        <f>I773-I772</f>
        <v>-24</v>
      </c>
      <c r="K773" t="str">
        <f t="shared" si="74"/>
        <v>L</v>
      </c>
      <c r="L773" t="str">
        <f t="shared" si="75"/>
        <v>David</v>
      </c>
      <c r="M773" t="str">
        <f>VLOOKUP(L773,References!$A$2:$B$16,2,FALSE)</f>
        <v>TEXAROK</v>
      </c>
      <c r="N773" s="19" t="str">
        <f>IF(M773=M772,"N","Y")</f>
        <v>N</v>
      </c>
      <c r="O773">
        <f>SUM(I772:I773)</f>
        <v>208</v>
      </c>
      <c r="P773">
        <f t="shared" si="77"/>
        <v>116</v>
      </c>
    </row>
    <row r="774" spans="1:16" hidden="1" x14ac:dyDescent="0.3">
      <c r="A774" t="str">
        <f t="shared" si="76"/>
        <v>2018Brian4</v>
      </c>
      <c r="B774">
        <f t="shared" si="72"/>
        <v>1090</v>
      </c>
      <c r="C774">
        <f t="shared" si="73"/>
        <v>1910</v>
      </c>
      <c r="D774" t="s">
        <v>26</v>
      </c>
      <c r="E774" t="str">
        <f>D775</f>
        <v>Abby</v>
      </c>
      <c r="F774">
        <v>2018</v>
      </c>
      <c r="G774">
        <v>4</v>
      </c>
      <c r="H774">
        <v>5.0999999999999996</v>
      </c>
      <c r="I774" s="14">
        <v>62</v>
      </c>
      <c r="J774">
        <f>I774-I775</f>
        <v>-2</v>
      </c>
      <c r="K774" t="str">
        <f t="shared" si="74"/>
        <v>L</v>
      </c>
      <c r="L774" t="str">
        <f t="shared" si="75"/>
        <v>Brian</v>
      </c>
      <c r="M774" t="str">
        <f>VLOOKUP(L774,References!$A$2:$B$16,2,FALSE)</f>
        <v>TEXAROK</v>
      </c>
      <c r="N774" s="19" t="str">
        <f>IF(M774=M775,"N","Y")</f>
        <v>Y</v>
      </c>
      <c r="O774">
        <f>SUM(I774:I775)</f>
        <v>126</v>
      </c>
      <c r="P774">
        <f t="shared" si="77"/>
        <v>64</v>
      </c>
    </row>
    <row r="775" spans="1:16" hidden="1" x14ac:dyDescent="0.3">
      <c r="A775" t="str">
        <f t="shared" si="76"/>
        <v>2018Abby4</v>
      </c>
      <c r="B775">
        <f t="shared" si="72"/>
        <v>977</v>
      </c>
      <c r="C775">
        <f t="shared" si="73"/>
        <v>1867</v>
      </c>
      <c r="D775" t="s">
        <v>27</v>
      </c>
      <c r="E775" t="str">
        <f>D774</f>
        <v>Brian</v>
      </c>
      <c r="F775">
        <v>2018</v>
      </c>
      <c r="G775">
        <v>4</v>
      </c>
      <c r="H775">
        <v>5.2</v>
      </c>
      <c r="I775" s="14">
        <v>64</v>
      </c>
      <c r="J775">
        <f>I775-I774</f>
        <v>2</v>
      </c>
      <c r="K775" t="str">
        <f t="shared" si="74"/>
        <v>W</v>
      </c>
      <c r="L775" t="str">
        <f t="shared" si="75"/>
        <v>Abby</v>
      </c>
      <c r="M775" t="str">
        <f>VLOOKUP(L775,References!$A$2:$B$16,2,FALSE)</f>
        <v>AKCOVA</v>
      </c>
      <c r="N775" s="19" t="str">
        <f>IF(M775=M774,"N","Y")</f>
        <v>Y</v>
      </c>
      <c r="O775">
        <f>SUM(I774:I775)</f>
        <v>126</v>
      </c>
      <c r="P775">
        <f t="shared" si="77"/>
        <v>62</v>
      </c>
    </row>
    <row r="776" spans="1:16" hidden="1" x14ac:dyDescent="0.3">
      <c r="A776" t="str">
        <f t="shared" si="76"/>
        <v>2018BR4</v>
      </c>
      <c r="B776">
        <f t="shared" si="72"/>
        <v>685</v>
      </c>
      <c r="C776">
        <f t="shared" si="73"/>
        <v>1143</v>
      </c>
      <c r="D776" t="s">
        <v>25</v>
      </c>
      <c r="E776" t="str">
        <f>D777</f>
        <v>Mark</v>
      </c>
      <c r="F776">
        <v>2018</v>
      </c>
      <c r="G776">
        <v>4</v>
      </c>
      <c r="H776">
        <v>6.1</v>
      </c>
      <c r="I776" s="14">
        <v>87</v>
      </c>
      <c r="J776">
        <f>I776-I777</f>
        <v>13</v>
      </c>
      <c r="K776" t="str">
        <f t="shared" si="74"/>
        <v>W</v>
      </c>
      <c r="L776" t="str">
        <f t="shared" si="75"/>
        <v>BR</v>
      </c>
      <c r="M776" t="str">
        <f>VLOOKUP(L776,References!$A$2:$B$16,2,FALSE)</f>
        <v>AKCOVA</v>
      </c>
      <c r="N776" s="19" t="str">
        <f>IF(M776=M777,"N","Y")</f>
        <v>N</v>
      </c>
      <c r="O776">
        <f>SUM(I776:I777)</f>
        <v>161</v>
      </c>
      <c r="P776">
        <f t="shared" si="77"/>
        <v>74</v>
      </c>
    </row>
    <row r="777" spans="1:16" hidden="1" x14ac:dyDescent="0.3">
      <c r="A777" t="str">
        <f t="shared" si="76"/>
        <v>2018Mark4</v>
      </c>
      <c r="B777">
        <f t="shared" si="72"/>
        <v>1381</v>
      </c>
      <c r="C777">
        <f t="shared" si="73"/>
        <v>1618</v>
      </c>
      <c r="D777" t="s">
        <v>22</v>
      </c>
      <c r="E777" t="str">
        <f>D776</f>
        <v>BR</v>
      </c>
      <c r="F777">
        <v>2018</v>
      </c>
      <c r="G777">
        <v>4</v>
      </c>
      <c r="H777">
        <v>6.2</v>
      </c>
      <c r="I777" s="14">
        <v>74</v>
      </c>
      <c r="J777">
        <f>I777-I776</f>
        <v>-13</v>
      </c>
      <c r="K777" t="str">
        <f t="shared" si="74"/>
        <v>L</v>
      </c>
      <c r="L777" t="str">
        <f t="shared" si="75"/>
        <v>Mark</v>
      </c>
      <c r="M777" t="str">
        <f>VLOOKUP(L777,References!$A$2:$B$16,2,FALSE)</f>
        <v>AKCOVA</v>
      </c>
      <c r="N777" s="19" t="str">
        <f>IF(M777=M776,"N","Y")</f>
        <v>N</v>
      </c>
      <c r="O777">
        <f>SUM(I776:I777)</f>
        <v>161</v>
      </c>
      <c r="P777">
        <f t="shared" si="77"/>
        <v>87</v>
      </c>
    </row>
    <row r="778" spans="1:16" hidden="1" x14ac:dyDescent="0.3">
      <c r="A778" t="str">
        <f t="shared" si="76"/>
        <v>2018Michael5</v>
      </c>
      <c r="B778">
        <f t="shared" si="72"/>
        <v>284</v>
      </c>
      <c r="C778">
        <f t="shared" si="73"/>
        <v>412</v>
      </c>
      <c r="D778" t="s">
        <v>23</v>
      </c>
      <c r="E778" t="str">
        <f>D779</f>
        <v>David</v>
      </c>
      <c r="F778">
        <v>2018</v>
      </c>
      <c r="G778">
        <v>5</v>
      </c>
      <c r="H778">
        <v>1.1000000000000001</v>
      </c>
      <c r="I778" s="14">
        <v>110</v>
      </c>
      <c r="J778">
        <f>I778-I779</f>
        <v>32</v>
      </c>
      <c r="K778" t="str">
        <f t="shared" si="74"/>
        <v>W</v>
      </c>
      <c r="L778" t="str">
        <f t="shared" si="75"/>
        <v>Michael</v>
      </c>
      <c r="M778" t="str">
        <f>VLOOKUP(L778,References!$A$2:$B$16,2,FALSE)</f>
        <v>AKCOVA</v>
      </c>
      <c r="N778" s="19" t="str">
        <f>IF(M778=M779,"N","Y")</f>
        <v>Y</v>
      </c>
      <c r="O778">
        <f>SUM(I778:I779)</f>
        <v>188</v>
      </c>
      <c r="P778">
        <f t="shared" si="77"/>
        <v>78</v>
      </c>
    </row>
    <row r="779" spans="1:16" hidden="1" x14ac:dyDescent="0.3">
      <c r="A779" t="str">
        <f t="shared" si="76"/>
        <v>2018David5</v>
      </c>
      <c r="B779">
        <f t="shared" si="72"/>
        <v>1797</v>
      </c>
      <c r="C779">
        <f t="shared" si="73"/>
        <v>1468</v>
      </c>
      <c r="D779" t="s">
        <v>29</v>
      </c>
      <c r="E779" t="str">
        <f>D778</f>
        <v>Michael</v>
      </c>
      <c r="F779">
        <v>2018</v>
      </c>
      <c r="G779">
        <v>5</v>
      </c>
      <c r="H779">
        <v>1.2</v>
      </c>
      <c r="I779" s="14">
        <v>78</v>
      </c>
      <c r="J779">
        <f>I779-I778</f>
        <v>-32</v>
      </c>
      <c r="K779" t="str">
        <f t="shared" si="74"/>
        <v>L</v>
      </c>
      <c r="L779" t="str">
        <f t="shared" si="75"/>
        <v>David</v>
      </c>
      <c r="M779" t="str">
        <f>VLOOKUP(L779,References!$A$2:$B$16,2,FALSE)</f>
        <v>TEXAROK</v>
      </c>
      <c r="N779" s="19" t="str">
        <f>IF(M779=M778,"N","Y")</f>
        <v>Y</v>
      </c>
      <c r="O779">
        <f>SUM(I778:I779)</f>
        <v>188</v>
      </c>
      <c r="P779">
        <f t="shared" si="77"/>
        <v>110</v>
      </c>
    </row>
    <row r="780" spans="1:16" hidden="1" x14ac:dyDescent="0.3">
      <c r="A780" t="str">
        <f t="shared" si="76"/>
        <v>2018Emily5</v>
      </c>
      <c r="B780">
        <f t="shared" si="72"/>
        <v>2059</v>
      </c>
      <c r="C780">
        <f t="shared" si="73"/>
        <v>1974</v>
      </c>
      <c r="D780" t="s">
        <v>43</v>
      </c>
      <c r="E780" t="str">
        <f>D781</f>
        <v>Brent</v>
      </c>
      <c r="F780">
        <v>2018</v>
      </c>
      <c r="G780">
        <v>5</v>
      </c>
      <c r="H780">
        <v>2.1</v>
      </c>
      <c r="I780" s="14">
        <v>58</v>
      </c>
      <c r="J780">
        <f>I780-I781</f>
        <v>-66</v>
      </c>
      <c r="K780" t="str">
        <f t="shared" si="74"/>
        <v>L</v>
      </c>
      <c r="L780" t="str">
        <f t="shared" si="75"/>
        <v>Emily</v>
      </c>
      <c r="M780" t="str">
        <f>VLOOKUP(L780,References!$A$2:$B$16,2,FALSE)</f>
        <v>TEXAROK</v>
      </c>
      <c r="N780" s="19" t="str">
        <f>IF(M780=M781,"N","Y")</f>
        <v>N</v>
      </c>
      <c r="O780">
        <f>SUM(I780:I781)</f>
        <v>182</v>
      </c>
      <c r="P780">
        <f t="shared" si="77"/>
        <v>124</v>
      </c>
    </row>
    <row r="781" spans="1:16" hidden="1" x14ac:dyDescent="0.3">
      <c r="A781" t="str">
        <f t="shared" si="76"/>
        <v>2018Brent5</v>
      </c>
      <c r="B781">
        <f t="shared" si="72"/>
        <v>31</v>
      </c>
      <c r="C781">
        <f t="shared" si="73"/>
        <v>173</v>
      </c>
      <c r="D781" t="s">
        <v>47</v>
      </c>
      <c r="E781" t="str">
        <f>D780</f>
        <v>Emily</v>
      </c>
      <c r="F781">
        <v>2018</v>
      </c>
      <c r="G781">
        <v>5</v>
      </c>
      <c r="H781">
        <v>2.2000000000000002</v>
      </c>
      <c r="I781" s="14">
        <v>124</v>
      </c>
      <c r="J781">
        <f>I781-I780</f>
        <v>66</v>
      </c>
      <c r="K781" t="str">
        <f t="shared" si="74"/>
        <v>W</v>
      </c>
      <c r="L781" t="str">
        <f t="shared" si="75"/>
        <v>Brent</v>
      </c>
      <c r="M781" t="str">
        <f>VLOOKUP(L781,References!$A$2:$B$16,2,FALSE)</f>
        <v>TEXAROK</v>
      </c>
      <c r="N781" s="19" t="str">
        <f>IF(M781=M780,"N","Y")</f>
        <v>N</v>
      </c>
      <c r="O781">
        <f>SUM(I780:I781)</f>
        <v>182</v>
      </c>
      <c r="P781">
        <f t="shared" si="77"/>
        <v>58</v>
      </c>
    </row>
    <row r="782" spans="1:16" hidden="1" x14ac:dyDescent="0.3">
      <c r="A782" t="str">
        <f t="shared" si="76"/>
        <v>2018Mark5</v>
      </c>
      <c r="B782">
        <f t="shared" si="72"/>
        <v>1409</v>
      </c>
      <c r="C782">
        <f t="shared" si="73"/>
        <v>926</v>
      </c>
      <c r="D782" t="s">
        <v>22</v>
      </c>
      <c r="E782" t="str">
        <f>D783</f>
        <v>Brian</v>
      </c>
      <c r="F782">
        <v>2018</v>
      </c>
      <c r="G782">
        <v>5</v>
      </c>
      <c r="H782">
        <v>3.1</v>
      </c>
      <c r="I782" s="14">
        <v>93</v>
      </c>
      <c r="J782">
        <f>I782-I783</f>
        <v>-14</v>
      </c>
      <c r="K782" t="str">
        <f t="shared" si="74"/>
        <v>L</v>
      </c>
      <c r="L782" t="str">
        <f t="shared" si="75"/>
        <v>Mark</v>
      </c>
      <c r="M782" t="str">
        <f>VLOOKUP(L782,References!$A$2:$B$16,2,FALSE)</f>
        <v>AKCOVA</v>
      </c>
      <c r="N782" s="19" t="str">
        <f>IF(M782=M783,"N","Y")</f>
        <v>Y</v>
      </c>
      <c r="O782">
        <f>SUM(I782:I783)</f>
        <v>200</v>
      </c>
      <c r="P782">
        <f t="shared" si="77"/>
        <v>107</v>
      </c>
    </row>
    <row r="783" spans="1:16" hidden="1" x14ac:dyDescent="0.3">
      <c r="A783" t="str">
        <f t="shared" si="76"/>
        <v>2018Brian5</v>
      </c>
      <c r="B783">
        <f t="shared" si="72"/>
        <v>660</v>
      </c>
      <c r="C783">
        <f t="shared" si="73"/>
        <v>486</v>
      </c>
      <c r="D783" t="s">
        <v>26</v>
      </c>
      <c r="E783" t="str">
        <f>D782</f>
        <v>Mark</v>
      </c>
      <c r="F783">
        <v>2018</v>
      </c>
      <c r="G783">
        <v>5</v>
      </c>
      <c r="H783">
        <v>3.2</v>
      </c>
      <c r="I783" s="14">
        <v>107</v>
      </c>
      <c r="J783">
        <f>I783-I782</f>
        <v>14</v>
      </c>
      <c r="K783" t="str">
        <f t="shared" si="74"/>
        <v>W</v>
      </c>
      <c r="L783" t="str">
        <f t="shared" si="75"/>
        <v>Brian</v>
      </c>
      <c r="M783" t="str">
        <f>VLOOKUP(L783,References!$A$2:$B$16,2,FALSE)</f>
        <v>TEXAROK</v>
      </c>
      <c r="N783" s="19" t="str">
        <f>IF(M783=M782,"N","Y")</f>
        <v>Y</v>
      </c>
      <c r="O783">
        <f>SUM(I782:I783)</f>
        <v>200</v>
      </c>
      <c r="P783">
        <f t="shared" si="77"/>
        <v>93</v>
      </c>
    </row>
    <row r="784" spans="1:16" hidden="1" x14ac:dyDescent="0.3">
      <c r="A784" t="str">
        <f t="shared" si="76"/>
        <v>2018Matt5</v>
      </c>
      <c r="B784">
        <f t="shared" si="72"/>
        <v>1944</v>
      </c>
      <c r="C784">
        <f t="shared" si="73"/>
        <v>2077</v>
      </c>
      <c r="D784" t="s">
        <v>30</v>
      </c>
      <c r="E784" t="str">
        <f>D785</f>
        <v>Russell</v>
      </c>
      <c r="F784">
        <v>2018</v>
      </c>
      <c r="G784">
        <v>5</v>
      </c>
      <c r="H784">
        <v>4.0999999999999996</v>
      </c>
      <c r="I784" s="14">
        <v>44</v>
      </c>
      <c r="J784">
        <f>I784-I785</f>
        <v>-45</v>
      </c>
      <c r="K784" t="str">
        <f t="shared" si="74"/>
        <v>L</v>
      </c>
      <c r="L784" t="str">
        <f t="shared" si="75"/>
        <v>Matt</v>
      </c>
      <c r="M784" t="str">
        <f>VLOOKUP(L784,References!$A$2:$B$16,2,FALSE)</f>
        <v>TEXAROK</v>
      </c>
      <c r="N784" s="19" t="str">
        <f>IF(M784=M785,"N","Y")</f>
        <v>N</v>
      </c>
      <c r="O784">
        <f>SUM(I784:I785)</f>
        <v>133</v>
      </c>
      <c r="P784">
        <f t="shared" si="77"/>
        <v>89</v>
      </c>
    </row>
    <row r="785" spans="1:16" hidden="1" x14ac:dyDescent="0.3">
      <c r="A785" t="str">
        <f t="shared" si="76"/>
        <v>2018Russell5</v>
      </c>
      <c r="B785">
        <f t="shared" si="72"/>
        <v>142</v>
      </c>
      <c r="C785">
        <f t="shared" si="73"/>
        <v>1055</v>
      </c>
      <c r="D785" t="s">
        <v>28</v>
      </c>
      <c r="E785" t="str">
        <f>D784</f>
        <v>Matt</v>
      </c>
      <c r="F785">
        <v>2018</v>
      </c>
      <c r="G785">
        <v>5</v>
      </c>
      <c r="H785">
        <v>4.2</v>
      </c>
      <c r="I785" s="14">
        <v>89</v>
      </c>
      <c r="J785">
        <f>I785-I784</f>
        <v>45</v>
      </c>
      <c r="K785" t="str">
        <f t="shared" si="74"/>
        <v>W</v>
      </c>
      <c r="L785" t="str">
        <f t="shared" si="75"/>
        <v>Russell</v>
      </c>
      <c r="M785" t="str">
        <f>VLOOKUP(L785,References!$A$2:$B$16,2,FALSE)</f>
        <v>TEXAROK</v>
      </c>
      <c r="N785" s="19" t="str">
        <f>IF(M785=M784,"N","Y")</f>
        <v>N</v>
      </c>
      <c r="O785">
        <f>SUM(I784:I785)</f>
        <v>133</v>
      </c>
      <c r="P785">
        <f t="shared" si="77"/>
        <v>44</v>
      </c>
    </row>
    <row r="786" spans="1:16" hidden="1" x14ac:dyDescent="0.3">
      <c r="A786" t="str">
        <f t="shared" si="76"/>
        <v>2018Abby5</v>
      </c>
      <c r="B786">
        <f t="shared" si="72"/>
        <v>1546</v>
      </c>
      <c r="C786">
        <f t="shared" si="73"/>
        <v>1927</v>
      </c>
      <c r="D786" t="s">
        <v>27</v>
      </c>
      <c r="E786" t="str">
        <f>D787</f>
        <v>Watty</v>
      </c>
      <c r="F786">
        <v>2018</v>
      </c>
      <c r="G786">
        <v>5</v>
      </c>
      <c r="H786">
        <v>5.0999999999999996</v>
      </c>
      <c r="I786" s="14">
        <v>61</v>
      </c>
      <c r="J786">
        <f>I786-I787</f>
        <v>-20</v>
      </c>
      <c r="K786" t="str">
        <f t="shared" si="74"/>
        <v>L</v>
      </c>
      <c r="L786" t="str">
        <f t="shared" si="75"/>
        <v>Abby</v>
      </c>
      <c r="M786" t="str">
        <f>VLOOKUP(L786,References!$A$2:$B$16,2,FALSE)</f>
        <v>AKCOVA</v>
      </c>
      <c r="N786" s="19" t="str">
        <f>IF(M786=M787,"N","Y")</f>
        <v>N</v>
      </c>
      <c r="O786">
        <f>SUM(I786:I787)</f>
        <v>142</v>
      </c>
      <c r="P786">
        <f t="shared" si="77"/>
        <v>81</v>
      </c>
    </row>
    <row r="787" spans="1:16" hidden="1" x14ac:dyDescent="0.3">
      <c r="A787" t="str">
        <f t="shared" si="76"/>
        <v>2018Watty5</v>
      </c>
      <c r="B787">
        <f t="shared" si="72"/>
        <v>517</v>
      </c>
      <c r="C787">
        <f t="shared" si="73"/>
        <v>1365</v>
      </c>
      <c r="D787" t="s">
        <v>24</v>
      </c>
      <c r="E787" t="str">
        <f>D786</f>
        <v>Abby</v>
      </c>
      <c r="F787">
        <v>2018</v>
      </c>
      <c r="G787">
        <v>5</v>
      </c>
      <c r="H787">
        <v>5.2</v>
      </c>
      <c r="I787" s="14">
        <v>81</v>
      </c>
      <c r="J787">
        <f>I787-I786</f>
        <v>20</v>
      </c>
      <c r="K787" t="str">
        <f t="shared" si="74"/>
        <v>W</v>
      </c>
      <c r="L787" t="str">
        <f t="shared" si="75"/>
        <v>Watty</v>
      </c>
      <c r="M787" t="str">
        <f>VLOOKUP(L787,References!$A$2:$B$16,2,FALSE)</f>
        <v>AKCOVA</v>
      </c>
      <c r="N787" s="19" t="str">
        <f>IF(M787=M786,"N","Y")</f>
        <v>N</v>
      </c>
      <c r="O787">
        <f>SUM(I786:I787)</f>
        <v>142</v>
      </c>
      <c r="P787">
        <f t="shared" si="77"/>
        <v>61</v>
      </c>
    </row>
    <row r="788" spans="1:16" hidden="1" x14ac:dyDescent="0.3">
      <c r="A788" t="str">
        <f t="shared" si="76"/>
        <v>2018BR5</v>
      </c>
      <c r="B788">
        <f t="shared" si="72"/>
        <v>758</v>
      </c>
      <c r="C788">
        <f t="shared" si="73"/>
        <v>364</v>
      </c>
      <c r="D788" t="s">
        <v>25</v>
      </c>
      <c r="E788" t="str">
        <f>D789</f>
        <v>Charles</v>
      </c>
      <c r="F788">
        <v>2018</v>
      </c>
      <c r="G788">
        <v>5</v>
      </c>
      <c r="H788">
        <v>6.1</v>
      </c>
      <c r="I788" s="14">
        <v>112</v>
      </c>
      <c r="J788">
        <f>I788-I789</f>
        <v>10</v>
      </c>
      <c r="K788" t="str">
        <f t="shared" si="74"/>
        <v>W</v>
      </c>
      <c r="L788" t="str">
        <f t="shared" si="75"/>
        <v>BR</v>
      </c>
      <c r="M788" t="str">
        <f>VLOOKUP(L788,References!$A$2:$B$16,2,FALSE)</f>
        <v>AKCOVA</v>
      </c>
      <c r="N788" s="19" t="str">
        <f>IF(M788=M789,"N","Y")</f>
        <v>N</v>
      </c>
      <c r="O788">
        <f>SUM(I788:I789)</f>
        <v>214</v>
      </c>
      <c r="P788">
        <f t="shared" si="77"/>
        <v>102</v>
      </c>
    </row>
    <row r="789" spans="1:16" hidden="1" x14ac:dyDescent="0.3">
      <c r="A789" t="str">
        <f t="shared" si="76"/>
        <v>2018Charles5</v>
      </c>
      <c r="B789">
        <f t="shared" si="72"/>
        <v>1312</v>
      </c>
      <c r="C789">
        <f t="shared" si="73"/>
        <v>631</v>
      </c>
      <c r="D789" t="s">
        <v>48</v>
      </c>
      <c r="E789" t="str">
        <f>D788</f>
        <v>BR</v>
      </c>
      <c r="F789">
        <v>2018</v>
      </c>
      <c r="G789">
        <v>5</v>
      </c>
      <c r="H789">
        <v>6.2</v>
      </c>
      <c r="I789" s="14">
        <v>102</v>
      </c>
      <c r="J789">
        <f>I789-I788</f>
        <v>-10</v>
      </c>
      <c r="K789" t="str">
        <f t="shared" si="74"/>
        <v>L</v>
      </c>
      <c r="L789" t="str">
        <f t="shared" si="75"/>
        <v>Charles</v>
      </c>
      <c r="M789" t="str">
        <f>VLOOKUP(L789,References!$A$2:$B$16,2,FALSE)</f>
        <v>AKCOVA</v>
      </c>
      <c r="N789" s="19" t="str">
        <f>IF(M789=M788,"N","Y")</f>
        <v>N</v>
      </c>
      <c r="O789">
        <f>SUM(I788:I789)</f>
        <v>214</v>
      </c>
      <c r="P789">
        <f t="shared" si="77"/>
        <v>112</v>
      </c>
    </row>
    <row r="790" spans="1:16" hidden="1" x14ac:dyDescent="0.3">
      <c r="A790" t="str">
        <f t="shared" si="76"/>
        <v>2018Abby6</v>
      </c>
      <c r="B790">
        <f t="shared" si="72"/>
        <v>1810</v>
      </c>
      <c r="C790">
        <f t="shared" si="73"/>
        <v>2074</v>
      </c>
      <c r="D790" t="s">
        <v>27</v>
      </c>
      <c r="E790" t="str">
        <f>D791</f>
        <v>Michael</v>
      </c>
      <c r="F790">
        <v>2018</v>
      </c>
      <c r="G790">
        <v>6</v>
      </c>
      <c r="H790">
        <v>1.1000000000000001</v>
      </c>
      <c r="I790" s="14">
        <v>45</v>
      </c>
      <c r="J790">
        <f>I790-I791</f>
        <v>-33</v>
      </c>
      <c r="K790" t="str">
        <f t="shared" si="74"/>
        <v>L</v>
      </c>
      <c r="L790" t="str">
        <f t="shared" si="75"/>
        <v>Abby</v>
      </c>
      <c r="M790" t="str">
        <f>VLOOKUP(L790,References!$A$2:$B$16,2,FALSE)</f>
        <v>AKCOVA</v>
      </c>
      <c r="N790" s="19" t="str">
        <f>IF(M790=M791,"N","Y")</f>
        <v>N</v>
      </c>
      <c r="O790">
        <f>SUM(I790:I791)</f>
        <v>123</v>
      </c>
      <c r="P790">
        <f t="shared" si="77"/>
        <v>78</v>
      </c>
    </row>
    <row r="791" spans="1:16" hidden="1" x14ac:dyDescent="0.3">
      <c r="A791" t="str">
        <f t="shared" si="76"/>
        <v>2018Michael6</v>
      </c>
      <c r="B791">
        <f t="shared" si="72"/>
        <v>270</v>
      </c>
      <c r="C791">
        <f t="shared" si="73"/>
        <v>1468</v>
      </c>
      <c r="D791" t="s">
        <v>23</v>
      </c>
      <c r="E791" t="str">
        <f>D790</f>
        <v>Abby</v>
      </c>
      <c r="F791">
        <v>2018</v>
      </c>
      <c r="G791">
        <v>6</v>
      </c>
      <c r="H791">
        <v>1.2</v>
      </c>
      <c r="I791" s="14">
        <v>78</v>
      </c>
      <c r="J791">
        <f>I791-I790</f>
        <v>33</v>
      </c>
      <c r="K791" t="str">
        <f t="shared" si="74"/>
        <v>W</v>
      </c>
      <c r="L791" t="str">
        <f t="shared" si="75"/>
        <v>Michael</v>
      </c>
      <c r="M791" t="str">
        <f>VLOOKUP(L791,References!$A$2:$B$16,2,FALSE)</f>
        <v>AKCOVA</v>
      </c>
      <c r="N791" s="19" t="str">
        <f>IF(M791=M790,"N","Y")</f>
        <v>N</v>
      </c>
      <c r="O791">
        <f>SUM(I790:I791)</f>
        <v>123</v>
      </c>
      <c r="P791">
        <f t="shared" si="77"/>
        <v>45</v>
      </c>
    </row>
    <row r="792" spans="1:16" hidden="1" x14ac:dyDescent="0.3">
      <c r="A792" t="str">
        <f t="shared" si="76"/>
        <v>2018BR6</v>
      </c>
      <c r="B792">
        <f t="shared" si="72"/>
        <v>517</v>
      </c>
      <c r="C792">
        <f t="shared" si="73"/>
        <v>777</v>
      </c>
      <c r="D792" t="s">
        <v>25</v>
      </c>
      <c r="E792" t="str">
        <f>D793</f>
        <v>Emily</v>
      </c>
      <c r="F792">
        <v>2018</v>
      </c>
      <c r="G792">
        <v>6</v>
      </c>
      <c r="H792">
        <v>2.1</v>
      </c>
      <c r="I792" s="14">
        <v>97</v>
      </c>
      <c r="J792">
        <f>I792-I793</f>
        <v>20</v>
      </c>
      <c r="K792" t="str">
        <f t="shared" si="74"/>
        <v>W</v>
      </c>
      <c r="L792" t="str">
        <f t="shared" si="75"/>
        <v>BR</v>
      </c>
      <c r="M792" t="str">
        <f>VLOOKUP(L792,References!$A$2:$B$16,2,FALSE)</f>
        <v>AKCOVA</v>
      </c>
      <c r="N792" s="19" t="str">
        <f>IF(M792=M793,"N","Y")</f>
        <v>Y</v>
      </c>
      <c r="O792">
        <f>SUM(I792:I793)</f>
        <v>174</v>
      </c>
      <c r="P792">
        <f t="shared" si="77"/>
        <v>77</v>
      </c>
    </row>
    <row r="793" spans="1:16" hidden="1" x14ac:dyDescent="0.3">
      <c r="A793" t="str">
        <f t="shared" si="76"/>
        <v>2018Emily6</v>
      </c>
      <c r="B793">
        <f t="shared" si="72"/>
        <v>1546</v>
      </c>
      <c r="C793">
        <f t="shared" si="73"/>
        <v>1512</v>
      </c>
      <c r="D793" t="s">
        <v>43</v>
      </c>
      <c r="E793" t="str">
        <f>D792</f>
        <v>BR</v>
      </c>
      <c r="F793">
        <v>2018</v>
      </c>
      <c r="G793">
        <v>6</v>
      </c>
      <c r="H793">
        <v>2.2000000000000002</v>
      </c>
      <c r="I793" s="14">
        <v>77</v>
      </c>
      <c r="J793">
        <f>I793-I792</f>
        <v>-20</v>
      </c>
      <c r="K793" t="str">
        <f t="shared" si="74"/>
        <v>L</v>
      </c>
      <c r="L793" t="str">
        <f t="shared" si="75"/>
        <v>Emily</v>
      </c>
      <c r="M793" t="str">
        <f>VLOOKUP(L793,References!$A$2:$B$16,2,FALSE)</f>
        <v>TEXAROK</v>
      </c>
      <c r="N793" s="19" t="str">
        <f>IF(M793=M792,"N","Y")</f>
        <v>Y</v>
      </c>
      <c r="O793">
        <f>SUM(I792:I793)</f>
        <v>174</v>
      </c>
      <c r="P793">
        <f t="shared" si="77"/>
        <v>97</v>
      </c>
    </row>
    <row r="794" spans="1:16" hidden="1" x14ac:dyDescent="0.3">
      <c r="A794" t="str">
        <f t="shared" si="76"/>
        <v>2018Brian6</v>
      </c>
      <c r="B794">
        <f t="shared" si="72"/>
        <v>2059</v>
      </c>
      <c r="C794">
        <f t="shared" si="73"/>
        <v>1100</v>
      </c>
      <c r="D794" t="s">
        <v>26</v>
      </c>
      <c r="E794" t="str">
        <f>D795</f>
        <v>Russell</v>
      </c>
      <c r="F794">
        <v>2018</v>
      </c>
      <c r="G794">
        <v>6</v>
      </c>
      <c r="H794">
        <v>3.1</v>
      </c>
      <c r="I794" s="14">
        <v>88</v>
      </c>
      <c r="J794">
        <f>I794-I795</f>
        <v>-66</v>
      </c>
      <c r="K794" t="str">
        <f t="shared" si="74"/>
        <v>L</v>
      </c>
      <c r="L794" t="str">
        <f t="shared" si="75"/>
        <v>Brian</v>
      </c>
      <c r="M794" t="str">
        <f>VLOOKUP(L794,References!$A$2:$B$16,2,FALSE)</f>
        <v>TEXAROK</v>
      </c>
      <c r="N794" s="19" t="str">
        <f>IF(M794=M795,"N","Y")</f>
        <v>N</v>
      </c>
      <c r="O794">
        <f>SUM(I794:I795)</f>
        <v>242</v>
      </c>
      <c r="P794">
        <f t="shared" si="77"/>
        <v>154</v>
      </c>
    </row>
    <row r="795" spans="1:16" hidden="1" x14ac:dyDescent="0.3">
      <c r="A795" t="str">
        <f t="shared" si="76"/>
        <v>2018Russell6</v>
      </c>
      <c r="B795">
        <f t="shared" si="72"/>
        <v>31</v>
      </c>
      <c r="C795">
        <f t="shared" si="73"/>
        <v>18</v>
      </c>
      <c r="D795" t="s">
        <v>28</v>
      </c>
      <c r="E795" t="str">
        <f>D794</f>
        <v>Brian</v>
      </c>
      <c r="F795">
        <v>2018</v>
      </c>
      <c r="G795">
        <v>6</v>
      </c>
      <c r="H795">
        <v>3.2</v>
      </c>
      <c r="I795" s="14">
        <v>154</v>
      </c>
      <c r="J795">
        <f>I795-I794</f>
        <v>66</v>
      </c>
      <c r="K795" t="str">
        <f t="shared" si="74"/>
        <v>W</v>
      </c>
      <c r="L795" t="str">
        <f t="shared" si="75"/>
        <v>Russell</v>
      </c>
      <c r="M795" t="str">
        <f>VLOOKUP(L795,References!$A$2:$B$16,2,FALSE)</f>
        <v>TEXAROK</v>
      </c>
      <c r="N795" s="19" t="str">
        <f>IF(M795=M794,"N","Y")</f>
        <v>N</v>
      </c>
      <c r="O795">
        <f>SUM(I794:I795)</f>
        <v>242</v>
      </c>
      <c r="P795">
        <f t="shared" si="77"/>
        <v>88</v>
      </c>
    </row>
    <row r="796" spans="1:16" hidden="1" x14ac:dyDescent="0.3">
      <c r="A796" t="str">
        <f t="shared" si="76"/>
        <v>2018Mark6</v>
      </c>
      <c r="B796">
        <f t="shared" si="72"/>
        <v>1921</v>
      </c>
      <c r="C796">
        <f t="shared" si="73"/>
        <v>1210</v>
      </c>
      <c r="D796" t="s">
        <v>22</v>
      </c>
      <c r="E796" t="str">
        <f>D797</f>
        <v>Matt</v>
      </c>
      <c r="F796">
        <v>2018</v>
      </c>
      <c r="G796">
        <v>6</v>
      </c>
      <c r="H796">
        <v>4.0999999999999996</v>
      </c>
      <c r="I796" s="14">
        <v>85</v>
      </c>
      <c r="J796">
        <f>I796-I797</f>
        <v>-43</v>
      </c>
      <c r="K796" t="str">
        <f t="shared" si="74"/>
        <v>L</v>
      </c>
      <c r="L796" t="str">
        <f t="shared" si="75"/>
        <v>Mark</v>
      </c>
      <c r="M796" t="str">
        <f>VLOOKUP(L796,References!$A$2:$B$16,2,FALSE)</f>
        <v>AKCOVA</v>
      </c>
      <c r="N796" s="19" t="str">
        <f>IF(M796=M797,"N","Y")</f>
        <v>Y</v>
      </c>
      <c r="O796">
        <f>SUM(I796:I797)</f>
        <v>213</v>
      </c>
      <c r="P796">
        <f t="shared" si="77"/>
        <v>128</v>
      </c>
    </row>
    <row r="797" spans="1:16" hidden="1" x14ac:dyDescent="0.3">
      <c r="A797" t="str">
        <f t="shared" si="76"/>
        <v>2018Matt6</v>
      </c>
      <c r="B797">
        <f t="shared" si="72"/>
        <v>161</v>
      </c>
      <c r="C797">
        <f t="shared" si="73"/>
        <v>128</v>
      </c>
      <c r="D797" t="s">
        <v>30</v>
      </c>
      <c r="E797" t="str">
        <f>D796</f>
        <v>Mark</v>
      </c>
      <c r="F797">
        <v>2018</v>
      </c>
      <c r="G797">
        <v>6</v>
      </c>
      <c r="H797">
        <v>4.2</v>
      </c>
      <c r="I797" s="14">
        <v>128</v>
      </c>
      <c r="J797">
        <f>I797-I796</f>
        <v>43</v>
      </c>
      <c r="K797" t="str">
        <f t="shared" si="74"/>
        <v>W</v>
      </c>
      <c r="L797" t="str">
        <f t="shared" si="75"/>
        <v>Matt</v>
      </c>
      <c r="M797" t="str">
        <f>VLOOKUP(L797,References!$A$2:$B$16,2,FALSE)</f>
        <v>TEXAROK</v>
      </c>
      <c r="N797" s="19" t="str">
        <f>IF(M797=M796,"N","Y")</f>
        <v>Y</v>
      </c>
      <c r="O797">
        <f>SUM(I796:I797)</f>
        <v>213</v>
      </c>
      <c r="P797">
        <f t="shared" si="77"/>
        <v>85</v>
      </c>
    </row>
    <row r="798" spans="1:16" hidden="1" x14ac:dyDescent="0.3">
      <c r="A798" t="str">
        <f t="shared" si="76"/>
        <v>2018Charles6</v>
      </c>
      <c r="B798">
        <f t="shared" si="72"/>
        <v>1197</v>
      </c>
      <c r="C798">
        <f t="shared" si="73"/>
        <v>566</v>
      </c>
      <c r="D798" t="s">
        <v>48</v>
      </c>
      <c r="E798" t="str">
        <f>D799</f>
        <v>Brent</v>
      </c>
      <c r="F798">
        <v>2018</v>
      </c>
      <c r="G798">
        <v>6</v>
      </c>
      <c r="H798">
        <v>5.0999999999999996</v>
      </c>
      <c r="I798" s="14">
        <v>104</v>
      </c>
      <c r="J798">
        <f>I798-I799</f>
        <v>-6</v>
      </c>
      <c r="K798" t="str">
        <f t="shared" si="74"/>
        <v>L</v>
      </c>
      <c r="L798" t="str">
        <f t="shared" si="75"/>
        <v>Charles</v>
      </c>
      <c r="M798" t="str">
        <f>VLOOKUP(L798,References!$A$2:$B$16,2,FALSE)</f>
        <v>AKCOVA</v>
      </c>
      <c r="N798" s="19" t="str">
        <f>IF(M798=M799,"N","Y")</f>
        <v>Y</v>
      </c>
      <c r="O798">
        <f>SUM(I798:I799)</f>
        <v>214</v>
      </c>
      <c r="P798">
        <f t="shared" si="77"/>
        <v>110</v>
      </c>
    </row>
    <row r="799" spans="1:16" hidden="1" x14ac:dyDescent="0.3">
      <c r="A799" t="str">
        <f t="shared" si="76"/>
        <v>2018Brent6</v>
      </c>
      <c r="B799">
        <f t="shared" si="72"/>
        <v>865</v>
      </c>
      <c r="C799">
        <f t="shared" si="73"/>
        <v>412</v>
      </c>
      <c r="D799" t="s">
        <v>47</v>
      </c>
      <c r="E799" t="str">
        <f>D798</f>
        <v>Charles</v>
      </c>
      <c r="F799">
        <v>2018</v>
      </c>
      <c r="G799">
        <v>6</v>
      </c>
      <c r="H799">
        <v>5.2</v>
      </c>
      <c r="I799" s="14">
        <v>110</v>
      </c>
      <c r="J799">
        <f>I799-I798</f>
        <v>6</v>
      </c>
      <c r="K799" t="str">
        <f t="shared" si="74"/>
        <v>W</v>
      </c>
      <c r="L799" t="str">
        <f t="shared" si="75"/>
        <v>Brent</v>
      </c>
      <c r="M799" t="str">
        <f>VLOOKUP(L799,References!$A$2:$B$16,2,FALSE)</f>
        <v>TEXAROK</v>
      </c>
      <c r="N799" s="19" t="str">
        <f>IF(M799=M798,"N","Y")</f>
        <v>Y</v>
      </c>
      <c r="O799">
        <f>SUM(I798:I799)</f>
        <v>214</v>
      </c>
      <c r="P799">
        <f t="shared" si="77"/>
        <v>104</v>
      </c>
    </row>
    <row r="800" spans="1:16" hidden="1" x14ac:dyDescent="0.3">
      <c r="A800" t="str">
        <f t="shared" si="76"/>
        <v>2018Watty6</v>
      </c>
      <c r="B800">
        <f t="shared" si="72"/>
        <v>59</v>
      </c>
      <c r="C800">
        <f t="shared" si="73"/>
        <v>678</v>
      </c>
      <c r="D800" t="s">
        <v>24</v>
      </c>
      <c r="E800" t="str">
        <f>D801</f>
        <v>David</v>
      </c>
      <c r="F800">
        <v>2018</v>
      </c>
      <c r="G800">
        <v>6</v>
      </c>
      <c r="H800">
        <v>6.1</v>
      </c>
      <c r="I800" s="14">
        <v>100</v>
      </c>
      <c r="J800">
        <f>I800-I801</f>
        <v>59</v>
      </c>
      <c r="K800" t="str">
        <f t="shared" si="74"/>
        <v>W</v>
      </c>
      <c r="L800" t="str">
        <f t="shared" si="75"/>
        <v>Watty</v>
      </c>
      <c r="M800" t="str">
        <f>VLOOKUP(L800,References!$A$2:$B$16,2,FALSE)</f>
        <v>AKCOVA</v>
      </c>
      <c r="N800" s="19" t="str">
        <f>IF(M800=M801,"N","Y")</f>
        <v>Y</v>
      </c>
      <c r="O800">
        <f>SUM(I800:I801)</f>
        <v>141</v>
      </c>
      <c r="P800">
        <f t="shared" si="77"/>
        <v>41</v>
      </c>
    </row>
    <row r="801" spans="1:16" hidden="1" x14ac:dyDescent="0.3">
      <c r="A801" t="str">
        <f t="shared" si="76"/>
        <v>2018David6</v>
      </c>
      <c r="B801">
        <f t="shared" si="72"/>
        <v>2032</v>
      </c>
      <c r="C801">
        <f t="shared" si="73"/>
        <v>2084</v>
      </c>
      <c r="D801" t="s">
        <v>29</v>
      </c>
      <c r="E801" t="str">
        <f>D800</f>
        <v>Watty</v>
      </c>
      <c r="F801">
        <v>2018</v>
      </c>
      <c r="G801">
        <v>6</v>
      </c>
      <c r="H801">
        <v>6.2</v>
      </c>
      <c r="I801" s="14">
        <v>41</v>
      </c>
      <c r="J801">
        <f>I801-I800</f>
        <v>-59</v>
      </c>
      <c r="K801" t="str">
        <f t="shared" si="74"/>
        <v>L</v>
      </c>
      <c r="L801" t="str">
        <f t="shared" si="75"/>
        <v>David</v>
      </c>
      <c r="M801" t="str">
        <f>VLOOKUP(L801,References!$A$2:$B$16,2,FALSE)</f>
        <v>TEXAROK</v>
      </c>
      <c r="N801" s="19" t="str">
        <f>IF(M801=M800,"N","Y")</f>
        <v>Y</v>
      </c>
      <c r="O801">
        <f>SUM(I800:I801)</f>
        <v>141</v>
      </c>
      <c r="P801">
        <f t="shared" si="77"/>
        <v>100</v>
      </c>
    </row>
    <row r="802" spans="1:16" hidden="1" x14ac:dyDescent="0.3">
      <c r="A802" t="str">
        <f t="shared" si="76"/>
        <v>2018Michael7</v>
      </c>
      <c r="B802">
        <f t="shared" si="72"/>
        <v>1197</v>
      </c>
      <c r="C802">
        <f t="shared" si="73"/>
        <v>678</v>
      </c>
      <c r="D802" t="s">
        <v>23</v>
      </c>
      <c r="E802" t="str">
        <f>D803</f>
        <v>Watty</v>
      </c>
      <c r="F802">
        <v>2018</v>
      </c>
      <c r="G802">
        <v>7</v>
      </c>
      <c r="H802">
        <v>1.1000000000000001</v>
      </c>
      <c r="I802" s="14">
        <v>100</v>
      </c>
      <c r="J802">
        <f>I802-I803</f>
        <v>-6</v>
      </c>
      <c r="K802" t="str">
        <f t="shared" si="74"/>
        <v>L</v>
      </c>
      <c r="L802" t="str">
        <f t="shared" si="75"/>
        <v>Michael</v>
      </c>
      <c r="M802" t="str">
        <f>VLOOKUP(L802,References!$A$2:$B$16,2,FALSE)</f>
        <v>AKCOVA</v>
      </c>
      <c r="N802" s="19" t="str">
        <f>IF(M802=M803,"N","Y")</f>
        <v>N</v>
      </c>
      <c r="O802">
        <f>SUM(I802:I803)</f>
        <v>206</v>
      </c>
      <c r="P802">
        <f t="shared" si="77"/>
        <v>106</v>
      </c>
    </row>
    <row r="803" spans="1:16" hidden="1" x14ac:dyDescent="0.3">
      <c r="A803" t="str">
        <f t="shared" si="76"/>
        <v>2018Watty7</v>
      </c>
      <c r="B803">
        <f t="shared" si="72"/>
        <v>865</v>
      </c>
      <c r="C803">
        <f t="shared" si="73"/>
        <v>509</v>
      </c>
      <c r="D803" t="s">
        <v>24</v>
      </c>
      <c r="E803" t="str">
        <f>D802</f>
        <v>Michael</v>
      </c>
      <c r="F803">
        <v>2018</v>
      </c>
      <c r="G803">
        <v>7</v>
      </c>
      <c r="H803">
        <v>1.2</v>
      </c>
      <c r="I803" s="14">
        <v>106</v>
      </c>
      <c r="J803">
        <f>I803-I802</f>
        <v>6</v>
      </c>
      <c r="K803" t="str">
        <f t="shared" si="74"/>
        <v>W</v>
      </c>
      <c r="L803" t="str">
        <f t="shared" si="75"/>
        <v>Watty</v>
      </c>
      <c r="M803" t="str">
        <f>VLOOKUP(L803,References!$A$2:$B$16,2,FALSE)</f>
        <v>AKCOVA</v>
      </c>
      <c r="N803" s="19" t="str">
        <f>IF(M803=M802,"N","Y")</f>
        <v>N</v>
      </c>
      <c r="O803">
        <f>SUM(I802:I803)</f>
        <v>206</v>
      </c>
      <c r="P803">
        <f t="shared" si="77"/>
        <v>100</v>
      </c>
    </row>
    <row r="804" spans="1:16" hidden="1" x14ac:dyDescent="0.3">
      <c r="A804" t="str">
        <f t="shared" si="76"/>
        <v>2018Emily7</v>
      </c>
      <c r="B804">
        <f t="shared" si="72"/>
        <v>2024</v>
      </c>
      <c r="C804">
        <f t="shared" si="73"/>
        <v>1318</v>
      </c>
      <c r="D804" t="s">
        <v>43</v>
      </c>
      <c r="E804" t="str">
        <f>D805</f>
        <v>Mark</v>
      </c>
      <c r="F804">
        <v>2018</v>
      </c>
      <c r="G804">
        <v>7</v>
      </c>
      <c r="H804">
        <v>2.1</v>
      </c>
      <c r="I804" s="14">
        <v>82</v>
      </c>
      <c r="J804">
        <f>I804-I805</f>
        <v>-58</v>
      </c>
      <c r="K804" t="str">
        <f t="shared" si="74"/>
        <v>L</v>
      </c>
      <c r="L804" t="str">
        <f t="shared" si="75"/>
        <v>Emily</v>
      </c>
      <c r="M804" t="str">
        <f>VLOOKUP(L804,References!$A$2:$B$16,2,FALSE)</f>
        <v>TEXAROK</v>
      </c>
      <c r="N804" s="19" t="str">
        <f>IF(M804=M805,"N","Y")</f>
        <v>Y</v>
      </c>
      <c r="O804">
        <f>SUM(I804:I805)</f>
        <v>222</v>
      </c>
      <c r="P804">
        <f t="shared" si="77"/>
        <v>140</v>
      </c>
    </row>
    <row r="805" spans="1:16" hidden="1" x14ac:dyDescent="0.3">
      <c r="A805" t="str">
        <f t="shared" si="76"/>
        <v>2018Mark7</v>
      </c>
      <c r="B805">
        <f t="shared" si="72"/>
        <v>62</v>
      </c>
      <c r="C805">
        <f t="shared" si="73"/>
        <v>56</v>
      </c>
      <c r="D805" t="s">
        <v>22</v>
      </c>
      <c r="E805" t="str">
        <f>D804</f>
        <v>Emily</v>
      </c>
      <c r="F805">
        <v>2018</v>
      </c>
      <c r="G805">
        <v>7</v>
      </c>
      <c r="H805">
        <v>2.2000000000000002</v>
      </c>
      <c r="I805" s="14">
        <v>140</v>
      </c>
      <c r="J805">
        <f>I805-I804</f>
        <v>58</v>
      </c>
      <c r="K805" t="str">
        <f t="shared" si="74"/>
        <v>W</v>
      </c>
      <c r="L805" t="str">
        <f t="shared" si="75"/>
        <v>Mark</v>
      </c>
      <c r="M805" t="str">
        <f>VLOOKUP(L805,References!$A$2:$B$16,2,FALSE)</f>
        <v>AKCOVA</v>
      </c>
      <c r="N805" s="19" t="str">
        <f>IF(M805=M804,"N","Y")</f>
        <v>Y</v>
      </c>
      <c r="O805">
        <f>SUM(I804:I805)</f>
        <v>222</v>
      </c>
      <c r="P805">
        <f t="shared" si="77"/>
        <v>82</v>
      </c>
    </row>
    <row r="806" spans="1:16" hidden="1" x14ac:dyDescent="0.3">
      <c r="A806" t="str">
        <f t="shared" si="76"/>
        <v>2018Russell7</v>
      </c>
      <c r="B806">
        <f t="shared" si="72"/>
        <v>1258</v>
      </c>
      <c r="C806">
        <f t="shared" si="73"/>
        <v>1767</v>
      </c>
      <c r="D806" t="s">
        <v>28</v>
      </c>
      <c r="E806" t="str">
        <f>D807</f>
        <v>Charles</v>
      </c>
      <c r="F806">
        <v>2018</v>
      </c>
      <c r="G806">
        <v>7</v>
      </c>
      <c r="H806">
        <v>3.1</v>
      </c>
      <c r="I806" s="14">
        <v>69</v>
      </c>
      <c r="J806">
        <f>I806-I807</f>
        <v>-8</v>
      </c>
      <c r="K806" t="str">
        <f t="shared" si="74"/>
        <v>L</v>
      </c>
      <c r="L806" t="str">
        <f t="shared" si="75"/>
        <v>Russell</v>
      </c>
      <c r="M806" t="str">
        <f>VLOOKUP(L806,References!$A$2:$B$16,2,FALSE)</f>
        <v>TEXAROK</v>
      </c>
      <c r="N806" s="19" t="str">
        <f>IF(M806=M807,"N","Y")</f>
        <v>Y</v>
      </c>
      <c r="O806">
        <f>SUM(I806:I807)</f>
        <v>146</v>
      </c>
      <c r="P806">
        <f t="shared" si="77"/>
        <v>77</v>
      </c>
    </row>
    <row r="807" spans="1:16" hidden="1" x14ac:dyDescent="0.3">
      <c r="A807" t="str">
        <f t="shared" si="76"/>
        <v>2018Charles7</v>
      </c>
      <c r="B807">
        <f t="shared" si="72"/>
        <v>803</v>
      </c>
      <c r="C807">
        <f t="shared" si="73"/>
        <v>1512</v>
      </c>
      <c r="D807" t="s">
        <v>48</v>
      </c>
      <c r="E807" t="str">
        <f>D806</f>
        <v>Russell</v>
      </c>
      <c r="F807">
        <v>2018</v>
      </c>
      <c r="G807">
        <v>7</v>
      </c>
      <c r="H807">
        <v>3.2</v>
      </c>
      <c r="I807" s="14">
        <v>77</v>
      </c>
      <c r="J807">
        <f>I807-I806</f>
        <v>8</v>
      </c>
      <c r="K807" t="str">
        <f t="shared" si="74"/>
        <v>W</v>
      </c>
      <c r="L807" t="str">
        <f t="shared" si="75"/>
        <v>Charles</v>
      </c>
      <c r="M807" t="str">
        <f>VLOOKUP(L807,References!$A$2:$B$16,2,FALSE)</f>
        <v>AKCOVA</v>
      </c>
      <c r="N807" s="19" t="str">
        <f>IF(M807=M806,"N","Y")</f>
        <v>Y</v>
      </c>
      <c r="O807">
        <f>SUM(I806:I807)</f>
        <v>146</v>
      </c>
      <c r="P807">
        <f t="shared" si="77"/>
        <v>69</v>
      </c>
    </row>
    <row r="808" spans="1:16" hidden="1" x14ac:dyDescent="0.3">
      <c r="A808" t="str">
        <f t="shared" si="76"/>
        <v>2018Matt7</v>
      </c>
      <c r="B808">
        <f t="shared" si="72"/>
        <v>173</v>
      </c>
      <c r="C808">
        <f t="shared" si="73"/>
        <v>173</v>
      </c>
      <c r="D808" t="s">
        <v>30</v>
      </c>
      <c r="E808" t="str">
        <f>D809</f>
        <v>Abby</v>
      </c>
      <c r="F808">
        <v>2018</v>
      </c>
      <c r="G808">
        <v>7</v>
      </c>
      <c r="H808">
        <v>4.0999999999999996</v>
      </c>
      <c r="I808" s="14">
        <v>124</v>
      </c>
      <c r="J808">
        <f>I808-I809</f>
        <v>42</v>
      </c>
      <c r="K808" t="str">
        <f t="shared" si="74"/>
        <v>W</v>
      </c>
      <c r="L808" t="str">
        <f t="shared" si="75"/>
        <v>Matt</v>
      </c>
      <c r="M808" t="str">
        <f>VLOOKUP(L808,References!$A$2:$B$16,2,FALSE)</f>
        <v>TEXAROK</v>
      </c>
      <c r="N808" s="19" t="str">
        <f>IF(M808=M809,"N","Y")</f>
        <v>Y</v>
      </c>
      <c r="O808">
        <f>SUM(I808:I809)</f>
        <v>206</v>
      </c>
      <c r="P808">
        <f t="shared" si="77"/>
        <v>82</v>
      </c>
    </row>
    <row r="809" spans="1:16" hidden="1" x14ac:dyDescent="0.3">
      <c r="A809" t="str">
        <f t="shared" si="76"/>
        <v>2018Abby7</v>
      </c>
      <c r="B809">
        <f t="shared" si="72"/>
        <v>1914</v>
      </c>
      <c r="C809">
        <f t="shared" si="73"/>
        <v>1318</v>
      </c>
      <c r="D809" t="s">
        <v>27</v>
      </c>
      <c r="E809" t="str">
        <f>D808</f>
        <v>Matt</v>
      </c>
      <c r="F809">
        <v>2018</v>
      </c>
      <c r="G809">
        <v>7</v>
      </c>
      <c r="H809">
        <v>4.2</v>
      </c>
      <c r="I809" s="14">
        <v>82</v>
      </c>
      <c r="J809">
        <f>I809-I808</f>
        <v>-42</v>
      </c>
      <c r="K809" t="str">
        <f t="shared" si="74"/>
        <v>L</v>
      </c>
      <c r="L809" t="str">
        <f t="shared" si="75"/>
        <v>Abby</v>
      </c>
      <c r="M809" t="str">
        <f>VLOOKUP(L809,References!$A$2:$B$16,2,FALSE)</f>
        <v>AKCOVA</v>
      </c>
      <c r="N809" s="19" t="str">
        <f>IF(M809=M808,"N","Y")</f>
        <v>Y</v>
      </c>
      <c r="O809">
        <f>SUM(I808:I809)</f>
        <v>206</v>
      </c>
      <c r="P809">
        <f t="shared" si="77"/>
        <v>124</v>
      </c>
    </row>
    <row r="810" spans="1:16" hidden="1" x14ac:dyDescent="0.3">
      <c r="A810" t="str">
        <f t="shared" si="76"/>
        <v>2018Brent7</v>
      </c>
      <c r="B810">
        <f t="shared" si="72"/>
        <v>1004</v>
      </c>
      <c r="C810">
        <f t="shared" si="73"/>
        <v>1684</v>
      </c>
      <c r="D810" t="s">
        <v>47</v>
      </c>
      <c r="E810" t="str">
        <f>D811</f>
        <v>BR</v>
      </c>
      <c r="F810">
        <v>2018</v>
      </c>
      <c r="G810">
        <v>7</v>
      </c>
      <c r="H810">
        <v>5.0999999999999996</v>
      </c>
      <c r="I810" s="14">
        <v>72</v>
      </c>
      <c r="J810">
        <f>I810-I811</f>
        <v>1</v>
      </c>
      <c r="K810" t="str">
        <f t="shared" si="74"/>
        <v>W</v>
      </c>
      <c r="L810" t="str">
        <f t="shared" si="75"/>
        <v>Brent</v>
      </c>
      <c r="M810" t="str">
        <f>VLOOKUP(L810,References!$A$2:$B$16,2,FALSE)</f>
        <v>TEXAROK</v>
      </c>
      <c r="N810" s="19" t="str">
        <f>IF(M810=M811,"N","Y")</f>
        <v>Y</v>
      </c>
      <c r="O810">
        <f>SUM(I810:I811)</f>
        <v>143</v>
      </c>
      <c r="P810">
        <f t="shared" si="77"/>
        <v>71</v>
      </c>
    </row>
    <row r="811" spans="1:16" hidden="1" x14ac:dyDescent="0.3">
      <c r="A811" t="str">
        <f t="shared" si="76"/>
        <v>2018BR7</v>
      </c>
      <c r="B811">
        <f t="shared" si="72"/>
        <v>1055</v>
      </c>
      <c r="C811">
        <f t="shared" si="73"/>
        <v>1717</v>
      </c>
      <c r="D811" t="s">
        <v>25</v>
      </c>
      <c r="E811" t="str">
        <f>D810</f>
        <v>Brent</v>
      </c>
      <c r="F811">
        <v>2018</v>
      </c>
      <c r="G811">
        <v>7</v>
      </c>
      <c r="H811">
        <v>5.2</v>
      </c>
      <c r="I811" s="14">
        <v>71</v>
      </c>
      <c r="J811">
        <f>I811-I810</f>
        <v>-1</v>
      </c>
      <c r="K811" t="str">
        <f t="shared" si="74"/>
        <v>L</v>
      </c>
      <c r="L811" t="str">
        <f t="shared" si="75"/>
        <v>BR</v>
      </c>
      <c r="M811" t="str">
        <f>VLOOKUP(L811,References!$A$2:$B$16,2,FALSE)</f>
        <v>AKCOVA</v>
      </c>
      <c r="N811" s="19" t="str">
        <f>IF(M811=M810,"N","Y")</f>
        <v>Y</v>
      </c>
      <c r="O811">
        <f>SUM(I810:I811)</f>
        <v>143</v>
      </c>
      <c r="P811">
        <f t="shared" si="77"/>
        <v>72</v>
      </c>
    </row>
    <row r="812" spans="1:16" hidden="1" x14ac:dyDescent="0.3">
      <c r="A812" t="str">
        <f t="shared" si="76"/>
        <v>2018David7</v>
      </c>
      <c r="B812">
        <f t="shared" si="72"/>
        <v>1434</v>
      </c>
      <c r="C812">
        <f t="shared" si="73"/>
        <v>1867</v>
      </c>
      <c r="D812" t="s">
        <v>29</v>
      </c>
      <c r="E812" t="str">
        <f>D813</f>
        <v>Brian</v>
      </c>
      <c r="F812">
        <v>2018</v>
      </c>
      <c r="G812">
        <v>7</v>
      </c>
      <c r="H812">
        <v>6.1</v>
      </c>
      <c r="I812" s="14">
        <v>64</v>
      </c>
      <c r="J812">
        <f>I812-I813</f>
        <v>-15</v>
      </c>
      <c r="K812" t="str">
        <f t="shared" si="74"/>
        <v>L</v>
      </c>
      <c r="L812" t="str">
        <f t="shared" si="75"/>
        <v>David</v>
      </c>
      <c r="M812" t="str">
        <f>VLOOKUP(L812,References!$A$2:$B$16,2,FALSE)</f>
        <v>TEXAROK</v>
      </c>
      <c r="N812" s="19" t="str">
        <f>IF(M812=M813,"N","Y")</f>
        <v>N</v>
      </c>
      <c r="O812">
        <f>SUM(I812:I813)</f>
        <v>143</v>
      </c>
      <c r="P812">
        <f t="shared" si="77"/>
        <v>79</v>
      </c>
    </row>
    <row r="813" spans="1:16" hidden="1" x14ac:dyDescent="0.3">
      <c r="A813" t="str">
        <f t="shared" si="76"/>
        <v>2018Brian7</v>
      </c>
      <c r="B813">
        <f t="shared" si="72"/>
        <v>639</v>
      </c>
      <c r="C813">
        <f t="shared" si="73"/>
        <v>1439</v>
      </c>
      <c r="D813" t="s">
        <v>26</v>
      </c>
      <c r="E813" t="str">
        <f>D812</f>
        <v>David</v>
      </c>
      <c r="F813">
        <v>2018</v>
      </c>
      <c r="G813">
        <v>7</v>
      </c>
      <c r="H813">
        <v>6.2</v>
      </c>
      <c r="I813" s="14">
        <v>79</v>
      </c>
      <c r="J813">
        <f>I813-I812</f>
        <v>15</v>
      </c>
      <c r="K813" t="str">
        <f t="shared" si="74"/>
        <v>W</v>
      </c>
      <c r="L813" t="str">
        <f t="shared" si="75"/>
        <v>Brian</v>
      </c>
      <c r="M813" t="str">
        <f>VLOOKUP(L813,References!$A$2:$B$16,2,FALSE)</f>
        <v>TEXAROK</v>
      </c>
      <c r="N813" s="19" t="str">
        <f>IF(M813=M812,"N","Y")</f>
        <v>N</v>
      </c>
      <c r="O813">
        <f>SUM(I812:I813)</f>
        <v>143</v>
      </c>
      <c r="P813">
        <f t="shared" si="77"/>
        <v>64</v>
      </c>
    </row>
    <row r="814" spans="1:16" hidden="1" x14ac:dyDescent="0.3">
      <c r="A814" t="str">
        <f t="shared" si="76"/>
        <v>2018Brian8</v>
      </c>
      <c r="B814">
        <f t="shared" si="72"/>
        <v>1824</v>
      </c>
      <c r="C814">
        <f t="shared" si="73"/>
        <v>603</v>
      </c>
      <c r="D814" t="s">
        <v>26</v>
      </c>
      <c r="E814" t="str">
        <f>D815</f>
        <v>Michael</v>
      </c>
      <c r="F814">
        <v>2018</v>
      </c>
      <c r="G814">
        <v>8</v>
      </c>
      <c r="H814">
        <v>1.1000000000000001</v>
      </c>
      <c r="I814" s="14">
        <v>103</v>
      </c>
      <c r="J814">
        <f>I814-I815</f>
        <v>-34</v>
      </c>
      <c r="K814" t="str">
        <f t="shared" si="74"/>
        <v>L</v>
      </c>
      <c r="L814" t="str">
        <f t="shared" si="75"/>
        <v>Brian</v>
      </c>
      <c r="M814" t="str">
        <f>VLOOKUP(L814,References!$A$2:$B$16,2,FALSE)</f>
        <v>TEXAROK</v>
      </c>
      <c r="N814" s="19" t="str">
        <f>IF(M814=M815,"N","Y")</f>
        <v>Y</v>
      </c>
      <c r="O814">
        <f>SUM(I814:I815)</f>
        <v>240</v>
      </c>
      <c r="P814">
        <f t="shared" si="77"/>
        <v>137</v>
      </c>
    </row>
    <row r="815" spans="1:16" hidden="1" x14ac:dyDescent="0.3">
      <c r="A815" t="str">
        <f t="shared" si="76"/>
        <v>2018Michael8</v>
      </c>
      <c r="B815">
        <f t="shared" si="72"/>
        <v>262</v>
      </c>
      <c r="C815">
        <f t="shared" si="73"/>
        <v>70</v>
      </c>
      <c r="D815" t="s">
        <v>23</v>
      </c>
      <c r="E815" t="str">
        <f>D814</f>
        <v>Brian</v>
      </c>
      <c r="F815">
        <v>2018</v>
      </c>
      <c r="G815">
        <v>8</v>
      </c>
      <c r="H815">
        <v>1.2</v>
      </c>
      <c r="I815" s="14">
        <v>137</v>
      </c>
      <c r="J815">
        <f>I815-I814</f>
        <v>34</v>
      </c>
      <c r="K815" t="str">
        <f t="shared" si="74"/>
        <v>W</v>
      </c>
      <c r="L815" t="str">
        <f t="shared" si="75"/>
        <v>Michael</v>
      </c>
      <c r="M815" t="str">
        <f>VLOOKUP(L815,References!$A$2:$B$16,2,FALSE)</f>
        <v>AKCOVA</v>
      </c>
      <c r="N815" s="19" t="str">
        <f>IF(M815=M814,"N","Y")</f>
        <v>Y</v>
      </c>
      <c r="O815">
        <f>SUM(I814:I815)</f>
        <v>240</v>
      </c>
      <c r="P815">
        <f t="shared" si="77"/>
        <v>103</v>
      </c>
    </row>
    <row r="816" spans="1:16" hidden="1" x14ac:dyDescent="0.3">
      <c r="A816" t="str">
        <f t="shared" si="76"/>
        <v>2018Mark8</v>
      </c>
      <c r="B816">
        <f t="shared" si="72"/>
        <v>1753</v>
      </c>
      <c r="C816">
        <f t="shared" si="73"/>
        <v>857</v>
      </c>
      <c r="D816" t="s">
        <v>22</v>
      </c>
      <c r="E816" t="str">
        <f>D817</f>
        <v>Brent</v>
      </c>
      <c r="F816">
        <v>2018</v>
      </c>
      <c r="G816">
        <v>8</v>
      </c>
      <c r="H816">
        <v>2.1</v>
      </c>
      <c r="I816" s="14">
        <v>95</v>
      </c>
      <c r="J816">
        <f>I816-I817</f>
        <v>-30</v>
      </c>
      <c r="K816" t="str">
        <f t="shared" si="74"/>
        <v>L</v>
      </c>
      <c r="L816" t="str">
        <f t="shared" si="75"/>
        <v>Mark</v>
      </c>
      <c r="M816" t="str">
        <f>VLOOKUP(L816,References!$A$2:$B$16,2,FALSE)</f>
        <v>AKCOVA</v>
      </c>
      <c r="N816" s="19" t="str">
        <f>IF(M816=M817,"N","Y")</f>
        <v>Y</v>
      </c>
      <c r="O816">
        <f>SUM(I816:I817)</f>
        <v>220</v>
      </c>
      <c r="P816">
        <f t="shared" si="77"/>
        <v>125</v>
      </c>
    </row>
    <row r="817" spans="1:16" hidden="1" x14ac:dyDescent="0.3">
      <c r="A817" t="str">
        <f t="shared" si="76"/>
        <v>2018Brent8</v>
      </c>
      <c r="B817">
        <f t="shared" si="72"/>
        <v>319</v>
      </c>
      <c r="C817">
        <f t="shared" si="73"/>
        <v>165</v>
      </c>
      <c r="D817" t="s">
        <v>47</v>
      </c>
      <c r="E817" t="str">
        <f>D816</f>
        <v>Mark</v>
      </c>
      <c r="F817">
        <v>2018</v>
      </c>
      <c r="G817">
        <v>8</v>
      </c>
      <c r="H817">
        <v>2.2000000000000002</v>
      </c>
      <c r="I817" s="14">
        <v>125</v>
      </c>
      <c r="J817">
        <f>I817-I816</f>
        <v>30</v>
      </c>
      <c r="K817" t="str">
        <f t="shared" si="74"/>
        <v>W</v>
      </c>
      <c r="L817" t="str">
        <f t="shared" si="75"/>
        <v>Brent</v>
      </c>
      <c r="M817" t="str">
        <f>VLOOKUP(L817,References!$A$2:$B$16,2,FALSE)</f>
        <v>TEXAROK</v>
      </c>
      <c r="N817" s="19" t="str">
        <f>IF(M817=M816,"N","Y")</f>
        <v>Y</v>
      </c>
      <c r="O817">
        <f>SUM(I816:I817)</f>
        <v>220</v>
      </c>
      <c r="P817">
        <f t="shared" si="77"/>
        <v>95</v>
      </c>
    </row>
    <row r="818" spans="1:16" hidden="1" x14ac:dyDescent="0.3">
      <c r="A818" t="str">
        <f t="shared" si="76"/>
        <v>2018Charles8</v>
      </c>
      <c r="B818">
        <f t="shared" si="72"/>
        <v>1661</v>
      </c>
      <c r="C818">
        <f t="shared" si="73"/>
        <v>1318</v>
      </c>
      <c r="D818" t="s">
        <v>48</v>
      </c>
      <c r="E818" t="str">
        <f>D819</f>
        <v>David</v>
      </c>
      <c r="F818">
        <v>2018</v>
      </c>
      <c r="G818">
        <v>8</v>
      </c>
      <c r="H818">
        <v>3.1</v>
      </c>
      <c r="I818" s="14">
        <v>82</v>
      </c>
      <c r="J818">
        <f>I818-I819</f>
        <v>-25</v>
      </c>
      <c r="K818" t="str">
        <f t="shared" si="74"/>
        <v>L</v>
      </c>
      <c r="L818" t="str">
        <f t="shared" si="75"/>
        <v>Charles</v>
      </c>
      <c r="M818" t="str">
        <f>VLOOKUP(L818,References!$A$2:$B$16,2,FALSE)</f>
        <v>AKCOVA</v>
      </c>
      <c r="N818" s="19" t="str">
        <f>IF(M818=M819,"N","Y")</f>
        <v>Y</v>
      </c>
      <c r="O818">
        <f>SUM(I818:I819)</f>
        <v>189</v>
      </c>
      <c r="P818">
        <f t="shared" si="77"/>
        <v>107</v>
      </c>
    </row>
    <row r="819" spans="1:16" hidden="1" x14ac:dyDescent="0.3">
      <c r="A819" t="str">
        <f t="shared" si="76"/>
        <v>2018David8</v>
      </c>
      <c r="B819">
        <f t="shared" si="72"/>
        <v>410</v>
      </c>
      <c r="C819">
        <f t="shared" si="73"/>
        <v>486</v>
      </c>
      <c r="D819" t="s">
        <v>29</v>
      </c>
      <c r="E819" t="str">
        <f>D818</f>
        <v>Charles</v>
      </c>
      <c r="F819">
        <v>2018</v>
      </c>
      <c r="G819">
        <v>8</v>
      </c>
      <c r="H819">
        <v>3.2</v>
      </c>
      <c r="I819" s="14">
        <v>107</v>
      </c>
      <c r="J819">
        <f>I819-I818</f>
        <v>25</v>
      </c>
      <c r="K819" t="str">
        <f t="shared" si="74"/>
        <v>W</v>
      </c>
      <c r="L819" t="str">
        <f t="shared" si="75"/>
        <v>David</v>
      </c>
      <c r="M819" t="str">
        <f>VLOOKUP(L819,References!$A$2:$B$16,2,FALSE)</f>
        <v>TEXAROK</v>
      </c>
      <c r="N819" s="19" t="str">
        <f>IF(M819=M818,"N","Y")</f>
        <v>Y</v>
      </c>
      <c r="O819">
        <f>SUM(I818:I819)</f>
        <v>189</v>
      </c>
      <c r="P819">
        <f t="shared" si="77"/>
        <v>82</v>
      </c>
    </row>
    <row r="820" spans="1:16" hidden="1" x14ac:dyDescent="0.3">
      <c r="A820" t="str">
        <f t="shared" si="76"/>
        <v>2018Abby8</v>
      </c>
      <c r="B820">
        <f t="shared" si="72"/>
        <v>1884</v>
      </c>
      <c r="C820">
        <f t="shared" si="73"/>
        <v>1867</v>
      </c>
      <c r="D820" t="s">
        <v>27</v>
      </c>
      <c r="E820" t="str">
        <f>D821</f>
        <v>Emily</v>
      </c>
      <c r="F820">
        <v>2018</v>
      </c>
      <c r="G820">
        <v>8</v>
      </c>
      <c r="H820">
        <v>4.0999999999999996</v>
      </c>
      <c r="I820" s="14">
        <v>64</v>
      </c>
      <c r="J820">
        <f>I820-I821</f>
        <v>-39</v>
      </c>
      <c r="K820" t="str">
        <f t="shared" si="74"/>
        <v>L</v>
      </c>
      <c r="L820" t="str">
        <f t="shared" si="75"/>
        <v>Abby</v>
      </c>
      <c r="M820" t="str">
        <f>VLOOKUP(L820,References!$A$2:$B$16,2,FALSE)</f>
        <v>AKCOVA</v>
      </c>
      <c r="N820" s="19" t="str">
        <f>IF(M820=M821,"N","Y")</f>
        <v>Y</v>
      </c>
      <c r="O820">
        <f>SUM(I820:I821)</f>
        <v>167</v>
      </c>
      <c r="P820">
        <f t="shared" si="77"/>
        <v>103</v>
      </c>
    </row>
    <row r="821" spans="1:16" hidden="1" x14ac:dyDescent="0.3">
      <c r="A821" t="str">
        <f t="shared" si="76"/>
        <v>2018Emily8</v>
      </c>
      <c r="B821">
        <f t="shared" si="72"/>
        <v>199</v>
      </c>
      <c r="C821">
        <f t="shared" si="73"/>
        <v>603</v>
      </c>
      <c r="D821" t="s">
        <v>43</v>
      </c>
      <c r="E821" t="str">
        <f>D820</f>
        <v>Abby</v>
      </c>
      <c r="F821">
        <v>2018</v>
      </c>
      <c r="G821">
        <v>8</v>
      </c>
      <c r="H821">
        <v>4.2</v>
      </c>
      <c r="I821" s="14">
        <v>103</v>
      </c>
      <c r="J821">
        <f>I821-I820</f>
        <v>39</v>
      </c>
      <c r="K821" t="str">
        <f t="shared" si="74"/>
        <v>W</v>
      </c>
      <c r="L821" t="str">
        <f t="shared" si="75"/>
        <v>Emily</v>
      </c>
      <c r="M821" t="str">
        <f>VLOOKUP(L821,References!$A$2:$B$16,2,FALSE)</f>
        <v>TEXAROK</v>
      </c>
      <c r="N821" s="19" t="str">
        <f>IF(M821=M820,"N","Y")</f>
        <v>Y</v>
      </c>
      <c r="O821">
        <f>SUM(I820:I821)</f>
        <v>167</v>
      </c>
      <c r="P821">
        <f t="shared" si="77"/>
        <v>64</v>
      </c>
    </row>
    <row r="822" spans="1:16" hidden="1" x14ac:dyDescent="0.3">
      <c r="A822" t="str">
        <f t="shared" si="76"/>
        <v>2018BR8</v>
      </c>
      <c r="B822">
        <f t="shared" si="72"/>
        <v>410</v>
      </c>
      <c r="C822">
        <f t="shared" si="73"/>
        <v>992</v>
      </c>
      <c r="D822" t="s">
        <v>25</v>
      </c>
      <c r="E822" t="str">
        <f>D823</f>
        <v>Russell</v>
      </c>
      <c r="F822">
        <v>2018</v>
      </c>
      <c r="G822">
        <v>8</v>
      </c>
      <c r="H822">
        <v>5.0999999999999996</v>
      </c>
      <c r="I822" s="14">
        <v>91</v>
      </c>
      <c r="J822">
        <f>I822-I823</f>
        <v>25</v>
      </c>
      <c r="K822" t="str">
        <f t="shared" si="74"/>
        <v>W</v>
      </c>
      <c r="L822" t="str">
        <f t="shared" si="75"/>
        <v>BR</v>
      </c>
      <c r="M822" t="str">
        <f>VLOOKUP(L822,References!$A$2:$B$16,2,FALSE)</f>
        <v>AKCOVA</v>
      </c>
      <c r="N822" s="19" t="str">
        <f>IF(M822=M823,"N","Y")</f>
        <v>Y</v>
      </c>
      <c r="O822">
        <f>SUM(I822:I823)</f>
        <v>157</v>
      </c>
      <c r="P822">
        <f t="shared" si="77"/>
        <v>66</v>
      </c>
    </row>
    <row r="823" spans="1:16" hidden="1" x14ac:dyDescent="0.3">
      <c r="A823" t="str">
        <f t="shared" si="76"/>
        <v>2018Russell8</v>
      </c>
      <c r="B823">
        <f t="shared" si="72"/>
        <v>1661</v>
      </c>
      <c r="C823">
        <f t="shared" si="73"/>
        <v>1833</v>
      </c>
      <c r="D823" t="s">
        <v>28</v>
      </c>
      <c r="E823" t="str">
        <f>D822</f>
        <v>BR</v>
      </c>
      <c r="F823">
        <v>2018</v>
      </c>
      <c r="G823">
        <v>8</v>
      </c>
      <c r="H823">
        <v>5.2</v>
      </c>
      <c r="I823" s="14">
        <v>66</v>
      </c>
      <c r="J823">
        <f>I823-I822</f>
        <v>-25</v>
      </c>
      <c r="K823" t="str">
        <f t="shared" si="74"/>
        <v>L</v>
      </c>
      <c r="L823" t="str">
        <f t="shared" si="75"/>
        <v>Russell</v>
      </c>
      <c r="M823" t="str">
        <f>VLOOKUP(L823,References!$A$2:$B$16,2,FALSE)</f>
        <v>TEXAROK</v>
      </c>
      <c r="N823" s="19" t="str">
        <f>IF(M823=M822,"N","Y")</f>
        <v>Y</v>
      </c>
      <c r="O823">
        <f>SUM(I822:I823)</f>
        <v>157</v>
      </c>
      <c r="P823">
        <f t="shared" si="77"/>
        <v>91</v>
      </c>
    </row>
    <row r="824" spans="1:16" hidden="1" x14ac:dyDescent="0.3">
      <c r="A824" t="str">
        <f t="shared" si="76"/>
        <v>2018Watty8</v>
      </c>
      <c r="B824">
        <f t="shared" si="72"/>
        <v>1336</v>
      </c>
      <c r="C824">
        <f t="shared" si="73"/>
        <v>1910</v>
      </c>
      <c r="D824" t="s">
        <v>24</v>
      </c>
      <c r="E824" t="str">
        <f>D825</f>
        <v>Matt</v>
      </c>
      <c r="F824">
        <v>2018</v>
      </c>
      <c r="G824">
        <v>8</v>
      </c>
      <c r="H824">
        <v>6.1</v>
      </c>
      <c r="I824" s="14">
        <v>62</v>
      </c>
      <c r="J824">
        <f>I824-I825</f>
        <v>-11</v>
      </c>
      <c r="K824" t="str">
        <f t="shared" si="74"/>
        <v>L</v>
      </c>
      <c r="L824" t="str">
        <f t="shared" si="75"/>
        <v>Watty</v>
      </c>
      <c r="M824" t="str">
        <f>VLOOKUP(L824,References!$A$2:$B$16,2,FALSE)</f>
        <v>AKCOVA</v>
      </c>
      <c r="N824" s="19" t="str">
        <f>IF(M824=M825,"N","Y")</f>
        <v>Y</v>
      </c>
      <c r="O824">
        <f>SUM(I824:I825)</f>
        <v>135</v>
      </c>
      <c r="P824">
        <f t="shared" si="77"/>
        <v>73</v>
      </c>
    </row>
    <row r="825" spans="1:16" hidden="1" x14ac:dyDescent="0.3">
      <c r="A825" t="str">
        <f t="shared" si="76"/>
        <v>2018Matt8</v>
      </c>
      <c r="B825">
        <f t="shared" si="72"/>
        <v>737</v>
      </c>
      <c r="C825">
        <f t="shared" si="73"/>
        <v>1648</v>
      </c>
      <c r="D825" t="s">
        <v>30</v>
      </c>
      <c r="E825" t="str">
        <f>D824</f>
        <v>Watty</v>
      </c>
      <c r="F825">
        <v>2018</v>
      </c>
      <c r="G825">
        <v>8</v>
      </c>
      <c r="H825">
        <v>6.2</v>
      </c>
      <c r="I825" s="14">
        <v>73</v>
      </c>
      <c r="J825">
        <f>I825-I824</f>
        <v>11</v>
      </c>
      <c r="K825" t="str">
        <f t="shared" si="74"/>
        <v>W</v>
      </c>
      <c r="L825" t="str">
        <f t="shared" si="75"/>
        <v>Matt</v>
      </c>
      <c r="M825" t="str">
        <f>VLOOKUP(L825,References!$A$2:$B$16,2,FALSE)</f>
        <v>TEXAROK</v>
      </c>
      <c r="N825" s="19" t="str">
        <f>IF(M825=M824,"N","Y")</f>
        <v>Y</v>
      </c>
      <c r="O825">
        <f>SUM(I824:I825)</f>
        <v>135</v>
      </c>
      <c r="P825">
        <f t="shared" si="77"/>
        <v>62</v>
      </c>
    </row>
    <row r="826" spans="1:16" hidden="1" x14ac:dyDescent="0.3">
      <c r="A826" t="str">
        <f t="shared" si="76"/>
        <v>2018Michael9</v>
      </c>
      <c r="B826">
        <f t="shared" si="72"/>
        <v>199</v>
      </c>
      <c r="C826">
        <f t="shared" si="73"/>
        <v>73</v>
      </c>
      <c r="D826" t="s">
        <v>23</v>
      </c>
      <c r="E826" t="str">
        <f>D827</f>
        <v>Charles</v>
      </c>
      <c r="F826">
        <v>2018</v>
      </c>
      <c r="G826">
        <v>9</v>
      </c>
      <c r="H826">
        <v>1.1000000000000001</v>
      </c>
      <c r="I826" s="14">
        <v>136</v>
      </c>
      <c r="J826">
        <f>I826-I827</f>
        <v>39</v>
      </c>
      <c r="K826" t="str">
        <f t="shared" si="74"/>
        <v>W</v>
      </c>
      <c r="L826" t="str">
        <f t="shared" si="75"/>
        <v>Michael</v>
      </c>
      <c r="M826" t="str">
        <f>VLOOKUP(L826,References!$A$2:$B$16,2,FALSE)</f>
        <v>AKCOVA</v>
      </c>
      <c r="N826" s="19" t="str">
        <f>IF(M826=M827,"N","Y")</f>
        <v>N</v>
      </c>
      <c r="O826">
        <f>SUM(I826:I827)</f>
        <v>233</v>
      </c>
      <c r="P826">
        <f t="shared" si="77"/>
        <v>97</v>
      </c>
    </row>
    <row r="827" spans="1:16" hidden="1" x14ac:dyDescent="0.3">
      <c r="A827" t="str">
        <f t="shared" si="76"/>
        <v>2018Charles9</v>
      </c>
      <c r="B827">
        <f t="shared" si="72"/>
        <v>1884</v>
      </c>
      <c r="C827">
        <f t="shared" si="73"/>
        <v>777</v>
      </c>
      <c r="D827" t="s">
        <v>48</v>
      </c>
      <c r="E827" t="str">
        <f>D826</f>
        <v>Michael</v>
      </c>
      <c r="F827">
        <v>2018</v>
      </c>
      <c r="G827">
        <v>9</v>
      </c>
      <c r="H827">
        <v>1.2</v>
      </c>
      <c r="I827" s="14">
        <v>97</v>
      </c>
      <c r="J827">
        <f>I827-I826</f>
        <v>-39</v>
      </c>
      <c r="K827" t="str">
        <f t="shared" si="74"/>
        <v>L</v>
      </c>
      <c r="L827" t="str">
        <f t="shared" si="75"/>
        <v>Charles</v>
      </c>
      <c r="M827" t="str">
        <f>VLOOKUP(L827,References!$A$2:$B$16,2,FALSE)</f>
        <v>AKCOVA</v>
      </c>
      <c r="N827" s="19" t="str">
        <f>IF(M827=M826,"N","Y")</f>
        <v>N</v>
      </c>
      <c r="O827">
        <f>SUM(I826:I827)</f>
        <v>233</v>
      </c>
      <c r="P827">
        <f t="shared" si="77"/>
        <v>136</v>
      </c>
    </row>
    <row r="828" spans="1:16" hidden="1" x14ac:dyDescent="0.3">
      <c r="A828" t="str">
        <f t="shared" si="76"/>
        <v>2018Russell9</v>
      </c>
      <c r="B828">
        <f t="shared" si="72"/>
        <v>1357</v>
      </c>
      <c r="C828">
        <f t="shared" si="73"/>
        <v>1867</v>
      </c>
      <c r="D828" t="s">
        <v>28</v>
      </c>
      <c r="E828" t="str">
        <f>D829</f>
        <v>Mark</v>
      </c>
      <c r="F828">
        <v>2018</v>
      </c>
      <c r="G828">
        <v>9</v>
      </c>
      <c r="H828">
        <v>2.1</v>
      </c>
      <c r="I828" s="14">
        <v>64</v>
      </c>
      <c r="J828">
        <f>I828-I829</f>
        <v>-12</v>
      </c>
      <c r="K828" t="str">
        <f t="shared" si="74"/>
        <v>L</v>
      </c>
      <c r="L828" t="str">
        <f t="shared" si="75"/>
        <v>Russell</v>
      </c>
      <c r="M828" t="str">
        <f>VLOOKUP(L828,References!$A$2:$B$16,2,FALSE)</f>
        <v>TEXAROK</v>
      </c>
      <c r="N828" s="19" t="str">
        <f>IF(M828=M829,"N","Y")</f>
        <v>Y</v>
      </c>
      <c r="O828">
        <f>SUM(I828:I829)</f>
        <v>140</v>
      </c>
      <c r="P828">
        <f t="shared" si="77"/>
        <v>76</v>
      </c>
    </row>
    <row r="829" spans="1:16" hidden="1" x14ac:dyDescent="0.3">
      <c r="A829" t="str">
        <f t="shared" si="76"/>
        <v>2018Mark9</v>
      </c>
      <c r="B829">
        <f t="shared" si="72"/>
        <v>713</v>
      </c>
      <c r="C829">
        <f t="shared" si="73"/>
        <v>1549</v>
      </c>
      <c r="D829" t="s">
        <v>22</v>
      </c>
      <c r="E829" t="str">
        <f>D828</f>
        <v>Russell</v>
      </c>
      <c r="F829">
        <v>2018</v>
      </c>
      <c r="G829">
        <v>9</v>
      </c>
      <c r="H829">
        <v>2.2000000000000002</v>
      </c>
      <c r="I829" s="14">
        <v>76</v>
      </c>
      <c r="J829">
        <f>I829-I828</f>
        <v>12</v>
      </c>
      <c r="K829" t="str">
        <f t="shared" si="74"/>
        <v>W</v>
      </c>
      <c r="L829" t="str">
        <f t="shared" si="75"/>
        <v>Mark</v>
      </c>
      <c r="M829" t="str">
        <f>VLOOKUP(L829,References!$A$2:$B$16,2,FALSE)</f>
        <v>AKCOVA</v>
      </c>
      <c r="N829" s="19" t="str">
        <f>IF(M829=M828,"N","Y")</f>
        <v>Y</v>
      </c>
      <c r="O829">
        <f>SUM(I828:I829)</f>
        <v>140</v>
      </c>
      <c r="P829">
        <f t="shared" si="77"/>
        <v>64</v>
      </c>
    </row>
    <row r="830" spans="1:16" hidden="1" x14ac:dyDescent="0.3">
      <c r="A830" t="str">
        <f t="shared" si="76"/>
        <v>2018Matt9</v>
      </c>
      <c r="B830">
        <f t="shared" si="72"/>
        <v>319</v>
      </c>
      <c r="C830">
        <f t="shared" si="73"/>
        <v>364</v>
      </c>
      <c r="D830" t="s">
        <v>30</v>
      </c>
      <c r="E830" t="str">
        <f>D831</f>
        <v>Brian</v>
      </c>
      <c r="F830">
        <v>2018</v>
      </c>
      <c r="G830">
        <v>9</v>
      </c>
      <c r="H830">
        <v>3.1</v>
      </c>
      <c r="I830" s="14">
        <v>112</v>
      </c>
      <c r="J830">
        <f>I830-I831</f>
        <v>30</v>
      </c>
      <c r="K830" t="str">
        <f t="shared" si="74"/>
        <v>W</v>
      </c>
      <c r="L830" t="str">
        <f t="shared" si="75"/>
        <v>Matt</v>
      </c>
      <c r="M830" t="str">
        <f>VLOOKUP(L830,References!$A$2:$B$16,2,FALSE)</f>
        <v>TEXAROK</v>
      </c>
      <c r="N830" s="19" t="str">
        <f>IF(M830=M831,"N","Y")</f>
        <v>N</v>
      </c>
      <c r="O830">
        <f>SUM(I830:I831)</f>
        <v>194</v>
      </c>
      <c r="P830">
        <f t="shared" si="77"/>
        <v>82</v>
      </c>
    </row>
    <row r="831" spans="1:16" hidden="1" x14ac:dyDescent="0.3">
      <c r="A831" t="str">
        <f t="shared" si="76"/>
        <v>2018Brian9</v>
      </c>
      <c r="B831">
        <f t="shared" si="72"/>
        <v>1753</v>
      </c>
      <c r="C831">
        <f t="shared" si="73"/>
        <v>1318</v>
      </c>
      <c r="D831" t="s">
        <v>26</v>
      </c>
      <c r="E831" t="str">
        <f>D830</f>
        <v>Matt</v>
      </c>
      <c r="F831">
        <v>2018</v>
      </c>
      <c r="G831">
        <v>9</v>
      </c>
      <c r="H831">
        <v>3.2</v>
      </c>
      <c r="I831" s="14">
        <v>82</v>
      </c>
      <c r="J831">
        <f>I831-I830</f>
        <v>-30</v>
      </c>
      <c r="K831" t="str">
        <f t="shared" si="74"/>
        <v>L</v>
      </c>
      <c r="L831" t="str">
        <f t="shared" si="75"/>
        <v>Brian</v>
      </c>
      <c r="M831" t="str">
        <f>VLOOKUP(L831,References!$A$2:$B$16,2,FALSE)</f>
        <v>TEXAROK</v>
      </c>
      <c r="N831" s="19" t="str">
        <f>IF(M831=M830,"N","Y")</f>
        <v>N</v>
      </c>
      <c r="O831">
        <f>SUM(I830:I831)</f>
        <v>194</v>
      </c>
      <c r="P831">
        <f t="shared" si="77"/>
        <v>112</v>
      </c>
    </row>
    <row r="832" spans="1:16" hidden="1" x14ac:dyDescent="0.3">
      <c r="A832" t="str">
        <f t="shared" si="76"/>
        <v>2018Brent9</v>
      </c>
      <c r="B832">
        <f t="shared" si="72"/>
        <v>180</v>
      </c>
      <c r="C832">
        <f t="shared" si="73"/>
        <v>1100</v>
      </c>
      <c r="D832" t="s">
        <v>47</v>
      </c>
      <c r="E832" t="str">
        <f>D833</f>
        <v>Abby</v>
      </c>
      <c r="F832">
        <v>2018</v>
      </c>
      <c r="G832">
        <v>9</v>
      </c>
      <c r="H832">
        <v>4.0999999999999996</v>
      </c>
      <c r="I832" s="14">
        <v>88</v>
      </c>
      <c r="J832">
        <f>I832-I833</f>
        <v>41</v>
      </c>
      <c r="K832" t="str">
        <f t="shared" si="74"/>
        <v>W</v>
      </c>
      <c r="L832" t="str">
        <f t="shared" si="75"/>
        <v>Brent</v>
      </c>
      <c r="M832" t="str">
        <f>VLOOKUP(L832,References!$A$2:$B$16,2,FALSE)</f>
        <v>TEXAROK</v>
      </c>
      <c r="N832" s="19" t="str">
        <f>IF(M832=M833,"N","Y")</f>
        <v>Y</v>
      </c>
      <c r="O832">
        <f>SUM(I832:I833)</f>
        <v>135</v>
      </c>
      <c r="P832">
        <f t="shared" si="77"/>
        <v>47</v>
      </c>
    </row>
    <row r="833" spans="1:16" hidden="1" x14ac:dyDescent="0.3">
      <c r="A833" t="str">
        <f t="shared" si="76"/>
        <v>2018Abby9</v>
      </c>
      <c r="B833">
        <f t="shared" si="72"/>
        <v>1907</v>
      </c>
      <c r="C833">
        <f t="shared" si="73"/>
        <v>2066</v>
      </c>
      <c r="D833" t="s">
        <v>27</v>
      </c>
      <c r="E833" t="str">
        <f>D832</f>
        <v>Brent</v>
      </c>
      <c r="F833">
        <v>2018</v>
      </c>
      <c r="G833">
        <v>9</v>
      </c>
      <c r="H833">
        <v>4.2</v>
      </c>
      <c r="I833" s="14">
        <v>47</v>
      </c>
      <c r="J833">
        <f>I833-I832</f>
        <v>-41</v>
      </c>
      <c r="K833" t="str">
        <f t="shared" si="74"/>
        <v>L</v>
      </c>
      <c r="L833" t="str">
        <f t="shared" si="75"/>
        <v>Abby</v>
      </c>
      <c r="M833" t="str">
        <f>VLOOKUP(L833,References!$A$2:$B$16,2,FALSE)</f>
        <v>AKCOVA</v>
      </c>
      <c r="N833" s="19" t="str">
        <f>IF(M833=M832,"N","Y")</f>
        <v>Y</v>
      </c>
      <c r="O833">
        <f>SUM(I832:I833)</f>
        <v>135</v>
      </c>
      <c r="P833">
        <f t="shared" si="77"/>
        <v>88</v>
      </c>
    </row>
    <row r="834" spans="1:16" hidden="1" x14ac:dyDescent="0.3">
      <c r="A834" t="str">
        <f t="shared" si="76"/>
        <v>2018David9</v>
      </c>
      <c r="B834">
        <f t="shared" ref="B834:B897" si="78">RANK(J834,diff)</f>
        <v>1258</v>
      </c>
      <c r="C834">
        <f t="shared" ref="C834:C897" si="79">RANK(I834,points)</f>
        <v>1143</v>
      </c>
      <c r="D834" t="s">
        <v>29</v>
      </c>
      <c r="E834" t="str">
        <f>D835</f>
        <v>BR</v>
      </c>
      <c r="F834">
        <v>2018</v>
      </c>
      <c r="G834">
        <v>9</v>
      </c>
      <c r="H834">
        <v>5.0999999999999996</v>
      </c>
      <c r="I834" s="14">
        <v>87</v>
      </c>
      <c r="J834">
        <f>I834-I835</f>
        <v>-8</v>
      </c>
      <c r="K834" t="str">
        <f t="shared" ref="K834:K897" si="80">IF(J834&gt;0,"W",IF(J834&lt;0,"L","T"))</f>
        <v>L</v>
      </c>
      <c r="L834" t="str">
        <f t="shared" ref="L834:L897" si="81">D834</f>
        <v>David</v>
      </c>
      <c r="M834" t="str">
        <f>VLOOKUP(L834,References!$A$2:$B$16,2,FALSE)</f>
        <v>TEXAROK</v>
      </c>
      <c r="N834" s="19" t="str">
        <f>IF(M834=M835,"N","Y")</f>
        <v>Y</v>
      </c>
      <c r="O834">
        <f>SUM(I834:I835)</f>
        <v>182</v>
      </c>
      <c r="P834">
        <f t="shared" si="77"/>
        <v>95</v>
      </c>
    </row>
    <row r="835" spans="1:16" hidden="1" x14ac:dyDescent="0.3">
      <c r="A835" t="str">
        <f t="shared" ref="A835:A898" si="82">F835&amp;D835&amp;G835</f>
        <v>2018BR9</v>
      </c>
      <c r="B835">
        <f t="shared" si="78"/>
        <v>803</v>
      </c>
      <c r="C835">
        <f t="shared" si="79"/>
        <v>857</v>
      </c>
      <c r="D835" t="s">
        <v>25</v>
      </c>
      <c r="E835" t="str">
        <f>D834</f>
        <v>David</v>
      </c>
      <c r="F835">
        <v>2018</v>
      </c>
      <c r="G835">
        <v>9</v>
      </c>
      <c r="H835">
        <v>5.2</v>
      </c>
      <c r="I835" s="14">
        <v>95</v>
      </c>
      <c r="J835">
        <f>I835-I834</f>
        <v>8</v>
      </c>
      <c r="K835" t="str">
        <f t="shared" si="80"/>
        <v>W</v>
      </c>
      <c r="L835" t="str">
        <f t="shared" si="81"/>
        <v>BR</v>
      </c>
      <c r="M835" t="str">
        <f>VLOOKUP(L835,References!$A$2:$B$16,2,FALSE)</f>
        <v>AKCOVA</v>
      </c>
      <c r="N835" s="19" t="str">
        <f>IF(M835=M834,"N","Y")</f>
        <v>Y</v>
      </c>
      <c r="O835">
        <f>SUM(I834:I835)</f>
        <v>182</v>
      </c>
      <c r="P835">
        <f t="shared" ref="P835:P898" si="83">I835-J835</f>
        <v>87</v>
      </c>
    </row>
    <row r="836" spans="1:16" hidden="1" x14ac:dyDescent="0.3">
      <c r="A836" t="str">
        <f t="shared" si="82"/>
        <v>2018Emily9</v>
      </c>
      <c r="B836">
        <f t="shared" si="78"/>
        <v>517</v>
      </c>
      <c r="C836">
        <f t="shared" si="79"/>
        <v>275</v>
      </c>
      <c r="D836" t="s">
        <v>43</v>
      </c>
      <c r="E836" t="str">
        <f>D837</f>
        <v>Watty</v>
      </c>
      <c r="F836">
        <v>2018</v>
      </c>
      <c r="G836">
        <v>9</v>
      </c>
      <c r="H836">
        <v>6.1</v>
      </c>
      <c r="I836" s="14">
        <v>117</v>
      </c>
      <c r="J836">
        <f>I836-I837</f>
        <v>20</v>
      </c>
      <c r="K836" t="str">
        <f t="shared" si="80"/>
        <v>W</v>
      </c>
      <c r="L836" t="str">
        <f t="shared" si="81"/>
        <v>Emily</v>
      </c>
      <c r="M836" t="str">
        <f>VLOOKUP(L836,References!$A$2:$B$16,2,FALSE)</f>
        <v>TEXAROK</v>
      </c>
      <c r="N836" s="19" t="str">
        <f>IF(M836=M837,"N","Y")</f>
        <v>Y</v>
      </c>
      <c r="O836">
        <f>SUM(I836:I837)</f>
        <v>214</v>
      </c>
      <c r="P836">
        <f t="shared" si="83"/>
        <v>97</v>
      </c>
    </row>
    <row r="837" spans="1:16" hidden="1" x14ac:dyDescent="0.3">
      <c r="A837" t="str">
        <f t="shared" si="82"/>
        <v>2018Watty9</v>
      </c>
      <c r="B837">
        <f t="shared" si="78"/>
        <v>1546</v>
      </c>
      <c r="C837">
        <f t="shared" si="79"/>
        <v>777</v>
      </c>
      <c r="D837" t="s">
        <v>24</v>
      </c>
      <c r="E837" t="str">
        <f>D836</f>
        <v>Emily</v>
      </c>
      <c r="F837">
        <v>2018</v>
      </c>
      <c r="G837">
        <v>9</v>
      </c>
      <c r="H837">
        <v>6.2</v>
      </c>
      <c r="I837" s="14">
        <v>97</v>
      </c>
      <c r="J837">
        <f>I837-I836</f>
        <v>-20</v>
      </c>
      <c r="K837" t="str">
        <f t="shared" si="80"/>
        <v>L</v>
      </c>
      <c r="L837" t="str">
        <f t="shared" si="81"/>
        <v>Watty</v>
      </c>
      <c r="M837" t="str">
        <f>VLOOKUP(L837,References!$A$2:$B$16,2,FALSE)</f>
        <v>AKCOVA</v>
      </c>
      <c r="N837" s="19" t="str">
        <f>IF(M837=M836,"N","Y")</f>
        <v>Y</v>
      </c>
      <c r="O837">
        <f>SUM(I836:I837)</f>
        <v>214</v>
      </c>
      <c r="P837">
        <f t="shared" si="83"/>
        <v>117</v>
      </c>
    </row>
    <row r="838" spans="1:16" hidden="1" x14ac:dyDescent="0.3">
      <c r="A838" t="str">
        <f t="shared" si="82"/>
        <v>2018BR10</v>
      </c>
      <c r="B838">
        <f t="shared" si="78"/>
        <v>356</v>
      </c>
      <c r="C838">
        <f t="shared" si="79"/>
        <v>631</v>
      </c>
      <c r="D838" t="s">
        <v>25</v>
      </c>
      <c r="E838" t="str">
        <f>D839</f>
        <v>Michael</v>
      </c>
      <c r="F838">
        <v>2018</v>
      </c>
      <c r="G838">
        <v>10</v>
      </c>
      <c r="H838">
        <v>1.1000000000000001</v>
      </c>
      <c r="I838" s="14">
        <v>102</v>
      </c>
      <c r="J838">
        <f>I838-I839</f>
        <v>28</v>
      </c>
      <c r="K838" t="str">
        <f t="shared" si="80"/>
        <v>W</v>
      </c>
      <c r="L838" t="str">
        <f t="shared" si="81"/>
        <v>BR</v>
      </c>
      <c r="M838" t="str">
        <f>VLOOKUP(L838,References!$A$2:$B$16,2,FALSE)</f>
        <v>AKCOVA</v>
      </c>
      <c r="N838" s="19" t="str">
        <f>IF(M838=M839,"N","Y")</f>
        <v>N</v>
      </c>
      <c r="O838">
        <f>SUM(I838:I839)</f>
        <v>176</v>
      </c>
      <c r="P838">
        <f t="shared" si="83"/>
        <v>74</v>
      </c>
    </row>
    <row r="839" spans="1:16" hidden="1" x14ac:dyDescent="0.3">
      <c r="A839" t="str">
        <f t="shared" si="82"/>
        <v>2018Michael10</v>
      </c>
      <c r="B839">
        <f t="shared" si="78"/>
        <v>1723</v>
      </c>
      <c r="C839">
        <f t="shared" si="79"/>
        <v>1618</v>
      </c>
      <c r="D839" t="s">
        <v>23</v>
      </c>
      <c r="E839" t="str">
        <f>D838</f>
        <v>BR</v>
      </c>
      <c r="F839">
        <v>2018</v>
      </c>
      <c r="G839">
        <v>10</v>
      </c>
      <c r="H839">
        <v>1.2</v>
      </c>
      <c r="I839" s="14">
        <v>74</v>
      </c>
      <c r="J839">
        <f>I839-I838</f>
        <v>-28</v>
      </c>
      <c r="K839" t="str">
        <f t="shared" si="80"/>
        <v>L</v>
      </c>
      <c r="L839" t="str">
        <f t="shared" si="81"/>
        <v>Michael</v>
      </c>
      <c r="M839" t="str">
        <f>VLOOKUP(L839,References!$A$2:$B$16,2,FALSE)</f>
        <v>AKCOVA</v>
      </c>
      <c r="N839" s="19" t="str">
        <f>IF(M839=M838,"N","Y")</f>
        <v>N</v>
      </c>
      <c r="O839">
        <f>SUM(I838:I839)</f>
        <v>176</v>
      </c>
      <c r="P839">
        <f t="shared" si="83"/>
        <v>102</v>
      </c>
    </row>
    <row r="840" spans="1:16" hidden="1" x14ac:dyDescent="0.3">
      <c r="A840" t="str">
        <f t="shared" si="82"/>
        <v>2018Mark10</v>
      </c>
      <c r="B840">
        <f t="shared" si="78"/>
        <v>685</v>
      </c>
      <c r="C840">
        <f t="shared" si="79"/>
        <v>173</v>
      </c>
      <c r="D840" t="s">
        <v>22</v>
      </c>
      <c r="E840" t="str">
        <f>D841</f>
        <v>David</v>
      </c>
      <c r="F840">
        <v>2018</v>
      </c>
      <c r="G840">
        <v>10</v>
      </c>
      <c r="H840">
        <v>2.1</v>
      </c>
      <c r="I840" s="14">
        <v>124</v>
      </c>
      <c r="J840">
        <f>I840-I841</f>
        <v>13</v>
      </c>
      <c r="K840" t="str">
        <f t="shared" si="80"/>
        <v>W</v>
      </c>
      <c r="L840" t="str">
        <f t="shared" si="81"/>
        <v>Mark</v>
      </c>
      <c r="M840" t="str">
        <f>VLOOKUP(L840,References!$A$2:$B$16,2,FALSE)</f>
        <v>AKCOVA</v>
      </c>
      <c r="N840" s="19" t="str">
        <f>IF(M840=M841,"N","Y")</f>
        <v>Y</v>
      </c>
      <c r="O840">
        <f>SUM(I840:I841)</f>
        <v>235</v>
      </c>
      <c r="P840">
        <f t="shared" si="83"/>
        <v>111</v>
      </c>
    </row>
    <row r="841" spans="1:16" hidden="1" x14ac:dyDescent="0.3">
      <c r="A841" t="str">
        <f t="shared" si="82"/>
        <v>2018David10</v>
      </c>
      <c r="B841">
        <f t="shared" si="78"/>
        <v>1381</v>
      </c>
      <c r="C841">
        <f t="shared" si="79"/>
        <v>383</v>
      </c>
      <c r="D841" t="s">
        <v>29</v>
      </c>
      <c r="E841" t="str">
        <f>D840</f>
        <v>Mark</v>
      </c>
      <c r="F841">
        <v>2018</v>
      </c>
      <c r="G841">
        <v>10</v>
      </c>
      <c r="H841">
        <v>2.2000000000000002</v>
      </c>
      <c r="I841" s="14">
        <v>111</v>
      </c>
      <c r="J841">
        <f>I841-I840</f>
        <v>-13</v>
      </c>
      <c r="K841" t="str">
        <f t="shared" si="80"/>
        <v>L</v>
      </c>
      <c r="L841" t="str">
        <f t="shared" si="81"/>
        <v>David</v>
      </c>
      <c r="M841" t="str">
        <f>VLOOKUP(L841,References!$A$2:$B$16,2,FALSE)</f>
        <v>TEXAROK</v>
      </c>
      <c r="N841" s="19" t="str">
        <f>IF(M841=M840,"N","Y")</f>
        <v>Y</v>
      </c>
      <c r="O841">
        <f>SUM(I840:I841)</f>
        <v>235</v>
      </c>
      <c r="P841">
        <f t="shared" si="83"/>
        <v>124</v>
      </c>
    </row>
    <row r="842" spans="1:16" hidden="1" x14ac:dyDescent="0.3">
      <c r="A842" t="str">
        <f t="shared" si="82"/>
        <v>2018Brian10</v>
      </c>
      <c r="B842">
        <f t="shared" si="78"/>
        <v>1475</v>
      </c>
      <c r="C842">
        <f t="shared" si="79"/>
        <v>1738</v>
      </c>
      <c r="D842" t="s">
        <v>26</v>
      </c>
      <c r="E842" t="str">
        <f>D843</f>
        <v>Emily</v>
      </c>
      <c r="F842">
        <v>2018</v>
      </c>
      <c r="G842">
        <v>10</v>
      </c>
      <c r="H842">
        <v>3.1</v>
      </c>
      <c r="I842" s="14">
        <v>70</v>
      </c>
      <c r="J842">
        <f>I842-I843</f>
        <v>-17</v>
      </c>
      <c r="K842" t="str">
        <f t="shared" si="80"/>
        <v>L</v>
      </c>
      <c r="L842" t="str">
        <f t="shared" si="81"/>
        <v>Brian</v>
      </c>
      <c r="M842" t="str">
        <f>VLOOKUP(L842,References!$A$2:$B$16,2,FALSE)</f>
        <v>TEXAROK</v>
      </c>
      <c r="N842" s="19" t="str">
        <f>IF(M842=M843,"N","Y")</f>
        <v>N</v>
      </c>
      <c r="O842">
        <f>SUM(I842:I843)</f>
        <v>157</v>
      </c>
      <c r="P842">
        <f t="shared" si="83"/>
        <v>87</v>
      </c>
    </row>
    <row r="843" spans="1:16" hidden="1" x14ac:dyDescent="0.3">
      <c r="A843" t="str">
        <f t="shared" si="82"/>
        <v>2018Emily10</v>
      </c>
      <c r="B843">
        <f t="shared" si="78"/>
        <v>597</v>
      </c>
      <c r="C843">
        <f t="shared" si="79"/>
        <v>1143</v>
      </c>
      <c r="D843" t="s">
        <v>43</v>
      </c>
      <c r="E843" t="str">
        <f>D842</f>
        <v>Brian</v>
      </c>
      <c r="F843">
        <v>2018</v>
      </c>
      <c r="G843">
        <v>10</v>
      </c>
      <c r="H843">
        <v>3.2</v>
      </c>
      <c r="I843" s="14">
        <v>87</v>
      </c>
      <c r="J843">
        <f>I843-I842</f>
        <v>17</v>
      </c>
      <c r="K843" t="str">
        <f t="shared" si="80"/>
        <v>W</v>
      </c>
      <c r="L843" t="str">
        <f t="shared" si="81"/>
        <v>Emily</v>
      </c>
      <c r="M843" t="str">
        <f>VLOOKUP(L843,References!$A$2:$B$16,2,FALSE)</f>
        <v>TEXAROK</v>
      </c>
      <c r="N843" s="19" t="str">
        <f>IF(M843=M842,"N","Y")</f>
        <v>N</v>
      </c>
      <c r="O843">
        <f>SUM(I842:I843)</f>
        <v>157</v>
      </c>
      <c r="P843">
        <f t="shared" si="83"/>
        <v>70</v>
      </c>
    </row>
    <row r="844" spans="1:16" hidden="1" x14ac:dyDescent="0.3">
      <c r="A844" t="str">
        <f t="shared" si="82"/>
        <v>2018Abby10</v>
      </c>
      <c r="B844">
        <f t="shared" si="78"/>
        <v>2024</v>
      </c>
      <c r="C844">
        <f t="shared" si="79"/>
        <v>1885</v>
      </c>
      <c r="D844" t="s">
        <v>27</v>
      </c>
      <c r="E844" t="str">
        <f>D845</f>
        <v>Russell</v>
      </c>
      <c r="F844">
        <v>2018</v>
      </c>
      <c r="G844">
        <v>10</v>
      </c>
      <c r="H844">
        <v>4.0999999999999996</v>
      </c>
      <c r="I844" s="14">
        <v>63</v>
      </c>
      <c r="J844">
        <f>I844-I845</f>
        <v>-58</v>
      </c>
      <c r="K844" t="str">
        <f t="shared" si="80"/>
        <v>L</v>
      </c>
      <c r="L844" t="str">
        <f t="shared" si="81"/>
        <v>Abby</v>
      </c>
      <c r="M844" t="str">
        <f>VLOOKUP(L844,References!$A$2:$B$16,2,FALSE)</f>
        <v>AKCOVA</v>
      </c>
      <c r="N844" s="19" t="str">
        <f>IF(M844=M845,"N","Y")</f>
        <v>Y</v>
      </c>
      <c r="O844">
        <f>SUM(I844:I845)</f>
        <v>184</v>
      </c>
      <c r="P844">
        <f t="shared" si="83"/>
        <v>121</v>
      </c>
    </row>
    <row r="845" spans="1:16" hidden="1" x14ac:dyDescent="0.3">
      <c r="A845" t="str">
        <f t="shared" si="82"/>
        <v>2018Russell10</v>
      </c>
      <c r="B845">
        <f t="shared" si="78"/>
        <v>62</v>
      </c>
      <c r="C845">
        <f t="shared" si="79"/>
        <v>211</v>
      </c>
      <c r="D845" t="s">
        <v>28</v>
      </c>
      <c r="E845" t="str">
        <f>D844</f>
        <v>Abby</v>
      </c>
      <c r="F845">
        <v>2018</v>
      </c>
      <c r="G845">
        <v>10</v>
      </c>
      <c r="H845">
        <v>4.2</v>
      </c>
      <c r="I845" s="14">
        <v>121</v>
      </c>
      <c r="J845">
        <f>I845-I844</f>
        <v>58</v>
      </c>
      <c r="K845" t="str">
        <f t="shared" si="80"/>
        <v>W</v>
      </c>
      <c r="L845" t="str">
        <f t="shared" si="81"/>
        <v>Russell</v>
      </c>
      <c r="M845" t="str">
        <f>VLOOKUP(L845,References!$A$2:$B$16,2,FALSE)</f>
        <v>TEXAROK</v>
      </c>
      <c r="N845" s="19" t="str">
        <f>IF(M845=M844,"N","Y")</f>
        <v>Y</v>
      </c>
      <c r="O845">
        <f>SUM(I844:I845)</f>
        <v>184</v>
      </c>
      <c r="P845">
        <f t="shared" si="83"/>
        <v>63</v>
      </c>
    </row>
    <row r="846" spans="1:16" hidden="1" x14ac:dyDescent="0.3">
      <c r="A846" t="str">
        <f t="shared" si="82"/>
        <v>2018Charles10</v>
      </c>
      <c r="B846">
        <f t="shared" si="78"/>
        <v>410</v>
      </c>
      <c r="C846">
        <f t="shared" si="79"/>
        <v>339</v>
      </c>
      <c r="D846" t="s">
        <v>48</v>
      </c>
      <c r="E846" t="str">
        <f>D847</f>
        <v>Matt</v>
      </c>
      <c r="F846">
        <v>2018</v>
      </c>
      <c r="G846">
        <v>10</v>
      </c>
      <c r="H846">
        <v>5.0999999999999996</v>
      </c>
      <c r="I846" s="14">
        <v>113</v>
      </c>
      <c r="J846">
        <f>I846-I847</f>
        <v>25</v>
      </c>
      <c r="K846" t="str">
        <f t="shared" si="80"/>
        <v>W</v>
      </c>
      <c r="L846" t="str">
        <f t="shared" si="81"/>
        <v>Charles</v>
      </c>
      <c r="M846" t="str">
        <f>VLOOKUP(L846,References!$A$2:$B$16,2,FALSE)</f>
        <v>AKCOVA</v>
      </c>
      <c r="N846" s="19" t="str">
        <f>IF(M846=M847,"N","Y")</f>
        <v>Y</v>
      </c>
      <c r="O846">
        <f>SUM(I846:I847)</f>
        <v>201</v>
      </c>
      <c r="P846">
        <f t="shared" si="83"/>
        <v>88</v>
      </c>
    </row>
    <row r="847" spans="1:16" hidden="1" x14ac:dyDescent="0.3">
      <c r="A847" t="str">
        <f t="shared" si="82"/>
        <v>2018Matt10</v>
      </c>
      <c r="B847">
        <f t="shared" si="78"/>
        <v>1661</v>
      </c>
      <c r="C847">
        <f t="shared" si="79"/>
        <v>1100</v>
      </c>
      <c r="D847" t="s">
        <v>30</v>
      </c>
      <c r="E847" t="str">
        <f>D846</f>
        <v>Charles</v>
      </c>
      <c r="F847">
        <v>2018</v>
      </c>
      <c r="G847">
        <v>10</v>
      </c>
      <c r="H847">
        <v>5.2</v>
      </c>
      <c r="I847" s="14">
        <v>88</v>
      </c>
      <c r="J847">
        <f>I847-I846</f>
        <v>-25</v>
      </c>
      <c r="K847" t="str">
        <f t="shared" si="80"/>
        <v>L</v>
      </c>
      <c r="L847" t="str">
        <f t="shared" si="81"/>
        <v>Matt</v>
      </c>
      <c r="M847" t="str">
        <f>VLOOKUP(L847,References!$A$2:$B$16,2,FALSE)</f>
        <v>TEXAROK</v>
      </c>
      <c r="N847" s="19" t="str">
        <f>IF(M847=M846,"N","Y")</f>
        <v>Y</v>
      </c>
      <c r="O847">
        <f>SUM(I846:I847)</f>
        <v>201</v>
      </c>
      <c r="P847">
        <f t="shared" si="83"/>
        <v>113</v>
      </c>
    </row>
    <row r="848" spans="1:16" hidden="1" x14ac:dyDescent="0.3">
      <c r="A848" t="str">
        <f t="shared" si="82"/>
        <v>2018Watty10</v>
      </c>
      <c r="B848">
        <f t="shared" si="78"/>
        <v>1475</v>
      </c>
      <c r="C848">
        <f t="shared" si="79"/>
        <v>822</v>
      </c>
      <c r="D848" t="s">
        <v>24</v>
      </c>
      <c r="E848" t="str">
        <f>D849</f>
        <v>Brent</v>
      </c>
      <c r="F848">
        <v>2018</v>
      </c>
      <c r="G848">
        <v>10</v>
      </c>
      <c r="H848">
        <v>6.1</v>
      </c>
      <c r="I848" s="14">
        <v>96</v>
      </c>
      <c r="J848">
        <f>I848-I849</f>
        <v>-17</v>
      </c>
      <c r="K848" t="str">
        <f t="shared" si="80"/>
        <v>L</v>
      </c>
      <c r="L848" t="str">
        <f t="shared" si="81"/>
        <v>Watty</v>
      </c>
      <c r="M848" t="str">
        <f>VLOOKUP(L848,References!$A$2:$B$16,2,FALSE)</f>
        <v>AKCOVA</v>
      </c>
      <c r="N848" s="19" t="str">
        <f>IF(M848=M849,"N","Y")</f>
        <v>Y</v>
      </c>
      <c r="O848">
        <f>SUM(I848:I849)</f>
        <v>209</v>
      </c>
      <c r="P848">
        <f t="shared" si="83"/>
        <v>113</v>
      </c>
    </row>
    <row r="849" spans="1:16" hidden="1" x14ac:dyDescent="0.3">
      <c r="A849" t="str">
        <f t="shared" si="82"/>
        <v>2018Brent10</v>
      </c>
      <c r="B849">
        <f t="shared" si="78"/>
        <v>597</v>
      </c>
      <c r="C849">
        <f t="shared" si="79"/>
        <v>339</v>
      </c>
      <c r="D849" t="s">
        <v>47</v>
      </c>
      <c r="E849" t="str">
        <f>D848</f>
        <v>Watty</v>
      </c>
      <c r="F849">
        <v>2018</v>
      </c>
      <c r="G849">
        <v>10</v>
      </c>
      <c r="H849">
        <v>6.2</v>
      </c>
      <c r="I849" s="14">
        <v>113</v>
      </c>
      <c r="J849">
        <f>I849-I848</f>
        <v>17</v>
      </c>
      <c r="K849" t="str">
        <f t="shared" si="80"/>
        <v>W</v>
      </c>
      <c r="L849" t="str">
        <f t="shared" si="81"/>
        <v>Brent</v>
      </c>
      <c r="M849" t="str">
        <f>VLOOKUP(L849,References!$A$2:$B$16,2,FALSE)</f>
        <v>TEXAROK</v>
      </c>
      <c r="N849" s="19" t="str">
        <f>IF(M849=M848,"N","Y")</f>
        <v>Y</v>
      </c>
      <c r="O849">
        <f>SUM(I848:I849)</f>
        <v>209</v>
      </c>
      <c r="P849">
        <f t="shared" si="83"/>
        <v>96</v>
      </c>
    </row>
    <row r="850" spans="1:16" hidden="1" x14ac:dyDescent="0.3">
      <c r="A850" t="str">
        <f t="shared" si="82"/>
        <v>2018Michael11</v>
      </c>
      <c r="B850">
        <f t="shared" si="78"/>
        <v>450</v>
      </c>
      <c r="C850">
        <f t="shared" si="79"/>
        <v>777</v>
      </c>
      <c r="D850" t="s">
        <v>23</v>
      </c>
      <c r="E850" t="str">
        <f>D851</f>
        <v>Mark</v>
      </c>
      <c r="F850">
        <v>2018</v>
      </c>
      <c r="G850">
        <v>11</v>
      </c>
      <c r="H850">
        <v>1.1000000000000001</v>
      </c>
      <c r="I850" s="14">
        <v>97</v>
      </c>
      <c r="J850">
        <f>I850-I851</f>
        <v>23</v>
      </c>
      <c r="K850" t="str">
        <f t="shared" si="80"/>
        <v>W</v>
      </c>
      <c r="L850" t="str">
        <f t="shared" si="81"/>
        <v>Michael</v>
      </c>
      <c r="M850" t="str">
        <f>VLOOKUP(L850,References!$A$2:$B$16,2,FALSE)</f>
        <v>AKCOVA</v>
      </c>
      <c r="N850" s="19" t="str">
        <f>IF(M850=M851,"N","Y")</f>
        <v>N</v>
      </c>
      <c r="O850">
        <f>SUM(I850:I851)</f>
        <v>171</v>
      </c>
      <c r="P850">
        <f t="shared" si="83"/>
        <v>74</v>
      </c>
    </row>
    <row r="851" spans="1:16" hidden="1" x14ac:dyDescent="0.3">
      <c r="A851" t="str">
        <f t="shared" si="82"/>
        <v>2018Mark11</v>
      </c>
      <c r="B851">
        <f t="shared" si="78"/>
        <v>1625</v>
      </c>
      <c r="C851">
        <f t="shared" si="79"/>
        <v>1618</v>
      </c>
      <c r="D851" t="s">
        <v>22</v>
      </c>
      <c r="E851" t="str">
        <f>D850</f>
        <v>Michael</v>
      </c>
      <c r="F851">
        <v>2018</v>
      </c>
      <c r="G851">
        <v>11</v>
      </c>
      <c r="H851">
        <v>1.2</v>
      </c>
      <c r="I851" s="14">
        <v>74</v>
      </c>
      <c r="J851">
        <f>I851-I850</f>
        <v>-23</v>
      </c>
      <c r="K851" t="str">
        <f t="shared" si="80"/>
        <v>L</v>
      </c>
      <c r="L851" t="str">
        <f t="shared" si="81"/>
        <v>Mark</v>
      </c>
      <c r="M851" t="str">
        <f>VLOOKUP(L851,References!$A$2:$B$16,2,FALSE)</f>
        <v>AKCOVA</v>
      </c>
      <c r="N851" s="19" t="str">
        <f>IF(M851=M850,"N","Y")</f>
        <v>N</v>
      </c>
      <c r="O851">
        <f>SUM(I850:I851)</f>
        <v>171</v>
      </c>
      <c r="P851">
        <f t="shared" si="83"/>
        <v>97</v>
      </c>
    </row>
    <row r="852" spans="1:16" hidden="1" x14ac:dyDescent="0.3">
      <c r="A852" t="str">
        <f t="shared" si="82"/>
        <v>2018Matt11</v>
      </c>
      <c r="B852">
        <f t="shared" si="78"/>
        <v>392</v>
      </c>
      <c r="C852">
        <f t="shared" si="79"/>
        <v>540</v>
      </c>
      <c r="D852" t="s">
        <v>30</v>
      </c>
      <c r="E852" t="str">
        <f>D853</f>
        <v>BR</v>
      </c>
      <c r="F852">
        <v>2018</v>
      </c>
      <c r="G852">
        <v>11</v>
      </c>
      <c r="H852">
        <v>2.1</v>
      </c>
      <c r="I852" s="14">
        <v>105</v>
      </c>
      <c r="J852">
        <f>I852-I853</f>
        <v>26</v>
      </c>
      <c r="K852" t="str">
        <f t="shared" si="80"/>
        <v>W</v>
      </c>
      <c r="L852" t="str">
        <f t="shared" si="81"/>
        <v>Matt</v>
      </c>
      <c r="M852" t="str">
        <f>VLOOKUP(L852,References!$A$2:$B$16,2,FALSE)</f>
        <v>TEXAROK</v>
      </c>
      <c r="N852" s="19" t="str">
        <f>IF(M852=M853,"N","Y")</f>
        <v>Y</v>
      </c>
      <c r="O852">
        <f>SUM(I852:I853)</f>
        <v>184</v>
      </c>
      <c r="P852">
        <f t="shared" si="83"/>
        <v>79</v>
      </c>
    </row>
    <row r="853" spans="1:16" hidden="1" x14ac:dyDescent="0.3">
      <c r="A853" t="str">
        <f t="shared" si="82"/>
        <v>2018BR11</v>
      </c>
      <c r="B853">
        <f t="shared" si="78"/>
        <v>1684</v>
      </c>
      <c r="C853">
        <f t="shared" si="79"/>
        <v>1439</v>
      </c>
      <c r="D853" t="s">
        <v>25</v>
      </c>
      <c r="E853" t="str">
        <f>D852</f>
        <v>Matt</v>
      </c>
      <c r="F853">
        <v>2018</v>
      </c>
      <c r="G853">
        <v>11</v>
      </c>
      <c r="H853">
        <v>2.2000000000000002</v>
      </c>
      <c r="I853" s="14">
        <v>79</v>
      </c>
      <c r="J853">
        <f>I853-I852</f>
        <v>-26</v>
      </c>
      <c r="K853" t="str">
        <f t="shared" si="80"/>
        <v>L</v>
      </c>
      <c r="L853" t="str">
        <f t="shared" si="81"/>
        <v>BR</v>
      </c>
      <c r="M853" t="str">
        <f>VLOOKUP(L853,References!$A$2:$B$16,2,FALSE)</f>
        <v>AKCOVA</v>
      </c>
      <c r="N853" s="19" t="str">
        <f>IF(M853=M852,"N","Y")</f>
        <v>Y</v>
      </c>
      <c r="O853">
        <f>SUM(I852:I853)</f>
        <v>184</v>
      </c>
      <c r="P853">
        <f t="shared" si="83"/>
        <v>105</v>
      </c>
    </row>
    <row r="854" spans="1:16" hidden="1" x14ac:dyDescent="0.3">
      <c r="A854" t="str">
        <f t="shared" si="82"/>
        <v>2018Brent11</v>
      </c>
      <c r="B854">
        <f t="shared" si="78"/>
        <v>1312</v>
      </c>
      <c r="C854">
        <f t="shared" si="79"/>
        <v>197</v>
      </c>
      <c r="D854" t="s">
        <v>47</v>
      </c>
      <c r="E854" t="str">
        <f>D855</f>
        <v>Brian</v>
      </c>
      <c r="F854">
        <v>2018</v>
      </c>
      <c r="G854">
        <v>11</v>
      </c>
      <c r="H854">
        <v>3.1</v>
      </c>
      <c r="I854" s="14">
        <v>122</v>
      </c>
      <c r="J854">
        <f>I854-I855</f>
        <v>-10</v>
      </c>
      <c r="K854" t="str">
        <f t="shared" si="80"/>
        <v>L</v>
      </c>
      <c r="L854" t="str">
        <f t="shared" si="81"/>
        <v>Brent</v>
      </c>
      <c r="M854" t="str">
        <f>VLOOKUP(L854,References!$A$2:$B$16,2,FALSE)</f>
        <v>TEXAROK</v>
      </c>
      <c r="N854" s="19" t="str">
        <f>IF(M854=M855,"N","Y")</f>
        <v>N</v>
      </c>
      <c r="O854">
        <f>SUM(I854:I855)</f>
        <v>254</v>
      </c>
      <c r="P854">
        <f t="shared" si="83"/>
        <v>132</v>
      </c>
    </row>
    <row r="855" spans="1:16" hidden="1" x14ac:dyDescent="0.3">
      <c r="A855" t="str">
        <f t="shared" si="82"/>
        <v>2018Brian11</v>
      </c>
      <c r="B855">
        <f t="shared" si="78"/>
        <v>758</v>
      </c>
      <c r="C855">
        <f t="shared" si="79"/>
        <v>96</v>
      </c>
      <c r="D855" t="s">
        <v>26</v>
      </c>
      <c r="E855" t="str">
        <f>D854</f>
        <v>Brent</v>
      </c>
      <c r="F855">
        <v>2018</v>
      </c>
      <c r="G855">
        <v>11</v>
      </c>
      <c r="H855">
        <v>3.2</v>
      </c>
      <c r="I855" s="14">
        <v>132</v>
      </c>
      <c r="J855">
        <f>I855-I854</f>
        <v>10</v>
      </c>
      <c r="K855" t="str">
        <f t="shared" si="80"/>
        <v>W</v>
      </c>
      <c r="L855" t="str">
        <f t="shared" si="81"/>
        <v>Brian</v>
      </c>
      <c r="M855" t="str">
        <f>VLOOKUP(L855,References!$A$2:$B$16,2,FALSE)</f>
        <v>TEXAROK</v>
      </c>
      <c r="N855" s="19" t="str">
        <f>IF(M855=M854,"N","Y")</f>
        <v>N</v>
      </c>
      <c r="O855">
        <f>SUM(I854:I855)</f>
        <v>254</v>
      </c>
      <c r="P855">
        <f t="shared" si="83"/>
        <v>122</v>
      </c>
    </row>
    <row r="856" spans="1:16" hidden="1" x14ac:dyDescent="0.3">
      <c r="A856" t="str">
        <f t="shared" si="82"/>
        <v>2018David11</v>
      </c>
      <c r="B856">
        <f t="shared" si="78"/>
        <v>1090</v>
      </c>
      <c r="C856">
        <f t="shared" si="79"/>
        <v>1173</v>
      </c>
      <c r="D856" t="s">
        <v>29</v>
      </c>
      <c r="E856" t="str">
        <f>D857</f>
        <v>Abby</v>
      </c>
      <c r="F856">
        <v>2018</v>
      </c>
      <c r="G856">
        <v>11</v>
      </c>
      <c r="H856">
        <v>4.0999999999999996</v>
      </c>
      <c r="I856" s="14">
        <v>86</v>
      </c>
      <c r="J856">
        <f>I856-I857</f>
        <v>-2</v>
      </c>
      <c r="K856" t="str">
        <f t="shared" si="80"/>
        <v>L</v>
      </c>
      <c r="L856" t="str">
        <f t="shared" si="81"/>
        <v>David</v>
      </c>
      <c r="M856" t="str">
        <f>VLOOKUP(L856,References!$A$2:$B$16,2,FALSE)</f>
        <v>TEXAROK</v>
      </c>
      <c r="N856" s="19" t="str">
        <f>IF(M856=M857,"N","Y")</f>
        <v>Y</v>
      </c>
      <c r="O856">
        <f>SUM(I856:I857)</f>
        <v>174</v>
      </c>
      <c r="P856">
        <f t="shared" si="83"/>
        <v>88</v>
      </c>
    </row>
    <row r="857" spans="1:16" hidden="1" x14ac:dyDescent="0.3">
      <c r="A857" t="str">
        <f t="shared" si="82"/>
        <v>2018Abby11</v>
      </c>
      <c r="B857">
        <f t="shared" si="78"/>
        <v>977</v>
      </c>
      <c r="C857">
        <f t="shared" si="79"/>
        <v>1100</v>
      </c>
      <c r="D857" t="s">
        <v>27</v>
      </c>
      <c r="E857" t="str">
        <f>D856</f>
        <v>David</v>
      </c>
      <c r="F857">
        <v>2018</v>
      </c>
      <c r="G857">
        <v>11</v>
      </c>
      <c r="H857">
        <v>4.2</v>
      </c>
      <c r="I857" s="14">
        <v>88</v>
      </c>
      <c r="J857">
        <f>I857-I856</f>
        <v>2</v>
      </c>
      <c r="K857" t="str">
        <f t="shared" si="80"/>
        <v>W</v>
      </c>
      <c r="L857" t="str">
        <f t="shared" si="81"/>
        <v>Abby</v>
      </c>
      <c r="M857" t="str">
        <f>VLOOKUP(L857,References!$A$2:$B$16,2,FALSE)</f>
        <v>AKCOVA</v>
      </c>
      <c r="N857" s="19" t="str">
        <f>IF(M857=M856,"N","Y")</f>
        <v>Y</v>
      </c>
      <c r="O857">
        <f>SUM(I856:I857)</f>
        <v>174</v>
      </c>
      <c r="P857">
        <f t="shared" si="83"/>
        <v>86</v>
      </c>
    </row>
    <row r="858" spans="1:16" hidden="1" x14ac:dyDescent="0.3">
      <c r="A858" t="str">
        <f t="shared" si="82"/>
        <v>2018Emily11</v>
      </c>
      <c r="B858">
        <f t="shared" si="78"/>
        <v>836</v>
      </c>
      <c r="C858">
        <f t="shared" si="79"/>
        <v>857</v>
      </c>
      <c r="D858" t="s">
        <v>43</v>
      </c>
      <c r="E858" t="str">
        <f>D859</f>
        <v>Charles</v>
      </c>
      <c r="F858">
        <v>2018</v>
      </c>
      <c r="G858">
        <v>11</v>
      </c>
      <c r="H858">
        <v>5.0999999999999996</v>
      </c>
      <c r="I858" s="14">
        <v>95</v>
      </c>
      <c r="J858">
        <f>I858-I859</f>
        <v>7</v>
      </c>
      <c r="K858" t="str">
        <f t="shared" si="80"/>
        <v>W</v>
      </c>
      <c r="L858" t="str">
        <f t="shared" si="81"/>
        <v>Emily</v>
      </c>
      <c r="M858" t="str">
        <f>VLOOKUP(L858,References!$A$2:$B$16,2,FALSE)</f>
        <v>TEXAROK</v>
      </c>
      <c r="N858" s="19" t="str">
        <f>IF(M858=M859,"N","Y")</f>
        <v>Y</v>
      </c>
      <c r="O858">
        <f>SUM(I858:I859)</f>
        <v>183</v>
      </c>
      <c r="P858">
        <f t="shared" si="83"/>
        <v>88</v>
      </c>
    </row>
    <row r="859" spans="1:16" hidden="1" x14ac:dyDescent="0.3">
      <c r="A859" t="str">
        <f t="shared" si="82"/>
        <v>2018Charles11</v>
      </c>
      <c r="B859">
        <f t="shared" si="78"/>
        <v>1229</v>
      </c>
      <c r="C859">
        <f t="shared" si="79"/>
        <v>1100</v>
      </c>
      <c r="D859" t="s">
        <v>48</v>
      </c>
      <c r="E859" t="str">
        <f>D858</f>
        <v>Emily</v>
      </c>
      <c r="F859">
        <v>2018</v>
      </c>
      <c r="G859">
        <v>11</v>
      </c>
      <c r="H859">
        <v>5.2</v>
      </c>
      <c r="I859" s="14">
        <v>88</v>
      </c>
      <c r="J859">
        <f>I859-I858</f>
        <v>-7</v>
      </c>
      <c r="K859" t="str">
        <f t="shared" si="80"/>
        <v>L</v>
      </c>
      <c r="L859" t="str">
        <f t="shared" si="81"/>
        <v>Charles</v>
      </c>
      <c r="M859" t="str">
        <f>VLOOKUP(L859,References!$A$2:$B$16,2,FALSE)</f>
        <v>AKCOVA</v>
      </c>
      <c r="N859" s="19" t="str">
        <f>IF(M859=M858,"N","Y")</f>
        <v>Y</v>
      </c>
      <c r="O859">
        <f>SUM(I858:I859)</f>
        <v>183</v>
      </c>
      <c r="P859">
        <f t="shared" si="83"/>
        <v>95</v>
      </c>
    </row>
    <row r="860" spans="1:16" hidden="1" x14ac:dyDescent="0.3">
      <c r="A860" t="str">
        <f t="shared" si="82"/>
        <v>2018Russell11</v>
      </c>
      <c r="B860">
        <f t="shared" si="78"/>
        <v>619</v>
      </c>
      <c r="C860">
        <f t="shared" si="79"/>
        <v>714</v>
      </c>
      <c r="D860" t="s">
        <v>28</v>
      </c>
      <c r="E860" t="str">
        <f>D861</f>
        <v>Watty</v>
      </c>
      <c r="F860">
        <v>2018</v>
      </c>
      <c r="G860">
        <v>11</v>
      </c>
      <c r="H860">
        <v>6.1</v>
      </c>
      <c r="I860" s="14">
        <v>99</v>
      </c>
      <c r="J860">
        <f>I860-I861</f>
        <v>16</v>
      </c>
      <c r="K860" t="str">
        <f t="shared" si="80"/>
        <v>W</v>
      </c>
      <c r="L860" t="str">
        <f t="shared" si="81"/>
        <v>Russell</v>
      </c>
      <c r="M860" t="str">
        <f>VLOOKUP(L860,References!$A$2:$B$16,2,FALSE)</f>
        <v>TEXAROK</v>
      </c>
      <c r="N860" s="19" t="str">
        <f>IF(M860=M861,"N","Y")</f>
        <v>Y</v>
      </c>
      <c r="O860">
        <f>SUM(I860:I861)</f>
        <v>182</v>
      </c>
      <c r="P860">
        <f t="shared" si="83"/>
        <v>83</v>
      </c>
    </row>
    <row r="861" spans="1:16" hidden="1" x14ac:dyDescent="0.3">
      <c r="A861" t="str">
        <f t="shared" si="82"/>
        <v>2018Watty11</v>
      </c>
      <c r="B861">
        <f t="shared" si="78"/>
        <v>1455</v>
      </c>
      <c r="C861">
        <f t="shared" si="79"/>
        <v>1282</v>
      </c>
      <c r="D861" t="s">
        <v>24</v>
      </c>
      <c r="E861" t="str">
        <f>D860</f>
        <v>Russell</v>
      </c>
      <c r="F861">
        <v>2018</v>
      </c>
      <c r="G861">
        <v>11</v>
      </c>
      <c r="H861">
        <v>6.2</v>
      </c>
      <c r="I861" s="14">
        <v>83</v>
      </c>
      <c r="J861">
        <f>I861-I860</f>
        <v>-16</v>
      </c>
      <c r="K861" t="str">
        <f t="shared" si="80"/>
        <v>L</v>
      </c>
      <c r="L861" t="str">
        <f t="shared" si="81"/>
        <v>Watty</v>
      </c>
      <c r="M861" t="str">
        <f>VLOOKUP(L861,References!$A$2:$B$16,2,FALSE)</f>
        <v>AKCOVA</v>
      </c>
      <c r="N861" s="19" t="str">
        <f>IF(M861=M860,"N","Y")</f>
        <v>Y</v>
      </c>
      <c r="O861">
        <f>SUM(I860:I861)</f>
        <v>182</v>
      </c>
      <c r="P861">
        <f t="shared" si="83"/>
        <v>99</v>
      </c>
    </row>
    <row r="862" spans="1:16" hidden="1" x14ac:dyDescent="0.3">
      <c r="A862" t="str">
        <f t="shared" si="82"/>
        <v>2018Charles12</v>
      </c>
      <c r="B862">
        <f t="shared" si="78"/>
        <v>356</v>
      </c>
      <c r="C862">
        <f t="shared" si="79"/>
        <v>1210</v>
      </c>
      <c r="D862" t="s">
        <v>48</v>
      </c>
      <c r="E862" t="str">
        <f>D863</f>
        <v>Michael</v>
      </c>
      <c r="F862">
        <v>2018</v>
      </c>
      <c r="G862">
        <v>12</v>
      </c>
      <c r="H862">
        <v>1.1000000000000001</v>
      </c>
      <c r="I862" s="14">
        <v>85</v>
      </c>
      <c r="J862">
        <f>I862-I863</f>
        <v>28</v>
      </c>
      <c r="K862" t="str">
        <f t="shared" si="80"/>
        <v>W</v>
      </c>
      <c r="L862" t="str">
        <f t="shared" si="81"/>
        <v>Charles</v>
      </c>
      <c r="M862" t="str">
        <f>VLOOKUP(L862,References!$A$2:$B$16,2,FALSE)</f>
        <v>AKCOVA</v>
      </c>
      <c r="N862" s="19" t="str">
        <f>IF(M862=M863,"N","Y")</f>
        <v>N</v>
      </c>
      <c r="O862">
        <f>SUM(I862:I863)</f>
        <v>142</v>
      </c>
      <c r="P862">
        <f t="shared" si="83"/>
        <v>57</v>
      </c>
    </row>
    <row r="863" spans="1:16" hidden="1" x14ac:dyDescent="0.3">
      <c r="A863" t="str">
        <f t="shared" si="82"/>
        <v>2018Michael12</v>
      </c>
      <c r="B863">
        <f t="shared" si="78"/>
        <v>1723</v>
      </c>
      <c r="C863">
        <f t="shared" si="79"/>
        <v>1988</v>
      </c>
      <c r="D863" t="s">
        <v>23</v>
      </c>
      <c r="E863" t="str">
        <f>D862</f>
        <v>Charles</v>
      </c>
      <c r="F863">
        <v>2018</v>
      </c>
      <c r="G863">
        <v>12</v>
      </c>
      <c r="H863">
        <v>1.2</v>
      </c>
      <c r="I863" s="14">
        <v>57</v>
      </c>
      <c r="J863">
        <f>I863-I862</f>
        <v>-28</v>
      </c>
      <c r="K863" t="str">
        <f t="shared" si="80"/>
        <v>L</v>
      </c>
      <c r="L863" t="str">
        <f t="shared" si="81"/>
        <v>Michael</v>
      </c>
      <c r="M863" t="str">
        <f>VLOOKUP(L863,References!$A$2:$B$16,2,FALSE)</f>
        <v>AKCOVA</v>
      </c>
      <c r="N863" s="19" t="str">
        <f>IF(M863=M862,"N","Y")</f>
        <v>N</v>
      </c>
      <c r="O863">
        <f>SUM(I862:I863)</f>
        <v>142</v>
      </c>
      <c r="P863">
        <f t="shared" si="83"/>
        <v>85</v>
      </c>
    </row>
    <row r="864" spans="1:16" hidden="1" x14ac:dyDescent="0.3">
      <c r="A864" t="str">
        <f t="shared" si="82"/>
        <v>2018Russell12</v>
      </c>
      <c r="B864">
        <f t="shared" si="78"/>
        <v>782</v>
      </c>
      <c r="C864">
        <f t="shared" si="79"/>
        <v>119</v>
      </c>
      <c r="D864" t="s">
        <v>28</v>
      </c>
      <c r="E864" t="str">
        <f>D865</f>
        <v>David</v>
      </c>
      <c r="F864">
        <v>2018</v>
      </c>
      <c r="G864">
        <v>12</v>
      </c>
      <c r="H864">
        <v>2.1</v>
      </c>
      <c r="I864" s="14">
        <v>129</v>
      </c>
      <c r="J864">
        <f>I864-I865</f>
        <v>9</v>
      </c>
      <c r="K864" t="str">
        <f t="shared" si="80"/>
        <v>W</v>
      </c>
      <c r="L864" t="str">
        <f t="shared" si="81"/>
        <v>Russell</v>
      </c>
      <c r="M864" t="str">
        <f>VLOOKUP(L864,References!$A$2:$B$16,2,FALSE)</f>
        <v>TEXAROK</v>
      </c>
      <c r="N864" s="19" t="str">
        <f>IF(M864=M865,"N","Y")</f>
        <v>N</v>
      </c>
      <c r="O864">
        <f>SUM(I864:I865)</f>
        <v>249</v>
      </c>
      <c r="P864">
        <f t="shared" si="83"/>
        <v>120</v>
      </c>
    </row>
    <row r="865" spans="1:16" hidden="1" x14ac:dyDescent="0.3">
      <c r="A865" t="str">
        <f t="shared" si="82"/>
        <v>2018David12</v>
      </c>
      <c r="B865">
        <f t="shared" si="78"/>
        <v>1291</v>
      </c>
      <c r="C865">
        <f t="shared" si="79"/>
        <v>227</v>
      </c>
      <c r="D865" t="s">
        <v>29</v>
      </c>
      <c r="E865" t="str">
        <f>D864</f>
        <v>Russell</v>
      </c>
      <c r="F865">
        <v>2018</v>
      </c>
      <c r="G865">
        <v>12</v>
      </c>
      <c r="H865">
        <v>2.2000000000000002</v>
      </c>
      <c r="I865" s="14">
        <v>120</v>
      </c>
      <c r="J865">
        <f>I865-I864</f>
        <v>-9</v>
      </c>
      <c r="K865" t="str">
        <f t="shared" si="80"/>
        <v>L</v>
      </c>
      <c r="L865" t="str">
        <f t="shared" si="81"/>
        <v>David</v>
      </c>
      <c r="M865" t="str">
        <f>VLOOKUP(L865,References!$A$2:$B$16,2,FALSE)</f>
        <v>TEXAROK</v>
      </c>
      <c r="N865" s="19" t="str">
        <f>IF(M865=M864,"N","Y")</f>
        <v>N</v>
      </c>
      <c r="O865">
        <f>SUM(I864:I865)</f>
        <v>249</v>
      </c>
      <c r="P865">
        <f t="shared" si="83"/>
        <v>129</v>
      </c>
    </row>
    <row r="866" spans="1:16" hidden="1" x14ac:dyDescent="0.3">
      <c r="A866" t="str">
        <f t="shared" si="82"/>
        <v>2018Mark12</v>
      </c>
      <c r="B866">
        <f t="shared" si="78"/>
        <v>1753</v>
      </c>
      <c r="C866">
        <f t="shared" si="79"/>
        <v>1318</v>
      </c>
      <c r="D866" t="s">
        <v>22</v>
      </c>
      <c r="E866" t="str">
        <f>D867</f>
        <v>Brian</v>
      </c>
      <c r="F866">
        <v>2018</v>
      </c>
      <c r="G866">
        <v>12</v>
      </c>
      <c r="H866">
        <v>3.1</v>
      </c>
      <c r="I866" s="14">
        <v>82</v>
      </c>
      <c r="J866">
        <f>I866-I867</f>
        <v>-30</v>
      </c>
      <c r="K866" t="str">
        <f t="shared" si="80"/>
        <v>L</v>
      </c>
      <c r="L866" t="str">
        <f t="shared" si="81"/>
        <v>Mark</v>
      </c>
      <c r="M866" t="str">
        <f>VLOOKUP(L866,References!$A$2:$B$16,2,FALSE)</f>
        <v>AKCOVA</v>
      </c>
      <c r="N866" s="19" t="str">
        <f>IF(M866=M867,"N","Y")</f>
        <v>Y</v>
      </c>
      <c r="O866">
        <f>SUM(I866:I867)</f>
        <v>194</v>
      </c>
      <c r="P866">
        <f t="shared" si="83"/>
        <v>112</v>
      </c>
    </row>
    <row r="867" spans="1:16" hidden="1" x14ac:dyDescent="0.3">
      <c r="A867" t="str">
        <f t="shared" si="82"/>
        <v>2018Brian12</v>
      </c>
      <c r="B867">
        <f t="shared" si="78"/>
        <v>319</v>
      </c>
      <c r="C867">
        <f t="shared" si="79"/>
        <v>364</v>
      </c>
      <c r="D867" t="s">
        <v>26</v>
      </c>
      <c r="E867" t="str">
        <f>D866</f>
        <v>Mark</v>
      </c>
      <c r="F867">
        <v>2018</v>
      </c>
      <c r="G867">
        <v>12</v>
      </c>
      <c r="H867">
        <v>3.2</v>
      </c>
      <c r="I867" s="14">
        <v>112</v>
      </c>
      <c r="J867">
        <f>I867-I866</f>
        <v>30</v>
      </c>
      <c r="K867" t="str">
        <f t="shared" si="80"/>
        <v>W</v>
      </c>
      <c r="L867" t="str">
        <f t="shared" si="81"/>
        <v>Brian</v>
      </c>
      <c r="M867" t="str">
        <f>VLOOKUP(L867,References!$A$2:$B$16,2,FALSE)</f>
        <v>TEXAROK</v>
      </c>
      <c r="N867" s="19" t="str">
        <f>IF(M867=M866,"N","Y")</f>
        <v>Y</v>
      </c>
      <c r="O867">
        <f>SUM(I866:I867)</f>
        <v>194</v>
      </c>
      <c r="P867">
        <f t="shared" si="83"/>
        <v>82</v>
      </c>
    </row>
    <row r="868" spans="1:16" hidden="1" x14ac:dyDescent="0.3">
      <c r="A868" t="str">
        <f t="shared" si="82"/>
        <v>2018BR12</v>
      </c>
      <c r="B868">
        <f t="shared" si="78"/>
        <v>1895</v>
      </c>
      <c r="C868">
        <f t="shared" si="79"/>
        <v>746</v>
      </c>
      <c r="D868" t="s">
        <v>25</v>
      </c>
      <c r="E868" t="str">
        <f>D869</f>
        <v>Watty</v>
      </c>
      <c r="F868">
        <v>2018</v>
      </c>
      <c r="G868">
        <v>12</v>
      </c>
      <c r="H868">
        <v>4.0999999999999996</v>
      </c>
      <c r="I868" s="14">
        <v>98</v>
      </c>
      <c r="J868">
        <f>I868-I869</f>
        <v>-40</v>
      </c>
      <c r="K868" t="str">
        <f t="shared" si="80"/>
        <v>L</v>
      </c>
      <c r="L868" t="str">
        <f t="shared" si="81"/>
        <v>BR</v>
      </c>
      <c r="M868" t="str">
        <f>VLOOKUP(L868,References!$A$2:$B$16,2,FALSE)</f>
        <v>AKCOVA</v>
      </c>
      <c r="N868" s="19" t="str">
        <f>IF(M868=M869,"N","Y")</f>
        <v>N</v>
      </c>
      <c r="O868">
        <f>SUM(I868:I869)</f>
        <v>236</v>
      </c>
      <c r="P868">
        <f t="shared" si="83"/>
        <v>138</v>
      </c>
    </row>
    <row r="869" spans="1:16" hidden="1" x14ac:dyDescent="0.3">
      <c r="A869" t="str">
        <f t="shared" si="82"/>
        <v>2018Watty12</v>
      </c>
      <c r="B869">
        <f t="shared" si="78"/>
        <v>187</v>
      </c>
      <c r="C869">
        <f t="shared" si="79"/>
        <v>64</v>
      </c>
      <c r="D869" t="s">
        <v>24</v>
      </c>
      <c r="E869" t="str">
        <f>D868</f>
        <v>BR</v>
      </c>
      <c r="F869">
        <v>2018</v>
      </c>
      <c r="G869">
        <v>12</v>
      </c>
      <c r="H869">
        <v>4.2</v>
      </c>
      <c r="I869" s="14">
        <v>138</v>
      </c>
      <c r="J869">
        <f>I869-I868</f>
        <v>40</v>
      </c>
      <c r="K869" t="str">
        <f t="shared" si="80"/>
        <v>W</v>
      </c>
      <c r="L869" t="str">
        <f t="shared" si="81"/>
        <v>Watty</v>
      </c>
      <c r="M869" t="str">
        <f>VLOOKUP(L869,References!$A$2:$B$16,2,FALSE)</f>
        <v>AKCOVA</v>
      </c>
      <c r="N869" s="19" t="str">
        <f>IF(M869=M868,"N","Y")</f>
        <v>N</v>
      </c>
      <c r="O869">
        <f>SUM(I868:I869)</f>
        <v>236</v>
      </c>
      <c r="P869">
        <f t="shared" si="83"/>
        <v>98</v>
      </c>
    </row>
    <row r="870" spans="1:16" hidden="1" x14ac:dyDescent="0.3">
      <c r="A870" t="str">
        <f t="shared" si="82"/>
        <v>2018Brent12</v>
      </c>
      <c r="B870">
        <f t="shared" si="78"/>
        <v>284</v>
      </c>
      <c r="C870">
        <f t="shared" si="79"/>
        <v>412</v>
      </c>
      <c r="D870" t="s">
        <v>47</v>
      </c>
      <c r="E870" t="str">
        <f>D871</f>
        <v>Matt</v>
      </c>
      <c r="F870">
        <v>2018</v>
      </c>
      <c r="G870">
        <v>12</v>
      </c>
      <c r="H870">
        <v>5.0999999999999996</v>
      </c>
      <c r="I870" s="14">
        <v>110</v>
      </c>
      <c r="J870">
        <f>I870-I871</f>
        <v>32</v>
      </c>
      <c r="K870" t="str">
        <f t="shared" si="80"/>
        <v>W</v>
      </c>
      <c r="L870" t="str">
        <f t="shared" si="81"/>
        <v>Brent</v>
      </c>
      <c r="M870" t="str">
        <f>VLOOKUP(L870,References!$A$2:$B$16,2,FALSE)</f>
        <v>TEXAROK</v>
      </c>
      <c r="N870" s="19" t="str">
        <f>IF(M870=M871,"N","Y")</f>
        <v>N</v>
      </c>
      <c r="O870">
        <f>SUM(I870:I871)</f>
        <v>188</v>
      </c>
      <c r="P870">
        <f t="shared" si="83"/>
        <v>78</v>
      </c>
    </row>
    <row r="871" spans="1:16" hidden="1" x14ac:dyDescent="0.3">
      <c r="A871" t="str">
        <f t="shared" si="82"/>
        <v>2018Matt12</v>
      </c>
      <c r="B871">
        <f t="shared" si="78"/>
        <v>1797</v>
      </c>
      <c r="C871">
        <f t="shared" si="79"/>
        <v>1468</v>
      </c>
      <c r="D871" t="s">
        <v>30</v>
      </c>
      <c r="E871" t="str">
        <f>D870</f>
        <v>Brent</v>
      </c>
      <c r="F871">
        <v>2018</v>
      </c>
      <c r="G871">
        <v>12</v>
      </c>
      <c r="H871">
        <v>5.2</v>
      </c>
      <c r="I871" s="14">
        <v>78</v>
      </c>
      <c r="J871">
        <f>I871-I870</f>
        <v>-32</v>
      </c>
      <c r="K871" t="str">
        <f t="shared" si="80"/>
        <v>L</v>
      </c>
      <c r="L871" t="str">
        <f t="shared" si="81"/>
        <v>Matt</v>
      </c>
      <c r="M871" t="str">
        <f>VLOOKUP(L871,References!$A$2:$B$16,2,FALSE)</f>
        <v>TEXAROK</v>
      </c>
      <c r="N871" s="19" t="str">
        <f>IF(M871=M870,"N","Y")</f>
        <v>N</v>
      </c>
      <c r="O871">
        <f>SUM(I870:I871)</f>
        <v>188</v>
      </c>
      <c r="P871">
        <f t="shared" si="83"/>
        <v>110</v>
      </c>
    </row>
    <row r="872" spans="1:16" hidden="1" x14ac:dyDescent="0.3">
      <c r="A872" t="str">
        <f t="shared" si="82"/>
        <v>2018Emily12</v>
      </c>
      <c r="B872">
        <f t="shared" si="78"/>
        <v>758</v>
      </c>
      <c r="C872">
        <f t="shared" si="79"/>
        <v>1648</v>
      </c>
      <c r="D872" t="s">
        <v>43</v>
      </c>
      <c r="E872" t="str">
        <f>D873</f>
        <v>Abby</v>
      </c>
      <c r="F872">
        <v>2018</v>
      </c>
      <c r="G872">
        <v>12</v>
      </c>
      <c r="H872">
        <v>6.1</v>
      </c>
      <c r="I872" s="14">
        <v>73</v>
      </c>
      <c r="J872">
        <f>I872-I873</f>
        <v>10</v>
      </c>
      <c r="K872" t="str">
        <f t="shared" si="80"/>
        <v>W</v>
      </c>
      <c r="L872" t="str">
        <f t="shared" si="81"/>
        <v>Emily</v>
      </c>
      <c r="M872" t="str">
        <f>VLOOKUP(L872,References!$A$2:$B$16,2,FALSE)</f>
        <v>TEXAROK</v>
      </c>
      <c r="N872" s="19" t="str">
        <f>IF(M872=M873,"N","Y")</f>
        <v>Y</v>
      </c>
      <c r="O872">
        <f>SUM(I872:I873)</f>
        <v>136</v>
      </c>
      <c r="P872">
        <f t="shared" si="83"/>
        <v>63</v>
      </c>
    </row>
    <row r="873" spans="1:16" hidden="1" x14ac:dyDescent="0.3">
      <c r="A873" t="str">
        <f t="shared" si="82"/>
        <v>2018Abby12</v>
      </c>
      <c r="B873">
        <f t="shared" si="78"/>
        <v>1312</v>
      </c>
      <c r="C873">
        <f t="shared" si="79"/>
        <v>1885</v>
      </c>
      <c r="D873" t="s">
        <v>27</v>
      </c>
      <c r="E873" t="str">
        <f>D872</f>
        <v>Emily</v>
      </c>
      <c r="F873">
        <v>2018</v>
      </c>
      <c r="G873">
        <v>12</v>
      </c>
      <c r="H873">
        <v>6.2</v>
      </c>
      <c r="I873" s="14">
        <v>63</v>
      </c>
      <c r="J873">
        <f>I873-I872</f>
        <v>-10</v>
      </c>
      <c r="K873" t="str">
        <f t="shared" si="80"/>
        <v>L</v>
      </c>
      <c r="L873" t="str">
        <f t="shared" si="81"/>
        <v>Abby</v>
      </c>
      <c r="M873" t="str">
        <f>VLOOKUP(L873,References!$A$2:$B$16,2,FALSE)</f>
        <v>AKCOVA</v>
      </c>
      <c r="N873" s="19" t="str">
        <f>IF(M873=M872,"N","Y")</f>
        <v>Y</v>
      </c>
      <c r="O873">
        <f>SUM(I872:I873)</f>
        <v>136</v>
      </c>
      <c r="P873">
        <f t="shared" si="83"/>
        <v>73</v>
      </c>
    </row>
    <row r="874" spans="1:16" hidden="1" x14ac:dyDescent="0.3">
      <c r="A874" t="str">
        <f t="shared" si="82"/>
        <v>2018Watty13</v>
      </c>
      <c r="B874">
        <f t="shared" si="78"/>
        <v>1409</v>
      </c>
      <c r="C874">
        <f t="shared" si="79"/>
        <v>1793</v>
      </c>
      <c r="D874" t="s">
        <v>24</v>
      </c>
      <c r="E874" t="str">
        <f>D875</f>
        <v>Michael</v>
      </c>
      <c r="F874">
        <v>2018</v>
      </c>
      <c r="G874">
        <v>13</v>
      </c>
      <c r="H874">
        <v>1.1000000000000001</v>
      </c>
      <c r="I874" s="14">
        <v>68</v>
      </c>
      <c r="J874">
        <f>I874-I875</f>
        <v>-14</v>
      </c>
      <c r="K874" t="str">
        <f t="shared" si="80"/>
        <v>L</v>
      </c>
      <c r="L874" t="str">
        <f t="shared" si="81"/>
        <v>Watty</v>
      </c>
      <c r="M874" t="str">
        <f>VLOOKUP(L874,References!$A$2:$B$16,2,FALSE)</f>
        <v>AKCOVA</v>
      </c>
      <c r="N874" s="19" t="str">
        <f>IF(M874=M875,"N","Y")</f>
        <v>N</v>
      </c>
      <c r="O874">
        <f>SUM(I874:I875)</f>
        <v>150</v>
      </c>
      <c r="P874">
        <f t="shared" si="83"/>
        <v>82</v>
      </c>
    </row>
    <row r="875" spans="1:16" hidden="1" x14ac:dyDescent="0.3">
      <c r="A875" t="str">
        <f t="shared" si="82"/>
        <v>2018Michael13</v>
      </c>
      <c r="B875">
        <f t="shared" si="78"/>
        <v>660</v>
      </c>
      <c r="C875">
        <f t="shared" si="79"/>
        <v>1318</v>
      </c>
      <c r="D875" t="s">
        <v>23</v>
      </c>
      <c r="E875" t="str">
        <f>D874</f>
        <v>Watty</v>
      </c>
      <c r="F875">
        <v>2018</v>
      </c>
      <c r="G875">
        <v>13</v>
      </c>
      <c r="H875">
        <v>1.2</v>
      </c>
      <c r="I875" s="14">
        <v>82</v>
      </c>
      <c r="J875">
        <f>I875-I874</f>
        <v>14</v>
      </c>
      <c r="K875" t="str">
        <f t="shared" si="80"/>
        <v>W</v>
      </c>
      <c r="L875" t="str">
        <f t="shared" si="81"/>
        <v>Michael</v>
      </c>
      <c r="M875" t="str">
        <f>VLOOKUP(L875,References!$A$2:$B$16,2,FALSE)</f>
        <v>AKCOVA</v>
      </c>
      <c r="N875" s="19" t="str">
        <f>IF(M875=M874,"N","Y")</f>
        <v>N</v>
      </c>
      <c r="O875">
        <f>SUM(I874:I875)</f>
        <v>150</v>
      </c>
      <c r="P875">
        <f t="shared" si="83"/>
        <v>68</v>
      </c>
    </row>
    <row r="876" spans="1:16" hidden="1" x14ac:dyDescent="0.3">
      <c r="A876" t="str">
        <f t="shared" si="82"/>
        <v>2018Matt13</v>
      </c>
      <c r="B876">
        <f t="shared" si="78"/>
        <v>713</v>
      </c>
      <c r="C876">
        <f t="shared" si="79"/>
        <v>1717</v>
      </c>
      <c r="D876" t="s">
        <v>30</v>
      </c>
      <c r="E876" t="str">
        <f>D877</f>
        <v>Abby</v>
      </c>
      <c r="F876">
        <v>2018</v>
      </c>
      <c r="G876">
        <v>13</v>
      </c>
      <c r="H876">
        <v>2.1</v>
      </c>
      <c r="I876" s="14">
        <v>71</v>
      </c>
      <c r="J876">
        <f>I876-I877</f>
        <v>12</v>
      </c>
      <c r="K876" t="str">
        <f t="shared" si="80"/>
        <v>W</v>
      </c>
      <c r="L876" t="str">
        <f t="shared" si="81"/>
        <v>Matt</v>
      </c>
      <c r="M876" t="str">
        <f>VLOOKUP(L876,References!$A$2:$B$16,2,FALSE)</f>
        <v>TEXAROK</v>
      </c>
      <c r="N876" s="19" t="str">
        <f>IF(M876=M877,"N","Y")</f>
        <v>Y</v>
      </c>
      <c r="O876">
        <f>SUM(I876:I877)</f>
        <v>130</v>
      </c>
      <c r="P876">
        <f t="shared" si="83"/>
        <v>59</v>
      </c>
    </row>
    <row r="877" spans="1:16" hidden="1" x14ac:dyDescent="0.3">
      <c r="A877" t="str">
        <f t="shared" si="82"/>
        <v>2018Abby13</v>
      </c>
      <c r="B877">
        <f t="shared" si="78"/>
        <v>1357</v>
      </c>
      <c r="C877">
        <f t="shared" si="79"/>
        <v>1951</v>
      </c>
      <c r="D877" t="s">
        <v>27</v>
      </c>
      <c r="E877" t="str">
        <f>D876</f>
        <v>Matt</v>
      </c>
      <c r="F877">
        <v>2018</v>
      </c>
      <c r="G877">
        <v>13</v>
      </c>
      <c r="H877">
        <v>2.2000000000000002</v>
      </c>
      <c r="I877" s="14">
        <v>59</v>
      </c>
      <c r="J877">
        <f>I877-I876</f>
        <v>-12</v>
      </c>
      <c r="K877" t="str">
        <f t="shared" si="80"/>
        <v>L</v>
      </c>
      <c r="L877" t="str">
        <f t="shared" si="81"/>
        <v>Abby</v>
      </c>
      <c r="M877" t="str">
        <f>VLOOKUP(L877,References!$A$2:$B$16,2,FALSE)</f>
        <v>AKCOVA</v>
      </c>
      <c r="N877" s="19" t="str">
        <f>IF(M877=M876,"N","Y")</f>
        <v>Y</v>
      </c>
      <c r="O877">
        <f>SUM(I876:I877)</f>
        <v>130</v>
      </c>
      <c r="P877">
        <f t="shared" si="83"/>
        <v>71</v>
      </c>
    </row>
    <row r="878" spans="1:16" hidden="1" x14ac:dyDescent="0.3">
      <c r="A878" t="str">
        <f t="shared" si="82"/>
        <v>2018Emily13</v>
      </c>
      <c r="B878">
        <f t="shared" si="78"/>
        <v>1753</v>
      </c>
      <c r="C878">
        <f t="shared" si="79"/>
        <v>1406</v>
      </c>
      <c r="D878" t="s">
        <v>43</v>
      </c>
      <c r="E878" t="str">
        <f>D879</f>
        <v>Russell</v>
      </c>
      <c r="F878">
        <v>2018</v>
      </c>
      <c r="G878">
        <v>13</v>
      </c>
      <c r="H878">
        <v>3.1</v>
      </c>
      <c r="I878" s="14">
        <v>80</v>
      </c>
      <c r="J878">
        <f>I878-I879</f>
        <v>-30</v>
      </c>
      <c r="K878" t="str">
        <f t="shared" si="80"/>
        <v>L</v>
      </c>
      <c r="L878" t="str">
        <f t="shared" si="81"/>
        <v>Emily</v>
      </c>
      <c r="M878" t="str">
        <f>VLOOKUP(L878,References!$A$2:$B$16,2,FALSE)</f>
        <v>TEXAROK</v>
      </c>
      <c r="N878" s="19" t="str">
        <f>IF(M878=M879,"N","Y")</f>
        <v>N</v>
      </c>
      <c r="O878">
        <f>SUM(I878:I879)</f>
        <v>190</v>
      </c>
      <c r="P878">
        <f t="shared" si="83"/>
        <v>110</v>
      </c>
    </row>
    <row r="879" spans="1:16" hidden="1" x14ac:dyDescent="0.3">
      <c r="A879" t="str">
        <f t="shared" si="82"/>
        <v>2018Russell13</v>
      </c>
      <c r="B879">
        <f t="shared" si="78"/>
        <v>319</v>
      </c>
      <c r="C879">
        <f t="shared" si="79"/>
        <v>412</v>
      </c>
      <c r="D879" t="s">
        <v>28</v>
      </c>
      <c r="E879" t="str">
        <f>D878</f>
        <v>Emily</v>
      </c>
      <c r="F879">
        <v>2018</v>
      </c>
      <c r="G879">
        <v>13</v>
      </c>
      <c r="H879">
        <v>3.2</v>
      </c>
      <c r="I879" s="14">
        <v>110</v>
      </c>
      <c r="J879">
        <f>I879-I878</f>
        <v>30</v>
      </c>
      <c r="K879" t="str">
        <f t="shared" si="80"/>
        <v>W</v>
      </c>
      <c r="L879" t="str">
        <f t="shared" si="81"/>
        <v>Russell</v>
      </c>
      <c r="M879" t="str">
        <f>VLOOKUP(L879,References!$A$2:$B$16,2,FALSE)</f>
        <v>TEXAROK</v>
      </c>
      <c r="N879" s="19" t="str">
        <f>IF(M879=M878,"N","Y")</f>
        <v>N</v>
      </c>
      <c r="O879">
        <f>SUM(I878:I879)</f>
        <v>190</v>
      </c>
      <c r="P879">
        <f t="shared" si="83"/>
        <v>80</v>
      </c>
    </row>
    <row r="880" spans="1:16" hidden="1" x14ac:dyDescent="0.3">
      <c r="A880" t="str">
        <f t="shared" si="82"/>
        <v>2018Charles13</v>
      </c>
      <c r="B880">
        <f t="shared" si="78"/>
        <v>1775</v>
      </c>
      <c r="C880">
        <f t="shared" si="79"/>
        <v>1549</v>
      </c>
      <c r="D880" t="s">
        <v>48</v>
      </c>
      <c r="E880" t="str">
        <f>D881</f>
        <v>BR</v>
      </c>
      <c r="F880">
        <v>2018</v>
      </c>
      <c r="G880">
        <v>13</v>
      </c>
      <c r="H880">
        <v>4.0999999999999996</v>
      </c>
      <c r="I880" s="14">
        <v>76</v>
      </c>
      <c r="J880">
        <f>I880-I881</f>
        <v>-31</v>
      </c>
      <c r="K880" t="str">
        <f t="shared" si="80"/>
        <v>L</v>
      </c>
      <c r="L880" t="str">
        <f t="shared" si="81"/>
        <v>Charles</v>
      </c>
      <c r="M880" t="str">
        <f>VLOOKUP(L880,References!$A$2:$B$16,2,FALSE)</f>
        <v>AKCOVA</v>
      </c>
      <c r="N880" s="19" t="str">
        <f>IF(M880=M881,"N","Y")</f>
        <v>N</v>
      </c>
      <c r="O880">
        <f>SUM(I880:I881)</f>
        <v>183</v>
      </c>
      <c r="P880">
        <f t="shared" si="83"/>
        <v>107</v>
      </c>
    </row>
    <row r="881" spans="1:16" hidden="1" x14ac:dyDescent="0.3">
      <c r="A881" t="str">
        <f t="shared" si="82"/>
        <v>2018BR13</v>
      </c>
      <c r="B881">
        <f t="shared" si="78"/>
        <v>297</v>
      </c>
      <c r="C881">
        <f t="shared" si="79"/>
        <v>486</v>
      </c>
      <c r="D881" t="s">
        <v>25</v>
      </c>
      <c r="E881" t="str">
        <f>D880</f>
        <v>Charles</v>
      </c>
      <c r="F881">
        <v>2018</v>
      </c>
      <c r="G881">
        <v>13</v>
      </c>
      <c r="H881">
        <v>4.2</v>
      </c>
      <c r="I881" s="14">
        <v>107</v>
      </c>
      <c r="J881">
        <f>I881-I880</f>
        <v>31</v>
      </c>
      <c r="K881" t="str">
        <f t="shared" si="80"/>
        <v>W</v>
      </c>
      <c r="L881" t="str">
        <f t="shared" si="81"/>
        <v>BR</v>
      </c>
      <c r="M881" t="str">
        <f>VLOOKUP(L881,References!$A$2:$B$16,2,FALSE)</f>
        <v>AKCOVA</v>
      </c>
      <c r="N881" s="19" t="str">
        <f>IF(M881=M880,"N","Y")</f>
        <v>N</v>
      </c>
      <c r="O881">
        <f>SUM(I880:I881)</f>
        <v>183</v>
      </c>
      <c r="P881">
        <f t="shared" si="83"/>
        <v>76</v>
      </c>
    </row>
    <row r="882" spans="1:16" hidden="1" x14ac:dyDescent="0.3">
      <c r="A882" t="str">
        <f t="shared" si="82"/>
        <v>2018Mark13</v>
      </c>
      <c r="B882">
        <f t="shared" si="78"/>
        <v>782</v>
      </c>
      <c r="C882">
        <f t="shared" si="79"/>
        <v>1318</v>
      </c>
      <c r="D882" t="s">
        <v>22</v>
      </c>
      <c r="E882" t="str">
        <f>D883</f>
        <v>Brent</v>
      </c>
      <c r="F882">
        <v>2018</v>
      </c>
      <c r="G882">
        <v>13</v>
      </c>
      <c r="H882">
        <v>5.0999999999999996</v>
      </c>
      <c r="I882" s="14">
        <v>82</v>
      </c>
      <c r="J882">
        <f>I882-I883</f>
        <v>9</v>
      </c>
      <c r="K882" t="str">
        <f t="shared" si="80"/>
        <v>W</v>
      </c>
      <c r="L882" t="str">
        <f t="shared" si="81"/>
        <v>Mark</v>
      </c>
      <c r="M882" t="str">
        <f>VLOOKUP(L882,References!$A$2:$B$16,2,FALSE)</f>
        <v>AKCOVA</v>
      </c>
      <c r="N882" s="19" t="str">
        <f>IF(M882=M883,"N","Y")</f>
        <v>Y</v>
      </c>
      <c r="O882">
        <f>SUM(I882:I883)</f>
        <v>155</v>
      </c>
      <c r="P882">
        <f t="shared" si="83"/>
        <v>73</v>
      </c>
    </row>
    <row r="883" spans="1:16" hidden="1" x14ac:dyDescent="0.3">
      <c r="A883" t="str">
        <f t="shared" si="82"/>
        <v>2018Brent13</v>
      </c>
      <c r="B883">
        <f t="shared" si="78"/>
        <v>1291</v>
      </c>
      <c r="C883">
        <f t="shared" si="79"/>
        <v>1648</v>
      </c>
      <c r="D883" t="s">
        <v>47</v>
      </c>
      <c r="E883" t="str">
        <f>D882</f>
        <v>Mark</v>
      </c>
      <c r="F883">
        <v>2018</v>
      </c>
      <c r="G883">
        <v>13</v>
      </c>
      <c r="H883">
        <v>5.2</v>
      </c>
      <c r="I883" s="14">
        <v>73</v>
      </c>
      <c r="J883">
        <f>I883-I882</f>
        <v>-9</v>
      </c>
      <c r="K883" t="str">
        <f t="shared" si="80"/>
        <v>L</v>
      </c>
      <c r="L883" t="str">
        <f t="shared" si="81"/>
        <v>Brent</v>
      </c>
      <c r="M883" t="str">
        <f>VLOOKUP(L883,References!$A$2:$B$16,2,FALSE)</f>
        <v>TEXAROK</v>
      </c>
      <c r="N883" s="19" t="str">
        <f>IF(M883=M882,"N","Y")</f>
        <v>Y</v>
      </c>
      <c r="O883">
        <f>SUM(I882:I883)</f>
        <v>155</v>
      </c>
      <c r="P883">
        <f t="shared" si="83"/>
        <v>82</v>
      </c>
    </row>
    <row r="884" spans="1:16" hidden="1" x14ac:dyDescent="0.3">
      <c r="A884" t="str">
        <f t="shared" si="82"/>
        <v>2018Brian13</v>
      </c>
      <c r="B884">
        <f t="shared" si="78"/>
        <v>1312</v>
      </c>
      <c r="C884">
        <f t="shared" si="79"/>
        <v>1595</v>
      </c>
      <c r="D884" t="s">
        <v>26</v>
      </c>
      <c r="E884" t="str">
        <f>D885</f>
        <v>David</v>
      </c>
      <c r="F884">
        <v>2018</v>
      </c>
      <c r="G884">
        <v>13</v>
      </c>
      <c r="H884">
        <v>6.1</v>
      </c>
      <c r="I884" s="14">
        <v>75</v>
      </c>
      <c r="J884">
        <f>I884-I885</f>
        <v>-10</v>
      </c>
      <c r="K884" t="str">
        <f t="shared" si="80"/>
        <v>L</v>
      </c>
      <c r="L884" t="str">
        <f t="shared" si="81"/>
        <v>Brian</v>
      </c>
      <c r="M884" t="str">
        <f>VLOOKUP(L884,References!$A$2:$B$16,2,FALSE)</f>
        <v>TEXAROK</v>
      </c>
      <c r="N884" s="19" t="str">
        <f>IF(M884=M885,"N","Y")</f>
        <v>N</v>
      </c>
      <c r="O884">
        <f>SUM(I884:I885)</f>
        <v>160</v>
      </c>
      <c r="P884">
        <f t="shared" si="83"/>
        <v>85</v>
      </c>
    </row>
    <row r="885" spans="1:16" hidden="1" x14ac:dyDescent="0.3">
      <c r="A885" t="str">
        <f t="shared" si="82"/>
        <v>2018David13</v>
      </c>
      <c r="B885">
        <f t="shared" si="78"/>
        <v>758</v>
      </c>
      <c r="C885">
        <f t="shared" si="79"/>
        <v>1210</v>
      </c>
      <c r="D885" t="s">
        <v>29</v>
      </c>
      <c r="E885" t="str">
        <f>D884</f>
        <v>Brian</v>
      </c>
      <c r="F885">
        <v>2018</v>
      </c>
      <c r="G885">
        <v>13</v>
      </c>
      <c r="H885">
        <v>6.2</v>
      </c>
      <c r="I885" s="14">
        <v>85</v>
      </c>
      <c r="J885">
        <f>I885-I884</f>
        <v>10</v>
      </c>
      <c r="K885" t="str">
        <f t="shared" si="80"/>
        <v>W</v>
      </c>
      <c r="L885" t="str">
        <f t="shared" si="81"/>
        <v>David</v>
      </c>
      <c r="M885" t="str">
        <f>VLOOKUP(L885,References!$A$2:$B$16,2,FALSE)</f>
        <v>TEXAROK</v>
      </c>
      <c r="N885" s="19" t="str">
        <f>IF(M885=M884,"N","Y")</f>
        <v>N</v>
      </c>
      <c r="O885">
        <f>SUM(I884:I885)</f>
        <v>160</v>
      </c>
      <c r="P885">
        <f t="shared" si="83"/>
        <v>75</v>
      </c>
    </row>
    <row r="886" spans="1:16" hidden="1" x14ac:dyDescent="0.3">
      <c r="A886" t="str">
        <f t="shared" si="82"/>
        <v>2019Michael1</v>
      </c>
      <c r="B886">
        <f t="shared" si="78"/>
        <v>737</v>
      </c>
      <c r="C886">
        <f t="shared" si="79"/>
        <v>248</v>
      </c>
      <c r="D886" t="s">
        <v>23</v>
      </c>
      <c r="E886" t="str">
        <f>D887</f>
        <v>Matt</v>
      </c>
      <c r="F886">
        <v>2019</v>
      </c>
      <c r="G886">
        <v>1</v>
      </c>
      <c r="H886">
        <v>1.1000000000000001</v>
      </c>
      <c r="I886" s="14">
        <v>119</v>
      </c>
      <c r="J886">
        <f>I886-I887</f>
        <v>11</v>
      </c>
      <c r="K886" t="str">
        <f t="shared" si="80"/>
        <v>W</v>
      </c>
      <c r="L886" t="str">
        <f t="shared" si="81"/>
        <v>Michael</v>
      </c>
      <c r="M886" t="str">
        <f>VLOOKUP(L886,References!$A$2:$B$16,2,FALSE)</f>
        <v>AKCOVA</v>
      </c>
      <c r="N886" s="19" t="str">
        <f>IF(M886=M887,"N","Y")</f>
        <v>Y</v>
      </c>
      <c r="O886">
        <f>SUM(I886:I887)</f>
        <v>227</v>
      </c>
      <c r="P886">
        <f t="shared" si="83"/>
        <v>108</v>
      </c>
    </row>
    <row r="887" spans="1:16" hidden="1" x14ac:dyDescent="0.3">
      <c r="A887" t="str">
        <f t="shared" si="82"/>
        <v>2019Matt1</v>
      </c>
      <c r="B887">
        <f t="shared" si="78"/>
        <v>1336</v>
      </c>
      <c r="C887">
        <f t="shared" si="79"/>
        <v>462</v>
      </c>
      <c r="D887" t="s">
        <v>30</v>
      </c>
      <c r="E887" t="str">
        <f>D886</f>
        <v>Michael</v>
      </c>
      <c r="F887">
        <v>2019</v>
      </c>
      <c r="G887">
        <v>1</v>
      </c>
      <c r="H887">
        <v>1.2</v>
      </c>
      <c r="I887" s="14">
        <v>108</v>
      </c>
      <c r="J887">
        <f>I887-I886</f>
        <v>-11</v>
      </c>
      <c r="K887" t="str">
        <f t="shared" si="80"/>
        <v>L</v>
      </c>
      <c r="L887" t="str">
        <f t="shared" si="81"/>
        <v>Matt</v>
      </c>
      <c r="M887" t="str">
        <f>VLOOKUP(L887,References!$A$2:$B$16,2,FALSE)</f>
        <v>TEXAROK</v>
      </c>
      <c r="N887" s="19" t="str">
        <f>IF(M887=M886,"N","Y")</f>
        <v>Y</v>
      </c>
      <c r="O887">
        <f>SUM(I886:I887)</f>
        <v>227</v>
      </c>
      <c r="P887">
        <f t="shared" si="83"/>
        <v>119</v>
      </c>
    </row>
    <row r="888" spans="1:16" hidden="1" x14ac:dyDescent="0.3">
      <c r="A888" t="str">
        <f t="shared" si="82"/>
        <v>2019Brent1</v>
      </c>
      <c r="B888">
        <f t="shared" si="78"/>
        <v>319</v>
      </c>
      <c r="C888">
        <f t="shared" si="79"/>
        <v>462</v>
      </c>
      <c r="D888" t="s">
        <v>47</v>
      </c>
      <c r="E888" t="str">
        <f>D889</f>
        <v>Russell</v>
      </c>
      <c r="F888">
        <v>2019</v>
      </c>
      <c r="G888">
        <v>1</v>
      </c>
      <c r="H888">
        <v>2.1</v>
      </c>
      <c r="I888" s="14">
        <v>108</v>
      </c>
      <c r="J888">
        <f>I888-I889</f>
        <v>30</v>
      </c>
      <c r="K888" t="str">
        <f t="shared" si="80"/>
        <v>W</v>
      </c>
      <c r="L888" t="str">
        <f t="shared" si="81"/>
        <v>Brent</v>
      </c>
      <c r="M888" t="str">
        <f>VLOOKUP(L888,References!$A$2:$B$16,2,FALSE)</f>
        <v>TEXAROK</v>
      </c>
      <c r="N888" s="19" t="str">
        <f>IF(M888=M889,"N","Y")</f>
        <v>N</v>
      </c>
      <c r="O888">
        <f>SUM(I888:I889)</f>
        <v>186</v>
      </c>
      <c r="P888">
        <f t="shared" si="83"/>
        <v>78</v>
      </c>
    </row>
    <row r="889" spans="1:16" hidden="1" x14ac:dyDescent="0.3">
      <c r="A889" t="str">
        <f t="shared" si="82"/>
        <v>2019Russell1</v>
      </c>
      <c r="B889">
        <f t="shared" si="78"/>
        <v>1753</v>
      </c>
      <c r="C889">
        <f t="shared" si="79"/>
        <v>1468</v>
      </c>
      <c r="D889" t="s">
        <v>28</v>
      </c>
      <c r="E889" t="str">
        <f>D888</f>
        <v>Brent</v>
      </c>
      <c r="F889">
        <v>2019</v>
      </c>
      <c r="G889">
        <v>1</v>
      </c>
      <c r="H889">
        <v>2.2000000000000002</v>
      </c>
      <c r="I889" s="14">
        <v>78</v>
      </c>
      <c r="J889">
        <f>I889-I888</f>
        <v>-30</v>
      </c>
      <c r="K889" t="str">
        <f t="shared" si="80"/>
        <v>L</v>
      </c>
      <c r="L889" t="str">
        <f t="shared" si="81"/>
        <v>Russell</v>
      </c>
      <c r="M889" t="str">
        <f>VLOOKUP(L889,References!$A$2:$B$16,2,FALSE)</f>
        <v>TEXAROK</v>
      </c>
      <c r="N889" s="19" t="str">
        <f>IF(M889=M888,"N","Y")</f>
        <v>N</v>
      </c>
      <c r="O889">
        <f>SUM(I888:I889)</f>
        <v>186</v>
      </c>
      <c r="P889">
        <f t="shared" si="83"/>
        <v>108</v>
      </c>
    </row>
    <row r="890" spans="1:16" hidden="1" x14ac:dyDescent="0.3">
      <c r="A890" t="str">
        <f t="shared" si="82"/>
        <v>2019BR1</v>
      </c>
      <c r="B890">
        <f t="shared" si="78"/>
        <v>1933</v>
      </c>
      <c r="C890">
        <f t="shared" si="79"/>
        <v>1648</v>
      </c>
      <c r="D890" t="s">
        <v>25</v>
      </c>
      <c r="E890" t="str">
        <f>D891</f>
        <v>Watty</v>
      </c>
      <c r="F890">
        <v>2019</v>
      </c>
      <c r="G890">
        <v>1</v>
      </c>
      <c r="H890">
        <v>3.1</v>
      </c>
      <c r="I890" s="14">
        <v>73</v>
      </c>
      <c r="J890">
        <f>I890-I891</f>
        <v>-44</v>
      </c>
      <c r="K890" t="str">
        <f t="shared" si="80"/>
        <v>L</v>
      </c>
      <c r="L890" t="str">
        <f t="shared" si="81"/>
        <v>BR</v>
      </c>
      <c r="M890" t="str">
        <f>VLOOKUP(L890,References!$A$2:$B$16,2,FALSE)</f>
        <v>AKCOVA</v>
      </c>
      <c r="N890" s="19" t="str">
        <f>IF(M890=M891,"N","Y")</f>
        <v>N</v>
      </c>
      <c r="O890">
        <f>SUM(I890:I891)</f>
        <v>190</v>
      </c>
      <c r="P890">
        <f t="shared" si="83"/>
        <v>117</v>
      </c>
    </row>
    <row r="891" spans="1:16" hidden="1" x14ac:dyDescent="0.3">
      <c r="A891" t="str">
        <f t="shared" si="82"/>
        <v>2019Watty1</v>
      </c>
      <c r="B891">
        <f t="shared" si="78"/>
        <v>150</v>
      </c>
      <c r="C891">
        <f t="shared" si="79"/>
        <v>275</v>
      </c>
      <c r="D891" t="s">
        <v>24</v>
      </c>
      <c r="E891" t="str">
        <f>D890</f>
        <v>BR</v>
      </c>
      <c r="F891">
        <v>2019</v>
      </c>
      <c r="G891">
        <v>1</v>
      </c>
      <c r="H891">
        <v>3.2</v>
      </c>
      <c r="I891" s="14">
        <v>117</v>
      </c>
      <c r="J891">
        <f>I891-I890</f>
        <v>44</v>
      </c>
      <c r="K891" t="str">
        <f t="shared" si="80"/>
        <v>W</v>
      </c>
      <c r="L891" t="str">
        <f t="shared" si="81"/>
        <v>Watty</v>
      </c>
      <c r="M891" t="str">
        <f>VLOOKUP(L891,References!$A$2:$B$16,2,FALSE)</f>
        <v>AKCOVA</v>
      </c>
      <c r="N891" s="19" t="str">
        <f>IF(M891=M890,"N","Y")</f>
        <v>N</v>
      </c>
      <c r="O891">
        <f>SUM(I890:I891)</f>
        <v>190</v>
      </c>
      <c r="P891">
        <f t="shared" si="83"/>
        <v>73</v>
      </c>
    </row>
    <row r="892" spans="1:16" hidden="1" x14ac:dyDescent="0.3">
      <c r="A892" t="str">
        <f t="shared" si="82"/>
        <v>2019Emily1</v>
      </c>
      <c r="B892">
        <f t="shared" si="78"/>
        <v>865</v>
      </c>
      <c r="C892">
        <f t="shared" si="79"/>
        <v>1282</v>
      </c>
      <c r="D892" t="s">
        <v>43</v>
      </c>
      <c r="E892" t="str">
        <f>D893</f>
        <v>David</v>
      </c>
      <c r="F892">
        <v>2019</v>
      </c>
      <c r="G892">
        <v>1</v>
      </c>
      <c r="H892">
        <v>4.0999999999999996</v>
      </c>
      <c r="I892" s="14">
        <v>83</v>
      </c>
      <c r="J892">
        <f>I892-I893</f>
        <v>6</v>
      </c>
      <c r="K892" t="str">
        <f t="shared" si="80"/>
        <v>W</v>
      </c>
      <c r="L892" t="str">
        <f t="shared" si="81"/>
        <v>Emily</v>
      </c>
      <c r="M892" t="str">
        <f>VLOOKUP(L892,References!$A$2:$B$16,2,FALSE)</f>
        <v>TEXAROK</v>
      </c>
      <c r="N892" s="19" t="str">
        <f>IF(M892=M893,"N","Y")</f>
        <v>N</v>
      </c>
      <c r="O892">
        <f>SUM(I892:I893)</f>
        <v>160</v>
      </c>
      <c r="P892">
        <f t="shared" si="83"/>
        <v>77</v>
      </c>
    </row>
    <row r="893" spans="1:16" hidden="1" x14ac:dyDescent="0.3">
      <c r="A893" t="str">
        <f t="shared" si="82"/>
        <v>2019David1</v>
      </c>
      <c r="B893">
        <f t="shared" si="78"/>
        <v>1197</v>
      </c>
      <c r="C893">
        <f t="shared" si="79"/>
        <v>1512</v>
      </c>
      <c r="D893" t="s">
        <v>29</v>
      </c>
      <c r="E893" t="str">
        <f>D892</f>
        <v>Emily</v>
      </c>
      <c r="F893">
        <v>2019</v>
      </c>
      <c r="G893">
        <v>1</v>
      </c>
      <c r="H893">
        <v>4.2</v>
      </c>
      <c r="I893" s="14">
        <v>77</v>
      </c>
      <c r="J893">
        <f>I893-I892</f>
        <v>-6</v>
      </c>
      <c r="K893" t="str">
        <f t="shared" si="80"/>
        <v>L</v>
      </c>
      <c r="L893" t="str">
        <f t="shared" si="81"/>
        <v>David</v>
      </c>
      <c r="M893" t="str">
        <f>VLOOKUP(L893,References!$A$2:$B$16,2,FALSE)</f>
        <v>TEXAROK</v>
      </c>
      <c r="N893" s="19" t="str">
        <f>IF(M893=M892,"N","Y")</f>
        <v>N</v>
      </c>
      <c r="O893">
        <f>SUM(I892:I893)</f>
        <v>160</v>
      </c>
      <c r="P893">
        <f t="shared" si="83"/>
        <v>83</v>
      </c>
    </row>
    <row r="894" spans="1:16" hidden="1" x14ac:dyDescent="0.3">
      <c r="A894" t="str">
        <f t="shared" si="82"/>
        <v>2019Abby1</v>
      </c>
      <c r="B894">
        <f t="shared" si="78"/>
        <v>130</v>
      </c>
      <c r="C894">
        <f t="shared" si="79"/>
        <v>339</v>
      </c>
      <c r="D894" t="s">
        <v>27</v>
      </c>
      <c r="E894" t="str">
        <f>D895</f>
        <v>Mark</v>
      </c>
      <c r="F894">
        <v>2019</v>
      </c>
      <c r="G894">
        <v>1</v>
      </c>
      <c r="H894">
        <v>5.0999999999999996</v>
      </c>
      <c r="I894" s="14">
        <v>113</v>
      </c>
      <c r="J894">
        <f>I894-I895</f>
        <v>46</v>
      </c>
      <c r="K894" t="str">
        <f t="shared" si="80"/>
        <v>W</v>
      </c>
      <c r="L894" t="str">
        <f t="shared" si="81"/>
        <v>Abby</v>
      </c>
      <c r="M894" t="str">
        <f>VLOOKUP(L894,References!$A$2:$B$16,2,FALSE)</f>
        <v>AKCOVA</v>
      </c>
      <c r="N894" s="19" t="str">
        <f>IF(M894=M895,"N","Y")</f>
        <v>N</v>
      </c>
      <c r="O894">
        <f>SUM(I894:I895)</f>
        <v>180</v>
      </c>
      <c r="P894">
        <f t="shared" si="83"/>
        <v>67</v>
      </c>
    </row>
    <row r="895" spans="1:16" hidden="1" x14ac:dyDescent="0.3">
      <c r="A895" t="str">
        <f t="shared" si="82"/>
        <v>2019Mark1</v>
      </c>
      <c r="B895">
        <f t="shared" si="78"/>
        <v>1952</v>
      </c>
      <c r="C895">
        <f t="shared" si="79"/>
        <v>1815</v>
      </c>
      <c r="D895" t="s">
        <v>22</v>
      </c>
      <c r="E895" t="str">
        <f>D894</f>
        <v>Abby</v>
      </c>
      <c r="F895">
        <v>2019</v>
      </c>
      <c r="G895">
        <v>1</v>
      </c>
      <c r="H895">
        <v>5.2</v>
      </c>
      <c r="I895" s="14">
        <v>67</v>
      </c>
      <c r="J895">
        <f>I895-I894</f>
        <v>-46</v>
      </c>
      <c r="K895" t="str">
        <f t="shared" si="80"/>
        <v>L</v>
      </c>
      <c r="L895" t="str">
        <f t="shared" si="81"/>
        <v>Mark</v>
      </c>
      <c r="M895" t="str">
        <f>VLOOKUP(L895,References!$A$2:$B$16,2,FALSE)</f>
        <v>AKCOVA</v>
      </c>
      <c r="N895" s="19" t="str">
        <f>IF(M895=M894,"N","Y")</f>
        <v>N</v>
      </c>
      <c r="O895">
        <f>SUM(I894:I895)</f>
        <v>180</v>
      </c>
      <c r="P895">
        <f t="shared" si="83"/>
        <v>113</v>
      </c>
    </row>
    <row r="896" spans="1:16" hidden="1" x14ac:dyDescent="0.3">
      <c r="A896" t="str">
        <f t="shared" si="82"/>
        <v>2019Charles1</v>
      </c>
      <c r="B896">
        <f t="shared" si="78"/>
        <v>489</v>
      </c>
      <c r="C896">
        <f t="shared" si="79"/>
        <v>540</v>
      </c>
      <c r="D896" t="s">
        <v>48</v>
      </c>
      <c r="E896" t="str">
        <f>D897</f>
        <v>Brian</v>
      </c>
      <c r="F896">
        <v>2019</v>
      </c>
      <c r="G896">
        <v>1</v>
      </c>
      <c r="H896">
        <v>6.1</v>
      </c>
      <c r="I896" s="14">
        <v>105</v>
      </c>
      <c r="J896">
        <f>I896-I897</f>
        <v>21</v>
      </c>
      <c r="K896" t="str">
        <f t="shared" si="80"/>
        <v>W</v>
      </c>
      <c r="L896" t="str">
        <f t="shared" si="81"/>
        <v>Charles</v>
      </c>
      <c r="M896" t="str">
        <f>VLOOKUP(L896,References!$A$2:$B$16,2,FALSE)</f>
        <v>AKCOVA</v>
      </c>
      <c r="N896" s="19" t="str">
        <f>IF(M896=M897,"N","Y")</f>
        <v>Y</v>
      </c>
      <c r="O896">
        <f>SUM(I896:I897)</f>
        <v>189</v>
      </c>
      <c r="P896">
        <f t="shared" si="83"/>
        <v>84</v>
      </c>
    </row>
    <row r="897" spans="1:16" hidden="1" x14ac:dyDescent="0.3">
      <c r="A897" t="str">
        <f t="shared" si="82"/>
        <v>2019Brian1</v>
      </c>
      <c r="B897">
        <f t="shared" si="78"/>
        <v>1577</v>
      </c>
      <c r="C897">
        <f t="shared" si="79"/>
        <v>1241</v>
      </c>
      <c r="D897" t="s">
        <v>26</v>
      </c>
      <c r="E897" t="str">
        <f>D896</f>
        <v>Charles</v>
      </c>
      <c r="F897">
        <v>2019</v>
      </c>
      <c r="G897">
        <v>1</v>
      </c>
      <c r="H897">
        <v>6.2</v>
      </c>
      <c r="I897" s="14">
        <v>84</v>
      </c>
      <c r="J897">
        <f>I897-I896</f>
        <v>-21</v>
      </c>
      <c r="K897" t="str">
        <f t="shared" si="80"/>
        <v>L</v>
      </c>
      <c r="L897" t="str">
        <f t="shared" si="81"/>
        <v>Brian</v>
      </c>
      <c r="M897" t="str">
        <f>VLOOKUP(L897,References!$A$2:$B$16,2,FALSE)</f>
        <v>TEXAROK</v>
      </c>
      <c r="N897" s="19" t="str">
        <f>IF(M897=M896,"N","Y")</f>
        <v>Y</v>
      </c>
      <c r="O897">
        <f>SUM(I896:I897)</f>
        <v>189</v>
      </c>
      <c r="P897">
        <f t="shared" si="83"/>
        <v>105</v>
      </c>
    </row>
    <row r="898" spans="1:16" hidden="1" x14ac:dyDescent="0.3">
      <c r="A898" t="str">
        <f t="shared" si="82"/>
        <v>2019Emily2</v>
      </c>
      <c r="B898">
        <f t="shared" ref="B898:B961" si="84">RANK(J898,diff)</f>
        <v>1055</v>
      </c>
      <c r="C898">
        <f t="shared" ref="C898:C961" si="85">RANK(I898,points)</f>
        <v>1738</v>
      </c>
      <c r="D898" t="s">
        <v>43</v>
      </c>
      <c r="E898" t="str">
        <f>D899</f>
        <v>Michael</v>
      </c>
      <c r="F898">
        <v>2019</v>
      </c>
      <c r="G898">
        <v>2</v>
      </c>
      <c r="H898">
        <v>1.1000000000000001</v>
      </c>
      <c r="I898" s="14">
        <v>70</v>
      </c>
      <c r="J898">
        <f>I898-I899</f>
        <v>-1</v>
      </c>
      <c r="K898" t="str">
        <f t="shared" ref="K898:K961" si="86">IF(J898&gt;0,"W",IF(J898&lt;0,"L","T"))</f>
        <v>L</v>
      </c>
      <c r="L898" t="str">
        <f t="shared" ref="L898:L961" si="87">D898</f>
        <v>Emily</v>
      </c>
      <c r="M898" t="str">
        <f>VLOOKUP(L898,References!$A$2:$B$16,2,FALSE)</f>
        <v>TEXAROK</v>
      </c>
      <c r="N898" s="19" t="str">
        <f>IF(M898=M899,"N","Y")</f>
        <v>Y</v>
      </c>
      <c r="O898">
        <f>SUM(I898:I899)</f>
        <v>141</v>
      </c>
      <c r="P898">
        <f t="shared" si="83"/>
        <v>71</v>
      </c>
    </row>
    <row r="899" spans="1:16" hidden="1" x14ac:dyDescent="0.3">
      <c r="A899" t="str">
        <f t="shared" ref="A899:A962" si="88">F899&amp;D899&amp;G899</f>
        <v>2019Michael2</v>
      </c>
      <c r="B899">
        <f t="shared" si="84"/>
        <v>1004</v>
      </c>
      <c r="C899">
        <f t="shared" si="85"/>
        <v>1717</v>
      </c>
      <c r="D899" t="s">
        <v>23</v>
      </c>
      <c r="E899" t="str">
        <f>D898</f>
        <v>Emily</v>
      </c>
      <c r="F899">
        <v>2019</v>
      </c>
      <c r="G899">
        <v>2</v>
      </c>
      <c r="H899">
        <v>1.2</v>
      </c>
      <c r="I899" s="14">
        <v>71</v>
      </c>
      <c r="J899">
        <f>I899-I898</f>
        <v>1</v>
      </c>
      <c r="K899" t="str">
        <f t="shared" si="86"/>
        <v>W</v>
      </c>
      <c r="L899" t="str">
        <f t="shared" si="87"/>
        <v>Michael</v>
      </c>
      <c r="M899" t="str">
        <f>VLOOKUP(L899,References!$A$2:$B$16,2,FALSE)</f>
        <v>AKCOVA</v>
      </c>
      <c r="N899" s="19" t="str">
        <f>IF(M899=M898,"N","Y")</f>
        <v>Y</v>
      </c>
      <c r="O899">
        <f>SUM(I898:I899)</f>
        <v>141</v>
      </c>
      <c r="P899">
        <f t="shared" ref="P899:P962" si="89">I899-J899</f>
        <v>70</v>
      </c>
    </row>
    <row r="900" spans="1:16" hidden="1" x14ac:dyDescent="0.3">
      <c r="A900" t="str">
        <f t="shared" si="88"/>
        <v>2019David2</v>
      </c>
      <c r="B900">
        <f t="shared" si="84"/>
        <v>1753</v>
      </c>
      <c r="C900">
        <f t="shared" si="85"/>
        <v>1549</v>
      </c>
      <c r="D900" t="s">
        <v>29</v>
      </c>
      <c r="E900" t="str">
        <f>D901</f>
        <v>Russell</v>
      </c>
      <c r="F900">
        <v>2019</v>
      </c>
      <c r="G900">
        <v>2</v>
      </c>
      <c r="H900">
        <v>2.1</v>
      </c>
      <c r="I900" s="14">
        <v>76</v>
      </c>
      <c r="J900">
        <f>I900-I901</f>
        <v>-30</v>
      </c>
      <c r="K900" t="str">
        <f t="shared" si="86"/>
        <v>L</v>
      </c>
      <c r="L900" t="str">
        <f t="shared" si="87"/>
        <v>David</v>
      </c>
      <c r="M900" t="str">
        <f>VLOOKUP(L900,References!$A$2:$B$16,2,FALSE)</f>
        <v>TEXAROK</v>
      </c>
      <c r="N900" s="19" t="str">
        <f>IF(M900=M901,"N","Y")</f>
        <v>N</v>
      </c>
      <c r="O900">
        <f>SUM(I900:I901)</f>
        <v>182</v>
      </c>
      <c r="P900">
        <f t="shared" si="89"/>
        <v>106</v>
      </c>
    </row>
    <row r="901" spans="1:16" hidden="1" x14ac:dyDescent="0.3">
      <c r="A901" t="str">
        <f t="shared" si="88"/>
        <v>2019Russell2</v>
      </c>
      <c r="B901">
        <f t="shared" si="84"/>
        <v>319</v>
      </c>
      <c r="C901">
        <f t="shared" si="85"/>
        <v>509</v>
      </c>
      <c r="D901" t="s">
        <v>28</v>
      </c>
      <c r="E901" t="str">
        <f>D900</f>
        <v>David</v>
      </c>
      <c r="F901">
        <v>2019</v>
      </c>
      <c r="G901">
        <v>2</v>
      </c>
      <c r="H901">
        <v>2.2000000000000002</v>
      </c>
      <c r="I901" s="14">
        <v>106</v>
      </c>
      <c r="J901">
        <f>I901-I900</f>
        <v>30</v>
      </c>
      <c r="K901" t="str">
        <f t="shared" si="86"/>
        <v>W</v>
      </c>
      <c r="L901" t="str">
        <f t="shared" si="87"/>
        <v>Russell</v>
      </c>
      <c r="M901" t="str">
        <f>VLOOKUP(L901,References!$A$2:$B$16,2,FALSE)</f>
        <v>TEXAROK</v>
      </c>
      <c r="N901" s="19" t="str">
        <f>IF(M901=M900,"N","Y")</f>
        <v>N</v>
      </c>
      <c r="O901">
        <f>SUM(I900:I901)</f>
        <v>182</v>
      </c>
      <c r="P901">
        <f t="shared" si="89"/>
        <v>76</v>
      </c>
    </row>
    <row r="902" spans="1:16" hidden="1" x14ac:dyDescent="0.3">
      <c r="A902" t="str">
        <f t="shared" si="88"/>
        <v>2019Mark2</v>
      </c>
      <c r="B902">
        <f t="shared" si="84"/>
        <v>225</v>
      </c>
      <c r="C902">
        <f t="shared" si="85"/>
        <v>566</v>
      </c>
      <c r="D902" t="s">
        <v>22</v>
      </c>
      <c r="E902" t="str">
        <f>D903</f>
        <v>Charles</v>
      </c>
      <c r="F902">
        <v>2019</v>
      </c>
      <c r="G902">
        <v>2</v>
      </c>
      <c r="H902">
        <v>3.1</v>
      </c>
      <c r="I902" s="14">
        <v>104</v>
      </c>
      <c r="J902">
        <f>I902-I903</f>
        <v>37</v>
      </c>
      <c r="K902" t="str">
        <f t="shared" si="86"/>
        <v>W</v>
      </c>
      <c r="L902" t="str">
        <f t="shared" si="87"/>
        <v>Mark</v>
      </c>
      <c r="M902" t="str">
        <f>VLOOKUP(L902,References!$A$2:$B$16,2,FALSE)</f>
        <v>AKCOVA</v>
      </c>
      <c r="N902" s="19" t="str">
        <f>IF(M902=M903,"N","Y")</f>
        <v>N</v>
      </c>
      <c r="O902">
        <f>SUM(I902:I903)</f>
        <v>171</v>
      </c>
      <c r="P902">
        <f t="shared" si="89"/>
        <v>67</v>
      </c>
    </row>
    <row r="903" spans="1:16" hidden="1" x14ac:dyDescent="0.3">
      <c r="A903" t="str">
        <f t="shared" si="88"/>
        <v>2019Charles2</v>
      </c>
      <c r="B903">
        <f t="shared" si="84"/>
        <v>1856</v>
      </c>
      <c r="C903">
        <f t="shared" si="85"/>
        <v>1815</v>
      </c>
      <c r="D903" t="s">
        <v>48</v>
      </c>
      <c r="E903" t="str">
        <f>D902</f>
        <v>Mark</v>
      </c>
      <c r="F903">
        <v>2019</v>
      </c>
      <c r="G903">
        <v>2</v>
      </c>
      <c r="H903">
        <v>3.2</v>
      </c>
      <c r="I903" s="14">
        <v>67</v>
      </c>
      <c r="J903">
        <f>I903-I902</f>
        <v>-37</v>
      </c>
      <c r="K903" t="str">
        <f t="shared" si="86"/>
        <v>L</v>
      </c>
      <c r="L903" t="str">
        <f t="shared" si="87"/>
        <v>Charles</v>
      </c>
      <c r="M903" t="str">
        <f>VLOOKUP(L903,References!$A$2:$B$16,2,FALSE)</f>
        <v>AKCOVA</v>
      </c>
      <c r="N903" s="19" t="str">
        <f>IF(M903=M902,"N","Y")</f>
        <v>N</v>
      </c>
      <c r="O903">
        <f>SUM(I902:I903)</f>
        <v>171</v>
      </c>
      <c r="P903">
        <f t="shared" si="89"/>
        <v>104</v>
      </c>
    </row>
    <row r="904" spans="1:16" hidden="1" x14ac:dyDescent="0.3">
      <c r="A904" t="str">
        <f t="shared" si="88"/>
        <v>2019Matt2</v>
      </c>
      <c r="B904">
        <f t="shared" si="84"/>
        <v>897</v>
      </c>
      <c r="C904">
        <f t="shared" si="85"/>
        <v>652</v>
      </c>
      <c r="D904" t="s">
        <v>30</v>
      </c>
      <c r="E904" t="str">
        <f>D905</f>
        <v>Brent</v>
      </c>
      <c r="F904">
        <v>2019</v>
      </c>
      <c r="G904">
        <v>2</v>
      </c>
      <c r="H904">
        <v>4.0999999999999996</v>
      </c>
      <c r="I904" s="14">
        <v>101</v>
      </c>
      <c r="J904">
        <f>I904-I905</f>
        <v>5</v>
      </c>
      <c r="K904" t="str">
        <f t="shared" si="86"/>
        <v>W</v>
      </c>
      <c r="L904" t="str">
        <f t="shared" si="87"/>
        <v>Matt</v>
      </c>
      <c r="M904" t="str">
        <f>VLOOKUP(L904,References!$A$2:$B$16,2,FALSE)</f>
        <v>TEXAROK</v>
      </c>
      <c r="N904" s="19" t="str">
        <f>IF(M904=M905,"N","Y")</f>
        <v>N</v>
      </c>
      <c r="O904">
        <f>SUM(I904:I905)</f>
        <v>197</v>
      </c>
      <c r="P904">
        <f t="shared" si="89"/>
        <v>96</v>
      </c>
    </row>
    <row r="905" spans="1:16" hidden="1" x14ac:dyDescent="0.3">
      <c r="A905" t="str">
        <f t="shared" si="88"/>
        <v>2019Brent2</v>
      </c>
      <c r="B905">
        <f t="shared" si="84"/>
        <v>1177</v>
      </c>
      <c r="C905">
        <f t="shared" si="85"/>
        <v>822</v>
      </c>
      <c r="D905" t="s">
        <v>47</v>
      </c>
      <c r="E905" t="str">
        <f>D904</f>
        <v>Matt</v>
      </c>
      <c r="F905">
        <v>2019</v>
      </c>
      <c r="G905">
        <v>2</v>
      </c>
      <c r="H905">
        <v>4.2</v>
      </c>
      <c r="I905" s="14">
        <v>96</v>
      </c>
      <c r="J905">
        <f>I905-I904</f>
        <v>-5</v>
      </c>
      <c r="K905" t="str">
        <f t="shared" si="86"/>
        <v>L</v>
      </c>
      <c r="L905" t="str">
        <f t="shared" si="87"/>
        <v>Brent</v>
      </c>
      <c r="M905" t="str">
        <f>VLOOKUP(L905,References!$A$2:$B$16,2,FALSE)</f>
        <v>TEXAROK</v>
      </c>
      <c r="N905" s="19" t="str">
        <f>IF(M905=M904,"N","Y")</f>
        <v>N</v>
      </c>
      <c r="O905">
        <f>SUM(I904:I905)</f>
        <v>197</v>
      </c>
      <c r="P905">
        <f t="shared" si="89"/>
        <v>101</v>
      </c>
    </row>
    <row r="906" spans="1:16" hidden="1" x14ac:dyDescent="0.3">
      <c r="A906" t="str">
        <f t="shared" si="88"/>
        <v>2019BR2</v>
      </c>
      <c r="B906">
        <f t="shared" si="84"/>
        <v>1004</v>
      </c>
      <c r="C906">
        <f t="shared" si="85"/>
        <v>1173</v>
      </c>
      <c r="D906" t="s">
        <v>25</v>
      </c>
      <c r="E906" t="str">
        <f>D907</f>
        <v>Abby</v>
      </c>
      <c r="F906">
        <v>2019</v>
      </c>
      <c r="G906">
        <v>2</v>
      </c>
      <c r="H906">
        <v>5.0999999999999996</v>
      </c>
      <c r="I906" s="14">
        <v>86</v>
      </c>
      <c r="J906">
        <f>I906-I907</f>
        <v>1</v>
      </c>
      <c r="K906" t="str">
        <f t="shared" si="86"/>
        <v>W</v>
      </c>
      <c r="L906" t="str">
        <f t="shared" si="87"/>
        <v>BR</v>
      </c>
      <c r="M906" t="str">
        <f>VLOOKUP(L906,References!$A$2:$B$16,2,FALSE)</f>
        <v>AKCOVA</v>
      </c>
      <c r="N906" s="19" t="str">
        <f>IF(M906=M907,"N","Y")</f>
        <v>N</v>
      </c>
      <c r="O906">
        <f>SUM(I906:I907)</f>
        <v>171</v>
      </c>
      <c r="P906">
        <f t="shared" si="89"/>
        <v>85</v>
      </c>
    </row>
    <row r="907" spans="1:16" hidden="1" x14ac:dyDescent="0.3">
      <c r="A907" t="str">
        <f t="shared" si="88"/>
        <v>2019Abby2</v>
      </c>
      <c r="B907">
        <f t="shared" si="84"/>
        <v>1055</v>
      </c>
      <c r="C907">
        <f t="shared" si="85"/>
        <v>1210</v>
      </c>
      <c r="D907" t="s">
        <v>27</v>
      </c>
      <c r="E907" t="str">
        <f>D906</f>
        <v>BR</v>
      </c>
      <c r="F907">
        <v>2019</v>
      </c>
      <c r="G907">
        <v>2</v>
      </c>
      <c r="H907">
        <v>5.2</v>
      </c>
      <c r="I907" s="14">
        <v>85</v>
      </c>
      <c r="J907">
        <f>I907-I906</f>
        <v>-1</v>
      </c>
      <c r="K907" t="str">
        <f t="shared" si="86"/>
        <v>L</v>
      </c>
      <c r="L907" t="str">
        <f t="shared" si="87"/>
        <v>Abby</v>
      </c>
      <c r="M907" t="str">
        <f>VLOOKUP(L907,References!$A$2:$B$16,2,FALSE)</f>
        <v>AKCOVA</v>
      </c>
      <c r="N907" s="19" t="str">
        <f>IF(M907=M906,"N","Y")</f>
        <v>N</v>
      </c>
      <c r="O907">
        <f>SUM(I906:I907)</f>
        <v>171</v>
      </c>
      <c r="P907">
        <f t="shared" si="89"/>
        <v>86</v>
      </c>
    </row>
    <row r="908" spans="1:16" hidden="1" x14ac:dyDescent="0.3">
      <c r="A908" t="str">
        <f t="shared" si="88"/>
        <v>2019Watty2</v>
      </c>
      <c r="B908">
        <f t="shared" si="84"/>
        <v>865</v>
      </c>
      <c r="C908">
        <f t="shared" si="85"/>
        <v>1055</v>
      </c>
      <c r="D908" t="s">
        <v>24</v>
      </c>
      <c r="E908" t="str">
        <f>D909</f>
        <v>Brian</v>
      </c>
      <c r="F908">
        <v>2019</v>
      </c>
      <c r="G908">
        <v>2</v>
      </c>
      <c r="H908">
        <v>6.1</v>
      </c>
      <c r="I908" s="14">
        <v>89</v>
      </c>
      <c r="J908">
        <f>I908-I909</f>
        <v>6</v>
      </c>
      <c r="K908" t="str">
        <f t="shared" si="86"/>
        <v>W</v>
      </c>
      <c r="L908" t="str">
        <f t="shared" si="87"/>
        <v>Watty</v>
      </c>
      <c r="M908" t="str">
        <f>VLOOKUP(L908,References!$A$2:$B$16,2,FALSE)</f>
        <v>AKCOVA</v>
      </c>
      <c r="N908" s="19" t="str">
        <f>IF(M908=M909,"N","Y")</f>
        <v>Y</v>
      </c>
      <c r="O908">
        <f>SUM(I908:I909)</f>
        <v>172</v>
      </c>
      <c r="P908">
        <f t="shared" si="89"/>
        <v>83</v>
      </c>
    </row>
    <row r="909" spans="1:16" hidden="1" x14ac:dyDescent="0.3">
      <c r="A909" t="str">
        <f t="shared" si="88"/>
        <v>2019Brian2</v>
      </c>
      <c r="B909">
        <f t="shared" si="84"/>
        <v>1197</v>
      </c>
      <c r="C909">
        <f t="shared" si="85"/>
        <v>1282</v>
      </c>
      <c r="D909" t="s">
        <v>26</v>
      </c>
      <c r="E909" t="str">
        <f>D908</f>
        <v>Watty</v>
      </c>
      <c r="F909">
        <v>2019</v>
      </c>
      <c r="G909">
        <v>2</v>
      </c>
      <c r="H909">
        <v>6.2</v>
      </c>
      <c r="I909" s="14">
        <v>83</v>
      </c>
      <c r="J909">
        <f>I909-I908</f>
        <v>-6</v>
      </c>
      <c r="K909" t="str">
        <f t="shared" si="86"/>
        <v>L</v>
      </c>
      <c r="L909" t="str">
        <f t="shared" si="87"/>
        <v>Brian</v>
      </c>
      <c r="M909" t="str">
        <f>VLOOKUP(L909,References!$A$2:$B$16,2,FALSE)</f>
        <v>TEXAROK</v>
      </c>
      <c r="N909" s="19" t="str">
        <f>IF(M909=M908,"N","Y")</f>
        <v>Y</v>
      </c>
      <c r="O909">
        <f>SUM(I908:I909)</f>
        <v>172</v>
      </c>
      <c r="P909">
        <f t="shared" si="89"/>
        <v>89</v>
      </c>
    </row>
    <row r="910" spans="1:16" hidden="1" x14ac:dyDescent="0.3">
      <c r="A910" t="str">
        <f t="shared" si="88"/>
        <v>2019Michael3</v>
      </c>
      <c r="B910">
        <f t="shared" si="84"/>
        <v>1869</v>
      </c>
      <c r="C910">
        <f t="shared" si="85"/>
        <v>1439</v>
      </c>
      <c r="D910" t="s">
        <v>23</v>
      </c>
      <c r="E910" t="str">
        <f>D911</f>
        <v>Brent</v>
      </c>
      <c r="F910">
        <v>2019</v>
      </c>
      <c r="G910">
        <v>3</v>
      </c>
      <c r="H910">
        <v>1.1000000000000001</v>
      </c>
      <c r="I910" s="14">
        <v>79</v>
      </c>
      <c r="J910">
        <f>I910-I911</f>
        <v>-38</v>
      </c>
      <c r="K910" t="str">
        <f t="shared" si="86"/>
        <v>L</v>
      </c>
      <c r="L910" t="str">
        <f t="shared" si="87"/>
        <v>Michael</v>
      </c>
      <c r="M910" t="str">
        <f>VLOOKUP(L910,References!$A$2:$B$16,2,FALSE)</f>
        <v>AKCOVA</v>
      </c>
      <c r="N910" s="19" t="str">
        <f>IF(M910=M911,"N","Y")</f>
        <v>Y</v>
      </c>
      <c r="O910">
        <f>SUM(I910:I911)</f>
        <v>196</v>
      </c>
      <c r="P910">
        <f t="shared" si="89"/>
        <v>117</v>
      </c>
    </row>
    <row r="911" spans="1:16" hidden="1" x14ac:dyDescent="0.3">
      <c r="A911" t="str">
        <f t="shared" si="88"/>
        <v>2019Brent3</v>
      </c>
      <c r="B911">
        <f t="shared" si="84"/>
        <v>210</v>
      </c>
      <c r="C911">
        <f t="shared" si="85"/>
        <v>275</v>
      </c>
      <c r="D911" t="s">
        <v>47</v>
      </c>
      <c r="E911" t="str">
        <f>D910</f>
        <v>Michael</v>
      </c>
      <c r="F911">
        <v>2019</v>
      </c>
      <c r="G911">
        <v>3</v>
      </c>
      <c r="H911">
        <v>1.2</v>
      </c>
      <c r="I911" s="14">
        <v>117</v>
      </c>
      <c r="J911">
        <f>I911-I910</f>
        <v>38</v>
      </c>
      <c r="K911" t="str">
        <f t="shared" si="86"/>
        <v>W</v>
      </c>
      <c r="L911" t="str">
        <f t="shared" si="87"/>
        <v>Brent</v>
      </c>
      <c r="M911" t="str">
        <f>VLOOKUP(L911,References!$A$2:$B$16,2,FALSE)</f>
        <v>TEXAROK</v>
      </c>
      <c r="N911" s="19" t="str">
        <f>IF(M911=M910,"N","Y")</f>
        <v>Y</v>
      </c>
      <c r="O911">
        <f>SUM(I910:I911)</f>
        <v>196</v>
      </c>
      <c r="P911">
        <f t="shared" si="89"/>
        <v>79</v>
      </c>
    </row>
    <row r="912" spans="1:16" hidden="1" x14ac:dyDescent="0.3">
      <c r="A912" t="str">
        <f t="shared" si="88"/>
        <v>2019David3</v>
      </c>
      <c r="B912">
        <f t="shared" si="84"/>
        <v>1258</v>
      </c>
      <c r="C912">
        <f t="shared" si="85"/>
        <v>1055</v>
      </c>
      <c r="D912" t="s">
        <v>29</v>
      </c>
      <c r="E912" t="str">
        <f>D913</f>
        <v>Matt</v>
      </c>
      <c r="F912">
        <v>2019</v>
      </c>
      <c r="G912">
        <v>3</v>
      </c>
      <c r="H912">
        <v>2.1</v>
      </c>
      <c r="I912" s="14">
        <v>89</v>
      </c>
      <c r="J912">
        <f>I912-I913</f>
        <v>-8</v>
      </c>
      <c r="K912" t="str">
        <f t="shared" si="86"/>
        <v>L</v>
      </c>
      <c r="L912" t="str">
        <f t="shared" si="87"/>
        <v>David</v>
      </c>
      <c r="M912" t="str">
        <f>VLOOKUP(L912,References!$A$2:$B$16,2,FALSE)</f>
        <v>TEXAROK</v>
      </c>
      <c r="N912" s="19" t="str">
        <f>IF(M912=M913,"N","Y")</f>
        <v>N</v>
      </c>
      <c r="O912">
        <f>SUM(I912:I913)</f>
        <v>186</v>
      </c>
      <c r="P912">
        <f t="shared" si="89"/>
        <v>97</v>
      </c>
    </row>
    <row r="913" spans="1:16" hidden="1" x14ac:dyDescent="0.3">
      <c r="A913" t="str">
        <f t="shared" si="88"/>
        <v>2019Matt3</v>
      </c>
      <c r="B913">
        <f t="shared" si="84"/>
        <v>803</v>
      </c>
      <c r="C913">
        <f t="shared" si="85"/>
        <v>777</v>
      </c>
      <c r="D913" t="s">
        <v>30</v>
      </c>
      <c r="E913" t="str">
        <f>D912</f>
        <v>David</v>
      </c>
      <c r="F913">
        <v>2019</v>
      </c>
      <c r="G913">
        <v>3</v>
      </c>
      <c r="H913">
        <v>2.2000000000000002</v>
      </c>
      <c r="I913" s="14">
        <v>97</v>
      </c>
      <c r="J913">
        <f>I913-I912</f>
        <v>8</v>
      </c>
      <c r="K913" t="str">
        <f t="shared" si="86"/>
        <v>W</v>
      </c>
      <c r="L913" t="str">
        <f t="shared" si="87"/>
        <v>Matt</v>
      </c>
      <c r="M913" t="str">
        <f>VLOOKUP(L913,References!$A$2:$B$16,2,FALSE)</f>
        <v>TEXAROK</v>
      </c>
      <c r="N913" s="19" t="str">
        <f>IF(M913=M912,"N","Y")</f>
        <v>N</v>
      </c>
      <c r="O913">
        <f>SUM(I912:I913)</f>
        <v>186</v>
      </c>
      <c r="P913">
        <f t="shared" si="89"/>
        <v>89</v>
      </c>
    </row>
    <row r="914" spans="1:16" hidden="1" x14ac:dyDescent="0.3">
      <c r="A914" t="str">
        <f t="shared" si="88"/>
        <v>2019Brian3</v>
      </c>
      <c r="B914">
        <f t="shared" si="84"/>
        <v>1921</v>
      </c>
      <c r="C914">
        <f t="shared" si="85"/>
        <v>1988</v>
      </c>
      <c r="D914" t="s">
        <v>26</v>
      </c>
      <c r="E914" t="str">
        <f>D915</f>
        <v>BR</v>
      </c>
      <c r="F914">
        <v>2019</v>
      </c>
      <c r="G914">
        <v>3</v>
      </c>
      <c r="H914">
        <v>3.1</v>
      </c>
      <c r="I914" s="14">
        <v>57</v>
      </c>
      <c r="J914">
        <f>I914-I915</f>
        <v>-43</v>
      </c>
      <c r="K914" t="str">
        <f t="shared" si="86"/>
        <v>L</v>
      </c>
      <c r="L914" t="str">
        <f t="shared" si="87"/>
        <v>Brian</v>
      </c>
      <c r="M914" t="str">
        <f>VLOOKUP(L914,References!$A$2:$B$16,2,FALSE)</f>
        <v>TEXAROK</v>
      </c>
      <c r="N914" s="19" t="str">
        <f>IF(M914=M915,"N","Y")</f>
        <v>Y</v>
      </c>
      <c r="O914">
        <f>SUM(I914:I915)</f>
        <v>157</v>
      </c>
      <c r="P914">
        <f t="shared" si="89"/>
        <v>100</v>
      </c>
    </row>
    <row r="915" spans="1:16" hidden="1" x14ac:dyDescent="0.3">
      <c r="A915" t="str">
        <f t="shared" si="88"/>
        <v>2019BR3</v>
      </c>
      <c r="B915">
        <f t="shared" si="84"/>
        <v>161</v>
      </c>
      <c r="C915">
        <f t="shared" si="85"/>
        <v>678</v>
      </c>
      <c r="D915" t="s">
        <v>25</v>
      </c>
      <c r="E915" t="str">
        <f>D914</f>
        <v>Brian</v>
      </c>
      <c r="F915">
        <v>2019</v>
      </c>
      <c r="G915">
        <v>3</v>
      </c>
      <c r="H915">
        <v>3.2</v>
      </c>
      <c r="I915" s="14">
        <v>100</v>
      </c>
      <c r="J915">
        <f>I915-I914</f>
        <v>43</v>
      </c>
      <c r="K915" t="str">
        <f t="shared" si="86"/>
        <v>W</v>
      </c>
      <c r="L915" t="str">
        <f t="shared" si="87"/>
        <v>BR</v>
      </c>
      <c r="M915" t="str">
        <f>VLOOKUP(L915,References!$A$2:$B$16,2,FALSE)</f>
        <v>AKCOVA</v>
      </c>
      <c r="N915" s="19" t="str">
        <f>IF(M915=M914,"N","Y")</f>
        <v>Y</v>
      </c>
      <c r="O915">
        <f>SUM(I914:I915)</f>
        <v>157</v>
      </c>
      <c r="P915">
        <f t="shared" si="89"/>
        <v>57</v>
      </c>
    </row>
    <row r="916" spans="1:16" hidden="1" x14ac:dyDescent="0.3">
      <c r="A916" t="str">
        <f t="shared" si="88"/>
        <v>2019Russell3</v>
      </c>
      <c r="B916">
        <f t="shared" si="84"/>
        <v>1523</v>
      </c>
      <c r="C916">
        <f t="shared" si="85"/>
        <v>777</v>
      </c>
      <c r="D916" t="s">
        <v>28</v>
      </c>
      <c r="E916" t="str">
        <f>D917</f>
        <v>Emily</v>
      </c>
      <c r="F916">
        <v>2019</v>
      </c>
      <c r="G916">
        <v>3</v>
      </c>
      <c r="H916">
        <v>4.0999999999999996</v>
      </c>
      <c r="I916" s="14">
        <v>97</v>
      </c>
      <c r="J916">
        <f>I916-I917</f>
        <v>-19</v>
      </c>
      <c r="K916" t="str">
        <f t="shared" si="86"/>
        <v>L</v>
      </c>
      <c r="L916" t="str">
        <f t="shared" si="87"/>
        <v>Russell</v>
      </c>
      <c r="M916" t="str">
        <f>VLOOKUP(L916,References!$A$2:$B$16,2,FALSE)</f>
        <v>TEXAROK</v>
      </c>
      <c r="N916" s="19" t="str">
        <f>IF(M916=M917,"N","Y")</f>
        <v>N</v>
      </c>
      <c r="O916">
        <f>SUM(I916:I917)</f>
        <v>213</v>
      </c>
      <c r="P916">
        <f t="shared" si="89"/>
        <v>116</v>
      </c>
    </row>
    <row r="917" spans="1:16" hidden="1" x14ac:dyDescent="0.3">
      <c r="A917" t="str">
        <f t="shared" si="88"/>
        <v>2019Emily3</v>
      </c>
      <c r="B917">
        <f t="shared" si="84"/>
        <v>548</v>
      </c>
      <c r="C917">
        <f t="shared" si="85"/>
        <v>292</v>
      </c>
      <c r="D917" t="s">
        <v>43</v>
      </c>
      <c r="E917" t="str">
        <f>D916</f>
        <v>Russell</v>
      </c>
      <c r="F917">
        <v>2019</v>
      </c>
      <c r="G917">
        <v>3</v>
      </c>
      <c r="H917">
        <v>4.2</v>
      </c>
      <c r="I917" s="14">
        <v>116</v>
      </c>
      <c r="J917">
        <f>I917-I916</f>
        <v>19</v>
      </c>
      <c r="K917" t="str">
        <f t="shared" si="86"/>
        <v>W</v>
      </c>
      <c r="L917" t="str">
        <f t="shared" si="87"/>
        <v>Emily</v>
      </c>
      <c r="M917" t="str">
        <f>VLOOKUP(L917,References!$A$2:$B$16,2,FALSE)</f>
        <v>TEXAROK</v>
      </c>
      <c r="N917" s="19" t="str">
        <f>IF(M917=M916,"N","Y")</f>
        <v>N</v>
      </c>
      <c r="O917">
        <f>SUM(I916:I917)</f>
        <v>213</v>
      </c>
      <c r="P917">
        <f t="shared" si="89"/>
        <v>97</v>
      </c>
    </row>
    <row r="918" spans="1:16" hidden="1" x14ac:dyDescent="0.3">
      <c r="A918" t="str">
        <f t="shared" si="88"/>
        <v>2019Abby3</v>
      </c>
      <c r="B918">
        <f t="shared" si="84"/>
        <v>1738</v>
      </c>
      <c r="C918">
        <f t="shared" si="85"/>
        <v>1684</v>
      </c>
      <c r="D918" t="s">
        <v>27</v>
      </c>
      <c r="E918" t="str">
        <f>D919</f>
        <v>Charles</v>
      </c>
      <c r="F918">
        <v>2019</v>
      </c>
      <c r="G918">
        <v>3</v>
      </c>
      <c r="H918">
        <v>5.0999999999999996</v>
      </c>
      <c r="I918" s="14">
        <v>72</v>
      </c>
      <c r="J918">
        <f>I918-I919</f>
        <v>-29</v>
      </c>
      <c r="K918" t="str">
        <f t="shared" si="86"/>
        <v>L</v>
      </c>
      <c r="L918" t="str">
        <f t="shared" si="87"/>
        <v>Abby</v>
      </c>
      <c r="M918" t="str">
        <f>VLOOKUP(L918,References!$A$2:$B$16,2,FALSE)</f>
        <v>AKCOVA</v>
      </c>
      <c r="N918" s="19" t="str">
        <f>IF(M918=M919,"N","Y")</f>
        <v>N</v>
      </c>
      <c r="O918">
        <f>SUM(I918:I919)</f>
        <v>173</v>
      </c>
      <c r="P918">
        <f t="shared" si="89"/>
        <v>101</v>
      </c>
    </row>
    <row r="919" spans="1:16" hidden="1" x14ac:dyDescent="0.3">
      <c r="A919" t="str">
        <f t="shared" si="88"/>
        <v>2019Charles3</v>
      </c>
      <c r="B919">
        <f t="shared" si="84"/>
        <v>341</v>
      </c>
      <c r="C919">
        <f t="shared" si="85"/>
        <v>652</v>
      </c>
      <c r="D919" t="s">
        <v>48</v>
      </c>
      <c r="E919" t="str">
        <f>D918</f>
        <v>Abby</v>
      </c>
      <c r="F919">
        <v>2019</v>
      </c>
      <c r="G919">
        <v>3</v>
      </c>
      <c r="H919">
        <v>5.2</v>
      </c>
      <c r="I919" s="14">
        <v>101</v>
      </c>
      <c r="J919">
        <f>I919-I918</f>
        <v>29</v>
      </c>
      <c r="K919" t="str">
        <f t="shared" si="86"/>
        <v>W</v>
      </c>
      <c r="L919" t="str">
        <f t="shared" si="87"/>
        <v>Charles</v>
      </c>
      <c r="M919" t="str">
        <f>VLOOKUP(L919,References!$A$2:$B$16,2,FALSE)</f>
        <v>AKCOVA</v>
      </c>
      <c r="N919" s="19" t="str">
        <f>IF(M919=M918,"N","Y")</f>
        <v>N</v>
      </c>
      <c r="O919">
        <f>SUM(I918:I919)</f>
        <v>173</v>
      </c>
      <c r="P919">
        <f t="shared" si="89"/>
        <v>72</v>
      </c>
    </row>
    <row r="920" spans="1:16" hidden="1" x14ac:dyDescent="0.3">
      <c r="A920" t="str">
        <f t="shared" si="88"/>
        <v>2019Watty3</v>
      </c>
      <c r="B920">
        <f t="shared" si="84"/>
        <v>619</v>
      </c>
      <c r="C920">
        <f t="shared" si="85"/>
        <v>227</v>
      </c>
      <c r="D920" t="s">
        <v>24</v>
      </c>
      <c r="E920" t="str">
        <f>D921</f>
        <v>Mark</v>
      </c>
      <c r="F920">
        <v>2019</v>
      </c>
      <c r="G920">
        <v>3</v>
      </c>
      <c r="H920">
        <v>6.1</v>
      </c>
      <c r="I920" s="14">
        <v>120</v>
      </c>
      <c r="J920">
        <f>I920-I921</f>
        <v>16</v>
      </c>
      <c r="K920" t="str">
        <f t="shared" si="86"/>
        <v>W</v>
      </c>
      <c r="L920" t="str">
        <f t="shared" si="87"/>
        <v>Watty</v>
      </c>
      <c r="M920" t="str">
        <f>VLOOKUP(L920,References!$A$2:$B$16,2,FALSE)</f>
        <v>AKCOVA</v>
      </c>
      <c r="N920" s="19" t="str">
        <f>IF(M920=M921,"N","Y")</f>
        <v>N</v>
      </c>
      <c r="O920">
        <f>SUM(I920:I921)</f>
        <v>224</v>
      </c>
      <c r="P920">
        <f t="shared" si="89"/>
        <v>104</v>
      </c>
    </row>
    <row r="921" spans="1:16" hidden="1" x14ac:dyDescent="0.3">
      <c r="A921" t="str">
        <f t="shared" si="88"/>
        <v>2019Mark3</v>
      </c>
      <c r="B921">
        <f t="shared" si="84"/>
        <v>1455</v>
      </c>
      <c r="C921">
        <f t="shared" si="85"/>
        <v>566</v>
      </c>
      <c r="D921" t="s">
        <v>22</v>
      </c>
      <c r="E921" t="str">
        <f>D920</f>
        <v>Watty</v>
      </c>
      <c r="F921">
        <v>2019</v>
      </c>
      <c r="G921">
        <v>3</v>
      </c>
      <c r="H921">
        <v>6.2</v>
      </c>
      <c r="I921" s="14">
        <v>104</v>
      </c>
      <c r="J921">
        <f>I921-I920</f>
        <v>-16</v>
      </c>
      <c r="K921" t="str">
        <f t="shared" si="86"/>
        <v>L</v>
      </c>
      <c r="L921" t="str">
        <f t="shared" si="87"/>
        <v>Mark</v>
      </c>
      <c r="M921" t="str">
        <f>VLOOKUP(L921,References!$A$2:$B$16,2,FALSE)</f>
        <v>AKCOVA</v>
      </c>
      <c r="N921" s="19" t="str">
        <f>IF(M921=M920,"N","Y")</f>
        <v>N</v>
      </c>
      <c r="O921">
        <f>SUM(I920:I921)</f>
        <v>224</v>
      </c>
      <c r="P921">
        <f t="shared" si="89"/>
        <v>120</v>
      </c>
    </row>
    <row r="922" spans="1:16" hidden="1" x14ac:dyDescent="0.3">
      <c r="A922" t="str">
        <f t="shared" si="88"/>
        <v>2019Russell4</v>
      </c>
      <c r="B922">
        <f t="shared" si="84"/>
        <v>1661</v>
      </c>
      <c r="C922">
        <f t="shared" si="85"/>
        <v>2074</v>
      </c>
      <c r="D922" t="s">
        <v>28</v>
      </c>
      <c r="E922" t="str">
        <f>D923</f>
        <v>Michael</v>
      </c>
      <c r="F922">
        <v>2019</v>
      </c>
      <c r="G922">
        <v>4</v>
      </c>
      <c r="H922">
        <v>1.1000000000000001</v>
      </c>
      <c r="I922" s="14">
        <v>45</v>
      </c>
      <c r="J922">
        <f>I922-I923</f>
        <v>-25</v>
      </c>
      <c r="K922" t="str">
        <f t="shared" si="86"/>
        <v>L</v>
      </c>
      <c r="L922" t="str">
        <f t="shared" si="87"/>
        <v>Russell</v>
      </c>
      <c r="M922" t="str">
        <f>VLOOKUP(L922,References!$A$2:$B$16,2,FALSE)</f>
        <v>TEXAROK</v>
      </c>
      <c r="N922" s="19" t="str">
        <f>IF(M922=M923,"N","Y")</f>
        <v>Y</v>
      </c>
      <c r="O922">
        <f>SUM(I922:I923)</f>
        <v>115</v>
      </c>
      <c r="P922">
        <f t="shared" si="89"/>
        <v>70</v>
      </c>
    </row>
    <row r="923" spans="1:16" x14ac:dyDescent="0.3">
      <c r="A923" t="str">
        <f t="shared" si="88"/>
        <v>2019Michael4</v>
      </c>
      <c r="B923">
        <f t="shared" si="84"/>
        <v>410</v>
      </c>
      <c r="C923">
        <f t="shared" si="85"/>
        <v>1738</v>
      </c>
      <c r="D923" t="s">
        <v>23</v>
      </c>
      <c r="E923" t="str">
        <f>D922</f>
        <v>Russell</v>
      </c>
      <c r="F923">
        <v>2019</v>
      </c>
      <c r="G923">
        <v>4</v>
      </c>
      <c r="H923">
        <v>1.2</v>
      </c>
      <c r="I923" s="14">
        <v>70</v>
      </c>
      <c r="J923">
        <f>I923-I922</f>
        <v>25</v>
      </c>
      <c r="K923" t="str">
        <f t="shared" si="86"/>
        <v>W</v>
      </c>
      <c r="L923" t="str">
        <f t="shared" si="87"/>
        <v>Michael</v>
      </c>
      <c r="M923" t="str">
        <f>VLOOKUP(L923,References!$A$2:$B$16,2,FALSE)</f>
        <v>AKCOVA</v>
      </c>
      <c r="N923" s="19" t="str">
        <f>IF(M923=M922,"N","Y")</f>
        <v>Y</v>
      </c>
      <c r="O923">
        <f>SUM(I922:I923)</f>
        <v>115</v>
      </c>
      <c r="P923">
        <f t="shared" si="89"/>
        <v>45</v>
      </c>
    </row>
    <row r="924" spans="1:16" hidden="1" x14ac:dyDescent="0.3">
      <c r="A924" t="str">
        <f t="shared" si="88"/>
        <v>2019Emily4</v>
      </c>
      <c r="B924">
        <f t="shared" si="84"/>
        <v>85</v>
      </c>
      <c r="C924">
        <f t="shared" si="85"/>
        <v>211</v>
      </c>
      <c r="D924" t="s">
        <v>43</v>
      </c>
      <c r="E924" t="str">
        <f>D925</f>
        <v>Matt</v>
      </c>
      <c r="F924">
        <v>2019</v>
      </c>
      <c r="G924">
        <v>4</v>
      </c>
      <c r="H924">
        <v>2.1</v>
      </c>
      <c r="I924" s="14">
        <v>121</v>
      </c>
      <c r="J924">
        <f>I924-I925</f>
        <v>54</v>
      </c>
      <c r="K924" t="str">
        <f t="shared" si="86"/>
        <v>W</v>
      </c>
      <c r="L924" t="str">
        <f t="shared" si="87"/>
        <v>Emily</v>
      </c>
      <c r="M924" t="str">
        <f>VLOOKUP(L924,References!$A$2:$B$16,2,FALSE)</f>
        <v>TEXAROK</v>
      </c>
      <c r="N924" s="19" t="str">
        <f>IF(M924=M925,"N","Y")</f>
        <v>N</v>
      </c>
      <c r="O924">
        <f>SUM(I924:I925)</f>
        <v>188</v>
      </c>
      <c r="P924">
        <f t="shared" si="89"/>
        <v>67</v>
      </c>
    </row>
    <row r="925" spans="1:16" hidden="1" x14ac:dyDescent="0.3">
      <c r="A925" t="str">
        <f t="shared" si="88"/>
        <v>2019Matt4</v>
      </c>
      <c r="B925">
        <f t="shared" si="84"/>
        <v>2005</v>
      </c>
      <c r="C925">
        <f t="shared" si="85"/>
        <v>1815</v>
      </c>
      <c r="D925" t="s">
        <v>30</v>
      </c>
      <c r="E925" t="str">
        <f>D924</f>
        <v>Emily</v>
      </c>
      <c r="F925">
        <v>2019</v>
      </c>
      <c r="G925">
        <v>4</v>
      </c>
      <c r="H925">
        <v>2.2000000000000002</v>
      </c>
      <c r="I925" s="14">
        <v>67</v>
      </c>
      <c r="J925">
        <f>I925-I924</f>
        <v>-54</v>
      </c>
      <c r="K925" t="str">
        <f t="shared" si="86"/>
        <v>L</v>
      </c>
      <c r="L925" t="str">
        <f t="shared" si="87"/>
        <v>Matt</v>
      </c>
      <c r="M925" t="str">
        <f>VLOOKUP(L925,References!$A$2:$B$16,2,FALSE)</f>
        <v>TEXAROK</v>
      </c>
      <c r="N925" s="19" t="str">
        <f>IF(M925=M924,"N","Y")</f>
        <v>N</v>
      </c>
      <c r="O925">
        <f>SUM(I924:I925)</f>
        <v>188</v>
      </c>
      <c r="P925">
        <f t="shared" si="89"/>
        <v>121</v>
      </c>
    </row>
    <row r="926" spans="1:16" hidden="1" x14ac:dyDescent="0.3">
      <c r="A926" t="str">
        <f t="shared" si="88"/>
        <v>2019Charles4</v>
      </c>
      <c r="B926">
        <f t="shared" si="84"/>
        <v>1810</v>
      </c>
      <c r="C926">
        <f t="shared" si="85"/>
        <v>1738</v>
      </c>
      <c r="D926" t="s">
        <v>48</v>
      </c>
      <c r="E926" t="str">
        <f>D927</f>
        <v>Watty</v>
      </c>
      <c r="F926">
        <v>2019</v>
      </c>
      <c r="G926">
        <v>4</v>
      </c>
      <c r="H926">
        <v>3.1</v>
      </c>
      <c r="I926" s="14">
        <v>70</v>
      </c>
      <c r="J926">
        <f>I926-I927</f>
        <v>-33</v>
      </c>
      <c r="K926" t="str">
        <f t="shared" si="86"/>
        <v>L</v>
      </c>
      <c r="L926" t="str">
        <f t="shared" si="87"/>
        <v>Charles</v>
      </c>
      <c r="M926" t="str">
        <f>VLOOKUP(L926,References!$A$2:$B$16,2,FALSE)</f>
        <v>AKCOVA</v>
      </c>
      <c r="N926" s="19" t="str">
        <f>IF(M926=M927,"N","Y")</f>
        <v>N</v>
      </c>
      <c r="O926">
        <f>SUM(I926:I927)</f>
        <v>173</v>
      </c>
      <c r="P926">
        <f t="shared" si="89"/>
        <v>103</v>
      </c>
    </row>
    <row r="927" spans="1:16" hidden="1" x14ac:dyDescent="0.3">
      <c r="A927" t="str">
        <f t="shared" si="88"/>
        <v>2019Watty4</v>
      </c>
      <c r="B927">
        <f t="shared" si="84"/>
        <v>270</v>
      </c>
      <c r="C927">
        <f t="shared" si="85"/>
        <v>603</v>
      </c>
      <c r="D927" t="s">
        <v>24</v>
      </c>
      <c r="E927" t="str">
        <f>D926</f>
        <v>Charles</v>
      </c>
      <c r="F927">
        <v>2019</v>
      </c>
      <c r="G927">
        <v>4</v>
      </c>
      <c r="H927">
        <v>3.2</v>
      </c>
      <c r="I927" s="14">
        <v>103</v>
      </c>
      <c r="J927">
        <f>I927-I926</f>
        <v>33</v>
      </c>
      <c r="K927" t="str">
        <f t="shared" si="86"/>
        <v>W</v>
      </c>
      <c r="L927" t="str">
        <f t="shared" si="87"/>
        <v>Watty</v>
      </c>
      <c r="M927" t="str">
        <f>VLOOKUP(L927,References!$A$2:$B$16,2,FALSE)</f>
        <v>AKCOVA</v>
      </c>
      <c r="N927" s="19" t="str">
        <f>IF(M927=M926,"N","Y")</f>
        <v>N</v>
      </c>
      <c r="O927">
        <f>SUM(I926:I927)</f>
        <v>173</v>
      </c>
      <c r="P927">
        <f t="shared" si="89"/>
        <v>70</v>
      </c>
    </row>
    <row r="928" spans="1:16" hidden="1" x14ac:dyDescent="0.3">
      <c r="A928" t="str">
        <f t="shared" si="88"/>
        <v>2019Brent4</v>
      </c>
      <c r="B928">
        <f t="shared" si="84"/>
        <v>1775</v>
      </c>
      <c r="C928">
        <f t="shared" si="85"/>
        <v>1439</v>
      </c>
      <c r="D928" t="s">
        <v>47</v>
      </c>
      <c r="E928" t="str">
        <f>D929</f>
        <v>David</v>
      </c>
      <c r="F928">
        <v>2019</v>
      </c>
      <c r="G928">
        <v>4</v>
      </c>
      <c r="H928">
        <v>4.0999999999999996</v>
      </c>
      <c r="I928" s="14">
        <v>79</v>
      </c>
      <c r="J928">
        <f>I928-I929</f>
        <v>-31</v>
      </c>
      <c r="K928" t="str">
        <f t="shared" si="86"/>
        <v>L</v>
      </c>
      <c r="L928" t="str">
        <f t="shared" si="87"/>
        <v>Brent</v>
      </c>
      <c r="M928" t="str">
        <f>VLOOKUP(L928,References!$A$2:$B$16,2,FALSE)</f>
        <v>TEXAROK</v>
      </c>
      <c r="N928" s="19" t="str">
        <f>IF(M928=M929,"N","Y")</f>
        <v>N</v>
      </c>
      <c r="O928">
        <f>SUM(I928:I929)</f>
        <v>189</v>
      </c>
      <c r="P928">
        <f t="shared" si="89"/>
        <v>110</v>
      </c>
    </row>
    <row r="929" spans="1:16" hidden="1" x14ac:dyDescent="0.3">
      <c r="A929" t="str">
        <f t="shared" si="88"/>
        <v>2019David4</v>
      </c>
      <c r="B929">
        <f t="shared" si="84"/>
        <v>297</v>
      </c>
      <c r="C929">
        <f t="shared" si="85"/>
        <v>412</v>
      </c>
      <c r="D929" t="s">
        <v>29</v>
      </c>
      <c r="E929" t="str">
        <f>D928</f>
        <v>Brent</v>
      </c>
      <c r="F929">
        <v>2019</v>
      </c>
      <c r="G929">
        <v>4</v>
      </c>
      <c r="H929">
        <v>4.2</v>
      </c>
      <c r="I929" s="14">
        <v>110</v>
      </c>
      <c r="J929">
        <f>I929-I928</f>
        <v>31</v>
      </c>
      <c r="K929" t="str">
        <f t="shared" si="86"/>
        <v>W</v>
      </c>
      <c r="L929" t="str">
        <f t="shared" si="87"/>
        <v>David</v>
      </c>
      <c r="M929" t="str">
        <f>VLOOKUP(L929,References!$A$2:$B$16,2,FALSE)</f>
        <v>TEXAROK</v>
      </c>
      <c r="N929" s="19" t="str">
        <f>IF(M929=M928,"N","Y")</f>
        <v>N</v>
      </c>
      <c r="O929">
        <f>SUM(I928:I929)</f>
        <v>189</v>
      </c>
      <c r="P929">
        <f t="shared" si="89"/>
        <v>79</v>
      </c>
    </row>
    <row r="930" spans="1:16" hidden="1" x14ac:dyDescent="0.3">
      <c r="A930" t="str">
        <f t="shared" si="88"/>
        <v>2019Brian4</v>
      </c>
      <c r="B930">
        <f t="shared" si="84"/>
        <v>1605</v>
      </c>
      <c r="C930">
        <f t="shared" si="85"/>
        <v>1867</v>
      </c>
      <c r="D930" t="s">
        <v>26</v>
      </c>
      <c r="E930" t="str">
        <f>D931</f>
        <v>Abby</v>
      </c>
      <c r="F930">
        <v>2019</v>
      </c>
      <c r="G930">
        <v>4</v>
      </c>
      <c r="H930">
        <v>5.0999999999999996</v>
      </c>
      <c r="I930" s="14">
        <v>64</v>
      </c>
      <c r="J930">
        <f>I930-I931</f>
        <v>-22</v>
      </c>
      <c r="K930" t="str">
        <f t="shared" si="86"/>
        <v>L</v>
      </c>
      <c r="L930" t="str">
        <f t="shared" si="87"/>
        <v>Brian</v>
      </c>
      <c r="M930" t="str">
        <f>VLOOKUP(L930,References!$A$2:$B$16,2,FALSE)</f>
        <v>TEXAROK</v>
      </c>
      <c r="N930" s="19" t="str">
        <f>IF(M930=M931,"N","Y")</f>
        <v>Y</v>
      </c>
      <c r="O930">
        <f>SUM(I930:I931)</f>
        <v>150</v>
      </c>
      <c r="P930">
        <f t="shared" si="89"/>
        <v>86</v>
      </c>
    </row>
    <row r="931" spans="1:16" hidden="1" x14ac:dyDescent="0.3">
      <c r="A931" t="str">
        <f t="shared" si="88"/>
        <v>2019Abby4</v>
      </c>
      <c r="B931">
        <f t="shared" si="84"/>
        <v>469</v>
      </c>
      <c r="C931">
        <f t="shared" si="85"/>
        <v>1173</v>
      </c>
      <c r="D931" t="s">
        <v>27</v>
      </c>
      <c r="E931" t="str">
        <f>D930</f>
        <v>Brian</v>
      </c>
      <c r="F931">
        <v>2019</v>
      </c>
      <c r="G931">
        <v>4</v>
      </c>
      <c r="H931">
        <v>5.2</v>
      </c>
      <c r="I931" s="14">
        <v>86</v>
      </c>
      <c r="J931">
        <f>I931-I930</f>
        <v>22</v>
      </c>
      <c r="K931" t="str">
        <f t="shared" si="86"/>
        <v>W</v>
      </c>
      <c r="L931" t="str">
        <f t="shared" si="87"/>
        <v>Abby</v>
      </c>
      <c r="M931" t="str">
        <f>VLOOKUP(L931,References!$A$2:$B$16,2,FALSE)</f>
        <v>AKCOVA</v>
      </c>
      <c r="N931" s="19" t="str">
        <f>IF(M931=M930,"N","Y")</f>
        <v>Y</v>
      </c>
      <c r="O931">
        <f>SUM(I930:I931)</f>
        <v>150</v>
      </c>
      <c r="P931">
        <f t="shared" si="89"/>
        <v>64</v>
      </c>
    </row>
    <row r="932" spans="1:16" hidden="1" x14ac:dyDescent="0.3">
      <c r="A932" t="str">
        <f t="shared" si="88"/>
        <v>2019BR4</v>
      </c>
      <c r="B932">
        <f t="shared" si="84"/>
        <v>1055</v>
      </c>
      <c r="C932">
        <f t="shared" si="85"/>
        <v>1143</v>
      </c>
      <c r="D932" t="s">
        <v>25</v>
      </c>
      <c r="E932" t="str">
        <f>D933</f>
        <v>Mark</v>
      </c>
      <c r="F932">
        <v>2019</v>
      </c>
      <c r="G932">
        <v>4</v>
      </c>
      <c r="H932">
        <v>6.1</v>
      </c>
      <c r="I932" s="14">
        <v>87</v>
      </c>
      <c r="J932">
        <f>I932-I933</f>
        <v>-1</v>
      </c>
      <c r="K932" t="str">
        <f t="shared" si="86"/>
        <v>L</v>
      </c>
      <c r="L932" t="str">
        <f t="shared" si="87"/>
        <v>BR</v>
      </c>
      <c r="M932" t="str">
        <f>VLOOKUP(L932,References!$A$2:$B$16,2,FALSE)</f>
        <v>AKCOVA</v>
      </c>
      <c r="N932" s="19" t="str">
        <f>IF(M932=M933,"N","Y")</f>
        <v>N</v>
      </c>
      <c r="O932">
        <f>SUM(I932:I933)</f>
        <v>175</v>
      </c>
      <c r="P932">
        <f t="shared" si="89"/>
        <v>88</v>
      </c>
    </row>
    <row r="933" spans="1:16" hidden="1" x14ac:dyDescent="0.3">
      <c r="A933" t="str">
        <f t="shared" si="88"/>
        <v>2019Mark4</v>
      </c>
      <c r="B933">
        <f t="shared" si="84"/>
        <v>1004</v>
      </c>
      <c r="C933">
        <f t="shared" si="85"/>
        <v>1100</v>
      </c>
      <c r="D933" t="s">
        <v>22</v>
      </c>
      <c r="E933" t="str">
        <f>D932</f>
        <v>BR</v>
      </c>
      <c r="F933">
        <v>2019</v>
      </c>
      <c r="G933">
        <v>4</v>
      </c>
      <c r="H933">
        <v>6.2</v>
      </c>
      <c r="I933" s="14">
        <v>88</v>
      </c>
      <c r="J933">
        <f>I933-I932</f>
        <v>1</v>
      </c>
      <c r="K933" t="str">
        <f t="shared" si="86"/>
        <v>W</v>
      </c>
      <c r="L933" t="str">
        <f t="shared" si="87"/>
        <v>Mark</v>
      </c>
      <c r="M933" t="str">
        <f>VLOOKUP(L933,References!$A$2:$B$16,2,FALSE)</f>
        <v>AKCOVA</v>
      </c>
      <c r="N933" s="19" t="str">
        <f>IF(M933=M932,"N","Y")</f>
        <v>N</v>
      </c>
      <c r="O933">
        <f>SUM(I932:I933)</f>
        <v>175</v>
      </c>
      <c r="P933">
        <f t="shared" si="89"/>
        <v>87</v>
      </c>
    </row>
    <row r="934" spans="1:16" hidden="1" x14ac:dyDescent="0.3">
      <c r="A934" t="str">
        <f t="shared" si="88"/>
        <v>2019Michael5</v>
      </c>
      <c r="B934">
        <f t="shared" si="84"/>
        <v>2090</v>
      </c>
      <c r="C934">
        <f t="shared" si="85"/>
        <v>1885</v>
      </c>
      <c r="D934" t="s">
        <v>23</v>
      </c>
      <c r="E934" t="str">
        <f>D935</f>
        <v>David</v>
      </c>
      <c r="F934">
        <v>2019</v>
      </c>
      <c r="G934">
        <v>5</v>
      </c>
      <c r="H934">
        <v>1.1000000000000001</v>
      </c>
      <c r="I934" s="14">
        <v>63</v>
      </c>
      <c r="J934">
        <f>I934-I935</f>
        <v>-90</v>
      </c>
      <c r="K934" t="str">
        <f t="shared" si="86"/>
        <v>L</v>
      </c>
      <c r="L934" t="str">
        <f t="shared" si="87"/>
        <v>Michael</v>
      </c>
      <c r="M934" t="str">
        <f>VLOOKUP(L934,References!$A$2:$B$16,2,FALSE)</f>
        <v>AKCOVA</v>
      </c>
      <c r="N934" s="19" t="str">
        <f>IF(M934=M935,"N","Y")</f>
        <v>Y</v>
      </c>
      <c r="O934">
        <f>SUM(I934:I935)</f>
        <v>216</v>
      </c>
      <c r="P934">
        <f t="shared" si="89"/>
        <v>153</v>
      </c>
    </row>
    <row r="935" spans="1:16" hidden="1" x14ac:dyDescent="0.3">
      <c r="A935" t="str">
        <f t="shared" si="88"/>
        <v>2019David5</v>
      </c>
      <c r="B935">
        <f t="shared" si="84"/>
        <v>3</v>
      </c>
      <c r="C935">
        <f t="shared" si="85"/>
        <v>19</v>
      </c>
      <c r="D935" t="s">
        <v>29</v>
      </c>
      <c r="E935" t="str">
        <f>D934</f>
        <v>Michael</v>
      </c>
      <c r="F935">
        <v>2019</v>
      </c>
      <c r="G935">
        <v>5</v>
      </c>
      <c r="H935">
        <v>1.2</v>
      </c>
      <c r="I935" s="14">
        <v>153</v>
      </c>
      <c r="J935">
        <f>I935-I934</f>
        <v>90</v>
      </c>
      <c r="K935" t="str">
        <f t="shared" si="86"/>
        <v>W</v>
      </c>
      <c r="L935" t="str">
        <f t="shared" si="87"/>
        <v>David</v>
      </c>
      <c r="M935" t="str">
        <f>VLOOKUP(L935,References!$A$2:$B$16,2,FALSE)</f>
        <v>TEXAROK</v>
      </c>
      <c r="N935" s="19" t="str">
        <f>IF(M935=M934,"N","Y")</f>
        <v>Y</v>
      </c>
      <c r="O935">
        <f>SUM(I934:I935)</f>
        <v>216</v>
      </c>
      <c r="P935">
        <f t="shared" si="89"/>
        <v>63</v>
      </c>
    </row>
    <row r="936" spans="1:16" hidden="1" x14ac:dyDescent="0.3">
      <c r="A936" t="str">
        <f t="shared" si="88"/>
        <v>2019Emily5</v>
      </c>
      <c r="B936">
        <f t="shared" si="84"/>
        <v>2067</v>
      </c>
      <c r="C936">
        <f t="shared" si="85"/>
        <v>926</v>
      </c>
      <c r="D936" t="s">
        <v>43</v>
      </c>
      <c r="E936" t="str">
        <f>D937</f>
        <v>Brent</v>
      </c>
      <c r="F936">
        <v>2019</v>
      </c>
      <c r="G936">
        <v>5</v>
      </c>
      <c r="H936">
        <v>2.1</v>
      </c>
      <c r="I936" s="14">
        <v>93</v>
      </c>
      <c r="J936">
        <f>I936-I937</f>
        <v>-68</v>
      </c>
      <c r="K936" t="str">
        <f t="shared" si="86"/>
        <v>L</v>
      </c>
      <c r="L936" t="str">
        <f t="shared" si="87"/>
        <v>Emily</v>
      </c>
      <c r="M936" t="str">
        <f>VLOOKUP(L936,References!$A$2:$B$16,2,FALSE)</f>
        <v>TEXAROK</v>
      </c>
      <c r="N936" s="19" t="str">
        <f>IF(M936=M937,"N","Y")</f>
        <v>N</v>
      </c>
      <c r="O936">
        <f>SUM(I936:I937)</f>
        <v>254</v>
      </c>
      <c r="P936">
        <f t="shared" si="89"/>
        <v>161</v>
      </c>
    </row>
    <row r="937" spans="1:16" hidden="1" x14ac:dyDescent="0.3">
      <c r="A937" t="str">
        <f t="shared" si="88"/>
        <v>2019Brent5</v>
      </c>
      <c r="B937">
        <f t="shared" si="84"/>
        <v>24</v>
      </c>
      <c r="C937">
        <f t="shared" si="85"/>
        <v>9</v>
      </c>
      <c r="D937" t="s">
        <v>47</v>
      </c>
      <c r="E937" t="str">
        <f>D936</f>
        <v>Emily</v>
      </c>
      <c r="F937">
        <v>2019</v>
      </c>
      <c r="G937">
        <v>5</v>
      </c>
      <c r="H937">
        <v>2.2000000000000002</v>
      </c>
      <c r="I937" s="36">
        <v>161</v>
      </c>
      <c r="J937">
        <f>I937-I936</f>
        <v>68</v>
      </c>
      <c r="K937" t="str">
        <f t="shared" si="86"/>
        <v>W</v>
      </c>
      <c r="L937" t="str">
        <f t="shared" si="87"/>
        <v>Brent</v>
      </c>
      <c r="M937" t="str">
        <f>VLOOKUP(L937,References!$A$2:$B$16,2,FALSE)</f>
        <v>TEXAROK</v>
      </c>
      <c r="N937" s="19" t="str">
        <f>IF(M937=M936,"N","Y")</f>
        <v>N</v>
      </c>
      <c r="O937">
        <f>SUM(I936:I937)</f>
        <v>254</v>
      </c>
      <c r="P937">
        <f t="shared" si="89"/>
        <v>93</v>
      </c>
    </row>
    <row r="938" spans="1:16" hidden="1" x14ac:dyDescent="0.3">
      <c r="A938" t="str">
        <f t="shared" si="88"/>
        <v>2019Mark5</v>
      </c>
      <c r="B938">
        <f t="shared" si="84"/>
        <v>836</v>
      </c>
      <c r="C938">
        <f t="shared" si="85"/>
        <v>1549</v>
      </c>
      <c r="D938" t="s">
        <v>22</v>
      </c>
      <c r="E938" t="str">
        <f>D939</f>
        <v>Brian</v>
      </c>
      <c r="F938">
        <v>2019</v>
      </c>
      <c r="G938">
        <v>5</v>
      </c>
      <c r="H938">
        <v>3.1</v>
      </c>
      <c r="I938" s="14">
        <v>76</v>
      </c>
      <c r="J938">
        <f>I938-I939</f>
        <v>7</v>
      </c>
      <c r="K938" t="str">
        <f t="shared" si="86"/>
        <v>W</v>
      </c>
      <c r="L938" t="str">
        <f t="shared" si="87"/>
        <v>Mark</v>
      </c>
      <c r="M938" t="str">
        <f>VLOOKUP(L938,References!$A$2:$B$16,2,FALSE)</f>
        <v>AKCOVA</v>
      </c>
      <c r="N938" s="19" t="str">
        <f>IF(M938=M939,"N","Y")</f>
        <v>Y</v>
      </c>
      <c r="O938">
        <f>SUM(I938:I939)</f>
        <v>145</v>
      </c>
      <c r="P938">
        <f t="shared" si="89"/>
        <v>69</v>
      </c>
    </row>
    <row r="939" spans="1:16" hidden="1" x14ac:dyDescent="0.3">
      <c r="A939" t="str">
        <f t="shared" si="88"/>
        <v>2019Brian5</v>
      </c>
      <c r="B939">
        <f t="shared" si="84"/>
        <v>1229</v>
      </c>
      <c r="C939">
        <f t="shared" si="85"/>
        <v>1767</v>
      </c>
      <c r="D939" t="s">
        <v>26</v>
      </c>
      <c r="E939" t="str">
        <f>D938</f>
        <v>Mark</v>
      </c>
      <c r="F939">
        <v>2019</v>
      </c>
      <c r="G939">
        <v>5</v>
      </c>
      <c r="H939">
        <v>3.2</v>
      </c>
      <c r="I939" s="14">
        <v>69</v>
      </c>
      <c r="J939">
        <f>I939-I938</f>
        <v>-7</v>
      </c>
      <c r="K939" t="str">
        <f t="shared" si="86"/>
        <v>L</v>
      </c>
      <c r="L939" t="str">
        <f t="shared" si="87"/>
        <v>Brian</v>
      </c>
      <c r="M939" t="str">
        <f>VLOOKUP(L939,References!$A$2:$B$16,2,FALSE)</f>
        <v>TEXAROK</v>
      </c>
      <c r="N939" s="19" t="str">
        <f>IF(M939=M938,"N","Y")</f>
        <v>Y</v>
      </c>
      <c r="O939">
        <f>SUM(I938:I939)</f>
        <v>145</v>
      </c>
      <c r="P939">
        <f t="shared" si="89"/>
        <v>76</v>
      </c>
    </row>
    <row r="940" spans="1:16" hidden="1" x14ac:dyDescent="0.3">
      <c r="A940" t="str">
        <f t="shared" si="88"/>
        <v>2019Matt5</v>
      </c>
      <c r="B940">
        <f t="shared" si="84"/>
        <v>949</v>
      </c>
      <c r="C940">
        <f t="shared" si="85"/>
        <v>1282</v>
      </c>
      <c r="D940" t="s">
        <v>30</v>
      </c>
      <c r="E940" t="str">
        <f>D941</f>
        <v>Russell</v>
      </c>
      <c r="F940">
        <v>2019</v>
      </c>
      <c r="G940">
        <v>5</v>
      </c>
      <c r="H940">
        <v>4.0999999999999996</v>
      </c>
      <c r="I940" s="14">
        <v>83</v>
      </c>
      <c r="J940">
        <f>I940-I941</f>
        <v>3</v>
      </c>
      <c r="K940" t="str">
        <f t="shared" si="86"/>
        <v>W</v>
      </c>
      <c r="L940" t="str">
        <f t="shared" si="87"/>
        <v>Matt</v>
      </c>
      <c r="M940" t="str">
        <f>VLOOKUP(L940,References!$A$2:$B$16,2,FALSE)</f>
        <v>TEXAROK</v>
      </c>
      <c r="N940" s="19" t="str">
        <f>IF(M940=M941,"N","Y")</f>
        <v>N</v>
      </c>
      <c r="O940">
        <f>SUM(I940:I941)</f>
        <v>163</v>
      </c>
      <c r="P940">
        <f t="shared" si="89"/>
        <v>80</v>
      </c>
    </row>
    <row r="941" spans="1:16" hidden="1" x14ac:dyDescent="0.3">
      <c r="A941" t="str">
        <f t="shared" si="88"/>
        <v>2019Russell5</v>
      </c>
      <c r="B941">
        <f t="shared" si="84"/>
        <v>1117</v>
      </c>
      <c r="C941">
        <f t="shared" si="85"/>
        <v>1406</v>
      </c>
      <c r="D941" t="s">
        <v>28</v>
      </c>
      <c r="E941" t="str">
        <f>D940</f>
        <v>Matt</v>
      </c>
      <c r="F941">
        <v>2019</v>
      </c>
      <c r="G941">
        <v>5</v>
      </c>
      <c r="H941">
        <v>4.2</v>
      </c>
      <c r="I941" s="14">
        <v>80</v>
      </c>
      <c r="J941">
        <f>I941-I940</f>
        <v>-3</v>
      </c>
      <c r="K941" t="str">
        <f t="shared" si="86"/>
        <v>L</v>
      </c>
      <c r="L941" t="str">
        <f t="shared" si="87"/>
        <v>Russell</v>
      </c>
      <c r="M941" t="str">
        <f>VLOOKUP(L941,References!$A$2:$B$16,2,FALSE)</f>
        <v>TEXAROK</v>
      </c>
      <c r="N941" s="19" t="str">
        <f>IF(M941=M940,"N","Y")</f>
        <v>N</v>
      </c>
      <c r="O941">
        <f>SUM(I940:I941)</f>
        <v>163</v>
      </c>
      <c r="P941">
        <f t="shared" si="89"/>
        <v>83</v>
      </c>
    </row>
    <row r="942" spans="1:16" hidden="1" x14ac:dyDescent="0.3">
      <c r="A942" t="str">
        <f t="shared" si="88"/>
        <v>2019Abby5</v>
      </c>
      <c r="B942">
        <f t="shared" si="84"/>
        <v>758</v>
      </c>
      <c r="C942">
        <f t="shared" si="85"/>
        <v>435</v>
      </c>
      <c r="D942" t="s">
        <v>27</v>
      </c>
      <c r="E942" t="str">
        <f>D943</f>
        <v>Watty</v>
      </c>
      <c r="F942">
        <v>2019</v>
      </c>
      <c r="G942">
        <v>5</v>
      </c>
      <c r="H942">
        <v>5.0999999999999996</v>
      </c>
      <c r="I942" s="14">
        <v>109</v>
      </c>
      <c r="J942">
        <f>I942-I943</f>
        <v>10</v>
      </c>
      <c r="K942" t="str">
        <f t="shared" si="86"/>
        <v>W</v>
      </c>
      <c r="L942" t="str">
        <f t="shared" si="87"/>
        <v>Abby</v>
      </c>
      <c r="M942" t="str">
        <f>VLOOKUP(L942,References!$A$2:$B$16,2,FALSE)</f>
        <v>AKCOVA</v>
      </c>
      <c r="N942" s="19" t="str">
        <f>IF(M942=M943,"N","Y")</f>
        <v>N</v>
      </c>
      <c r="O942">
        <f>SUM(I942:I943)</f>
        <v>208</v>
      </c>
      <c r="P942">
        <f t="shared" si="89"/>
        <v>99</v>
      </c>
    </row>
    <row r="943" spans="1:16" hidden="1" x14ac:dyDescent="0.3">
      <c r="A943" t="str">
        <f t="shared" si="88"/>
        <v>2019Watty5</v>
      </c>
      <c r="B943">
        <f t="shared" si="84"/>
        <v>1312</v>
      </c>
      <c r="C943">
        <f t="shared" si="85"/>
        <v>714</v>
      </c>
      <c r="D943" t="s">
        <v>24</v>
      </c>
      <c r="E943" t="str">
        <f>D942</f>
        <v>Abby</v>
      </c>
      <c r="F943">
        <v>2019</v>
      </c>
      <c r="G943">
        <v>5</v>
      </c>
      <c r="H943">
        <v>5.2</v>
      </c>
      <c r="I943" s="14">
        <v>99</v>
      </c>
      <c r="J943">
        <f>I943-I942</f>
        <v>-10</v>
      </c>
      <c r="K943" t="str">
        <f t="shared" si="86"/>
        <v>L</v>
      </c>
      <c r="L943" t="str">
        <f t="shared" si="87"/>
        <v>Watty</v>
      </c>
      <c r="M943" t="str">
        <f>VLOOKUP(L943,References!$A$2:$B$16,2,FALSE)</f>
        <v>AKCOVA</v>
      </c>
      <c r="N943" s="19" t="str">
        <f>IF(M943=M942,"N","Y")</f>
        <v>N</v>
      </c>
      <c r="O943">
        <f>SUM(I942:I943)</f>
        <v>208</v>
      </c>
      <c r="P943">
        <f t="shared" si="89"/>
        <v>109</v>
      </c>
    </row>
    <row r="944" spans="1:16" hidden="1" x14ac:dyDescent="0.3">
      <c r="A944" t="str">
        <f t="shared" si="88"/>
        <v>2019BR5</v>
      </c>
      <c r="B944">
        <f t="shared" si="84"/>
        <v>1895</v>
      </c>
      <c r="C944">
        <f t="shared" si="85"/>
        <v>1027</v>
      </c>
      <c r="D944" t="s">
        <v>25</v>
      </c>
      <c r="E944" t="str">
        <f>D945</f>
        <v>Charles</v>
      </c>
      <c r="F944">
        <v>2019</v>
      </c>
      <c r="G944">
        <v>5</v>
      </c>
      <c r="H944">
        <v>6.1</v>
      </c>
      <c r="I944" s="14">
        <v>90</v>
      </c>
      <c r="J944">
        <f>I944-I945</f>
        <v>-40</v>
      </c>
      <c r="K944" t="str">
        <f t="shared" si="86"/>
        <v>L</v>
      </c>
      <c r="L944" t="str">
        <f t="shared" si="87"/>
        <v>BR</v>
      </c>
      <c r="M944" t="str">
        <f>VLOOKUP(L944,References!$A$2:$B$16,2,FALSE)</f>
        <v>AKCOVA</v>
      </c>
      <c r="N944" s="19" t="str">
        <f>IF(M944=M945,"N","Y")</f>
        <v>N</v>
      </c>
      <c r="O944">
        <f>SUM(I944:I945)</f>
        <v>220</v>
      </c>
      <c r="P944">
        <f t="shared" si="89"/>
        <v>130</v>
      </c>
    </row>
    <row r="945" spans="1:16" hidden="1" x14ac:dyDescent="0.3">
      <c r="A945" t="str">
        <f t="shared" si="88"/>
        <v>2019Charles5</v>
      </c>
      <c r="B945">
        <f t="shared" si="84"/>
        <v>187</v>
      </c>
      <c r="C945">
        <f t="shared" si="85"/>
        <v>111</v>
      </c>
      <c r="D945" t="s">
        <v>48</v>
      </c>
      <c r="E945" t="str">
        <f>D944</f>
        <v>BR</v>
      </c>
      <c r="F945">
        <v>2019</v>
      </c>
      <c r="G945">
        <v>5</v>
      </c>
      <c r="H945">
        <v>6.2</v>
      </c>
      <c r="I945" s="14">
        <v>130</v>
      </c>
      <c r="J945">
        <f>I945-I944</f>
        <v>40</v>
      </c>
      <c r="K945" t="str">
        <f t="shared" si="86"/>
        <v>W</v>
      </c>
      <c r="L945" t="str">
        <f t="shared" si="87"/>
        <v>Charles</v>
      </c>
      <c r="M945" t="str">
        <f>VLOOKUP(L945,References!$A$2:$B$16,2,FALSE)</f>
        <v>AKCOVA</v>
      </c>
      <c r="N945" s="19" t="str">
        <f>IF(M945=M944,"N","Y")</f>
        <v>N</v>
      </c>
      <c r="O945">
        <f>SUM(I944:I945)</f>
        <v>220</v>
      </c>
      <c r="P945">
        <f t="shared" si="89"/>
        <v>90</v>
      </c>
    </row>
    <row r="946" spans="1:16" hidden="1" x14ac:dyDescent="0.3">
      <c r="A946" t="str">
        <f t="shared" si="88"/>
        <v>2019Abby6</v>
      </c>
      <c r="B946">
        <f t="shared" si="84"/>
        <v>1229</v>
      </c>
      <c r="C946">
        <f t="shared" si="85"/>
        <v>1618</v>
      </c>
      <c r="D946" t="s">
        <v>27</v>
      </c>
      <c r="E946" t="str">
        <f>D947</f>
        <v>Michael</v>
      </c>
      <c r="F946">
        <v>2019</v>
      </c>
      <c r="G946">
        <v>6</v>
      </c>
      <c r="H946">
        <v>1.1000000000000001</v>
      </c>
      <c r="I946" s="14">
        <v>74</v>
      </c>
      <c r="J946">
        <f>I946-I947</f>
        <v>-7</v>
      </c>
      <c r="K946" t="str">
        <f t="shared" si="86"/>
        <v>L</v>
      </c>
      <c r="L946" t="str">
        <f t="shared" si="87"/>
        <v>Abby</v>
      </c>
      <c r="M946" t="str">
        <f>VLOOKUP(L946,References!$A$2:$B$16,2,FALSE)</f>
        <v>AKCOVA</v>
      </c>
      <c r="N946" s="19" t="str">
        <f>IF(M946=M947,"N","Y")</f>
        <v>N</v>
      </c>
      <c r="O946">
        <f>SUM(I946:I947)</f>
        <v>155</v>
      </c>
      <c r="P946">
        <f t="shared" si="89"/>
        <v>81</v>
      </c>
    </row>
    <row r="947" spans="1:16" hidden="1" x14ac:dyDescent="0.3">
      <c r="A947" t="str">
        <f t="shared" si="88"/>
        <v>2019Michael6</v>
      </c>
      <c r="B947">
        <f t="shared" si="84"/>
        <v>836</v>
      </c>
      <c r="C947">
        <f t="shared" si="85"/>
        <v>1365</v>
      </c>
      <c r="D947" t="s">
        <v>23</v>
      </c>
      <c r="E947" t="str">
        <f>D946</f>
        <v>Abby</v>
      </c>
      <c r="F947">
        <v>2019</v>
      </c>
      <c r="G947">
        <v>6</v>
      </c>
      <c r="H947">
        <v>1.2</v>
      </c>
      <c r="I947" s="14">
        <v>81</v>
      </c>
      <c r="J947">
        <f>I947-I946</f>
        <v>7</v>
      </c>
      <c r="K947" t="str">
        <f t="shared" si="86"/>
        <v>W</v>
      </c>
      <c r="L947" t="str">
        <f t="shared" si="87"/>
        <v>Michael</v>
      </c>
      <c r="M947" t="str">
        <f>VLOOKUP(L947,References!$A$2:$B$16,2,FALSE)</f>
        <v>AKCOVA</v>
      </c>
      <c r="N947" s="19" t="str">
        <f>IF(M947=M946,"N","Y")</f>
        <v>N</v>
      </c>
      <c r="O947">
        <f>SUM(I946:I947)</f>
        <v>155</v>
      </c>
      <c r="P947">
        <f t="shared" si="89"/>
        <v>74</v>
      </c>
    </row>
    <row r="948" spans="1:16" hidden="1" x14ac:dyDescent="0.3">
      <c r="A948" t="str">
        <f t="shared" si="88"/>
        <v>2019BR6</v>
      </c>
      <c r="B948">
        <f t="shared" si="84"/>
        <v>1336</v>
      </c>
      <c r="C948">
        <f t="shared" si="85"/>
        <v>1282</v>
      </c>
      <c r="D948" t="s">
        <v>25</v>
      </c>
      <c r="E948" t="str">
        <f>D949</f>
        <v>Emily</v>
      </c>
      <c r="F948">
        <v>2019</v>
      </c>
      <c r="G948">
        <v>6</v>
      </c>
      <c r="H948">
        <v>2.1</v>
      </c>
      <c r="I948" s="14">
        <v>83</v>
      </c>
      <c r="J948">
        <f>I948-I949</f>
        <v>-11</v>
      </c>
      <c r="K948" t="str">
        <f t="shared" si="86"/>
        <v>L</v>
      </c>
      <c r="L948" t="str">
        <f t="shared" si="87"/>
        <v>BR</v>
      </c>
      <c r="M948" t="str">
        <f>VLOOKUP(L948,References!$A$2:$B$16,2,FALSE)</f>
        <v>AKCOVA</v>
      </c>
      <c r="N948" s="19" t="str">
        <f>IF(M948=M949,"N","Y")</f>
        <v>Y</v>
      </c>
      <c r="O948">
        <f>SUM(I948:I949)</f>
        <v>177</v>
      </c>
      <c r="P948">
        <f t="shared" si="89"/>
        <v>94</v>
      </c>
    </row>
    <row r="949" spans="1:16" hidden="1" x14ac:dyDescent="0.3">
      <c r="A949" t="str">
        <f t="shared" si="88"/>
        <v>2019Emily6</v>
      </c>
      <c r="B949">
        <f t="shared" si="84"/>
        <v>737</v>
      </c>
      <c r="C949">
        <f t="shared" si="85"/>
        <v>893</v>
      </c>
      <c r="D949" t="s">
        <v>43</v>
      </c>
      <c r="E949" t="str">
        <f>D948</f>
        <v>BR</v>
      </c>
      <c r="F949">
        <v>2019</v>
      </c>
      <c r="G949">
        <v>6</v>
      </c>
      <c r="H949">
        <v>2.2000000000000002</v>
      </c>
      <c r="I949" s="14">
        <v>94</v>
      </c>
      <c r="J949">
        <f>I949-I948</f>
        <v>11</v>
      </c>
      <c r="K949" t="str">
        <f t="shared" si="86"/>
        <v>W</v>
      </c>
      <c r="L949" t="str">
        <f t="shared" si="87"/>
        <v>Emily</v>
      </c>
      <c r="M949" t="str">
        <f>VLOOKUP(L949,References!$A$2:$B$16,2,FALSE)</f>
        <v>TEXAROK</v>
      </c>
      <c r="N949" s="19" t="str">
        <f>IF(M949=M948,"N","Y")</f>
        <v>Y</v>
      </c>
      <c r="O949">
        <f>SUM(I948:I949)</f>
        <v>177</v>
      </c>
      <c r="P949">
        <f t="shared" si="89"/>
        <v>83</v>
      </c>
    </row>
    <row r="950" spans="1:16" hidden="1" x14ac:dyDescent="0.3">
      <c r="A950" t="str">
        <f t="shared" si="88"/>
        <v>2019Brian6</v>
      </c>
      <c r="B950">
        <f t="shared" si="84"/>
        <v>949</v>
      </c>
      <c r="C950">
        <f t="shared" si="85"/>
        <v>1885</v>
      </c>
      <c r="D950" t="s">
        <v>26</v>
      </c>
      <c r="E950" t="str">
        <f>D951</f>
        <v>Russell</v>
      </c>
      <c r="F950">
        <v>2019</v>
      </c>
      <c r="G950">
        <v>6</v>
      </c>
      <c r="H950">
        <v>3.1</v>
      </c>
      <c r="I950" s="14">
        <v>63</v>
      </c>
      <c r="J950">
        <f>I950-I951</f>
        <v>3</v>
      </c>
      <c r="K950" t="str">
        <f t="shared" si="86"/>
        <v>W</v>
      </c>
      <c r="L950" t="str">
        <f t="shared" si="87"/>
        <v>Brian</v>
      </c>
      <c r="M950" t="str">
        <f>VLOOKUP(L950,References!$A$2:$B$16,2,FALSE)</f>
        <v>TEXAROK</v>
      </c>
      <c r="N950" s="19" t="str">
        <f>IF(M950=M951,"N","Y")</f>
        <v>N</v>
      </c>
      <c r="O950">
        <f>SUM(I950:I951)</f>
        <v>123</v>
      </c>
      <c r="P950">
        <f t="shared" si="89"/>
        <v>60</v>
      </c>
    </row>
    <row r="951" spans="1:16" hidden="1" x14ac:dyDescent="0.3">
      <c r="A951" t="str">
        <f t="shared" si="88"/>
        <v>2019Russell6</v>
      </c>
      <c r="B951">
        <f t="shared" si="84"/>
        <v>1117</v>
      </c>
      <c r="C951">
        <f t="shared" si="85"/>
        <v>1936</v>
      </c>
      <c r="D951" t="s">
        <v>28</v>
      </c>
      <c r="E951" t="str">
        <f>D950</f>
        <v>Brian</v>
      </c>
      <c r="F951">
        <v>2019</v>
      </c>
      <c r="G951">
        <v>6</v>
      </c>
      <c r="H951">
        <v>3.2</v>
      </c>
      <c r="I951" s="14">
        <v>60</v>
      </c>
      <c r="J951">
        <f>I951-I950</f>
        <v>-3</v>
      </c>
      <c r="K951" t="str">
        <f t="shared" si="86"/>
        <v>L</v>
      </c>
      <c r="L951" t="str">
        <f t="shared" si="87"/>
        <v>Russell</v>
      </c>
      <c r="M951" t="str">
        <f>VLOOKUP(L951,References!$A$2:$B$16,2,FALSE)</f>
        <v>TEXAROK</v>
      </c>
      <c r="N951" s="19" t="str">
        <f>IF(M951=M950,"N","Y")</f>
        <v>N</v>
      </c>
      <c r="O951">
        <f>SUM(I950:I951)</f>
        <v>123</v>
      </c>
      <c r="P951">
        <f t="shared" si="89"/>
        <v>63</v>
      </c>
    </row>
    <row r="952" spans="1:16" hidden="1" x14ac:dyDescent="0.3">
      <c r="A952" t="str">
        <f t="shared" si="88"/>
        <v>2019Mark6</v>
      </c>
      <c r="B952">
        <f t="shared" si="84"/>
        <v>660</v>
      </c>
      <c r="C952">
        <f t="shared" si="85"/>
        <v>136</v>
      </c>
      <c r="D952" t="s">
        <v>22</v>
      </c>
      <c r="E952" t="str">
        <f>D953</f>
        <v>Matt</v>
      </c>
      <c r="F952">
        <v>2019</v>
      </c>
      <c r="G952">
        <v>6</v>
      </c>
      <c r="H952">
        <v>4.0999999999999996</v>
      </c>
      <c r="I952" s="14">
        <v>127</v>
      </c>
      <c r="J952">
        <f>I952-I953</f>
        <v>14</v>
      </c>
      <c r="K952" t="str">
        <f t="shared" si="86"/>
        <v>W</v>
      </c>
      <c r="L952" t="str">
        <f t="shared" si="87"/>
        <v>Mark</v>
      </c>
      <c r="M952" t="str">
        <f>VLOOKUP(L952,References!$A$2:$B$16,2,FALSE)</f>
        <v>AKCOVA</v>
      </c>
      <c r="N952" s="19" t="str">
        <f>IF(M952=M953,"N","Y")</f>
        <v>Y</v>
      </c>
      <c r="O952">
        <f>SUM(I952:I953)</f>
        <v>240</v>
      </c>
      <c r="P952">
        <f t="shared" si="89"/>
        <v>113</v>
      </c>
    </row>
    <row r="953" spans="1:16" hidden="1" x14ac:dyDescent="0.3">
      <c r="A953" t="str">
        <f t="shared" si="88"/>
        <v>2019Matt6</v>
      </c>
      <c r="B953">
        <f t="shared" si="84"/>
        <v>1409</v>
      </c>
      <c r="C953">
        <f t="shared" si="85"/>
        <v>339</v>
      </c>
      <c r="D953" t="s">
        <v>30</v>
      </c>
      <c r="E953" t="str">
        <f>D952</f>
        <v>Mark</v>
      </c>
      <c r="F953">
        <v>2019</v>
      </c>
      <c r="G953">
        <v>6</v>
      </c>
      <c r="H953">
        <v>4.2</v>
      </c>
      <c r="I953" s="14">
        <v>113</v>
      </c>
      <c r="J953">
        <f>I953-I952</f>
        <v>-14</v>
      </c>
      <c r="K953" t="str">
        <f t="shared" si="86"/>
        <v>L</v>
      </c>
      <c r="L953" t="str">
        <f t="shared" si="87"/>
        <v>Matt</v>
      </c>
      <c r="M953" t="str">
        <f>VLOOKUP(L953,References!$A$2:$B$16,2,FALSE)</f>
        <v>TEXAROK</v>
      </c>
      <c r="N953" s="19" t="str">
        <f>IF(M953=M952,"N","Y")</f>
        <v>Y</v>
      </c>
      <c r="O953">
        <f>SUM(I952:I953)</f>
        <v>240</v>
      </c>
      <c r="P953">
        <f t="shared" si="89"/>
        <v>127</v>
      </c>
    </row>
    <row r="954" spans="1:16" hidden="1" x14ac:dyDescent="0.3">
      <c r="A954" t="str">
        <f t="shared" si="88"/>
        <v>2019Charles6</v>
      </c>
      <c r="B954">
        <f t="shared" si="84"/>
        <v>949</v>
      </c>
      <c r="C954">
        <f t="shared" si="85"/>
        <v>1027</v>
      </c>
      <c r="D954" t="s">
        <v>48</v>
      </c>
      <c r="E954" t="str">
        <f>D955</f>
        <v>Brent</v>
      </c>
      <c r="F954">
        <v>2019</v>
      </c>
      <c r="G954">
        <v>6</v>
      </c>
      <c r="H954">
        <v>5.0999999999999996</v>
      </c>
      <c r="I954" s="14">
        <v>90</v>
      </c>
      <c r="J954">
        <f>I954-I955</f>
        <v>3</v>
      </c>
      <c r="K954" t="str">
        <f t="shared" si="86"/>
        <v>W</v>
      </c>
      <c r="L954" t="str">
        <f t="shared" si="87"/>
        <v>Charles</v>
      </c>
      <c r="M954" t="str">
        <f>VLOOKUP(L954,References!$A$2:$B$16,2,FALSE)</f>
        <v>AKCOVA</v>
      </c>
      <c r="N954" s="19" t="str">
        <f>IF(M954=M955,"N","Y")</f>
        <v>Y</v>
      </c>
      <c r="O954">
        <f>SUM(I954:I955)</f>
        <v>177</v>
      </c>
      <c r="P954">
        <f t="shared" si="89"/>
        <v>87</v>
      </c>
    </row>
    <row r="955" spans="1:16" hidden="1" x14ac:dyDescent="0.3">
      <c r="A955" t="str">
        <f t="shared" si="88"/>
        <v>2019Brent6</v>
      </c>
      <c r="B955">
        <f t="shared" si="84"/>
        <v>1117</v>
      </c>
      <c r="C955">
        <f t="shared" si="85"/>
        <v>1143</v>
      </c>
      <c r="D955" t="s">
        <v>47</v>
      </c>
      <c r="E955" t="str">
        <f>D954</f>
        <v>Charles</v>
      </c>
      <c r="F955">
        <v>2019</v>
      </c>
      <c r="G955">
        <v>6</v>
      </c>
      <c r="H955">
        <v>5.2</v>
      </c>
      <c r="I955" s="14">
        <v>87</v>
      </c>
      <c r="J955">
        <f>I955-I954</f>
        <v>-3</v>
      </c>
      <c r="K955" t="str">
        <f t="shared" si="86"/>
        <v>L</v>
      </c>
      <c r="L955" t="str">
        <f t="shared" si="87"/>
        <v>Brent</v>
      </c>
      <c r="M955" t="str">
        <f>VLOOKUP(L955,References!$A$2:$B$16,2,FALSE)</f>
        <v>TEXAROK</v>
      </c>
      <c r="N955" s="19" t="str">
        <f>IF(M955=M954,"N","Y")</f>
        <v>Y</v>
      </c>
      <c r="O955">
        <f>SUM(I954:I955)</f>
        <v>177</v>
      </c>
      <c r="P955">
        <f t="shared" si="89"/>
        <v>90</v>
      </c>
    </row>
    <row r="956" spans="1:16" hidden="1" x14ac:dyDescent="0.3">
      <c r="A956" t="str">
        <f t="shared" si="88"/>
        <v>2019Watty6</v>
      </c>
      <c r="B956">
        <f t="shared" si="84"/>
        <v>1117</v>
      </c>
      <c r="C956">
        <f t="shared" si="85"/>
        <v>746</v>
      </c>
      <c r="D956" t="s">
        <v>24</v>
      </c>
      <c r="E956" t="str">
        <f>D957</f>
        <v>David</v>
      </c>
      <c r="F956">
        <v>2019</v>
      </c>
      <c r="G956">
        <v>6</v>
      </c>
      <c r="H956">
        <v>6.1</v>
      </c>
      <c r="I956" s="14">
        <v>98</v>
      </c>
      <c r="J956">
        <f>I956-I957</f>
        <v>-3</v>
      </c>
      <c r="K956" t="str">
        <f t="shared" si="86"/>
        <v>L</v>
      </c>
      <c r="L956" t="str">
        <f t="shared" si="87"/>
        <v>Watty</v>
      </c>
      <c r="M956" t="str">
        <f>VLOOKUP(L956,References!$A$2:$B$16,2,FALSE)</f>
        <v>AKCOVA</v>
      </c>
      <c r="N956" s="19" t="str">
        <f>IF(M956=M957,"N","Y")</f>
        <v>Y</v>
      </c>
      <c r="O956">
        <f>SUM(I956:I957)</f>
        <v>199</v>
      </c>
      <c r="P956">
        <f t="shared" si="89"/>
        <v>101</v>
      </c>
    </row>
    <row r="957" spans="1:16" hidden="1" x14ac:dyDescent="0.3">
      <c r="A957" t="str">
        <f t="shared" si="88"/>
        <v>2019David6</v>
      </c>
      <c r="B957">
        <f t="shared" si="84"/>
        <v>949</v>
      </c>
      <c r="C957">
        <f t="shared" si="85"/>
        <v>652</v>
      </c>
      <c r="D957" t="s">
        <v>29</v>
      </c>
      <c r="E957" t="str">
        <f>D956</f>
        <v>Watty</v>
      </c>
      <c r="F957">
        <v>2019</v>
      </c>
      <c r="G957">
        <v>6</v>
      </c>
      <c r="H957">
        <v>6.2</v>
      </c>
      <c r="I957" s="14">
        <v>101</v>
      </c>
      <c r="J957">
        <f>I957-I956</f>
        <v>3</v>
      </c>
      <c r="K957" t="str">
        <f t="shared" si="86"/>
        <v>W</v>
      </c>
      <c r="L957" t="str">
        <f t="shared" si="87"/>
        <v>David</v>
      </c>
      <c r="M957" t="str">
        <f>VLOOKUP(L957,References!$A$2:$B$16,2,FALSE)</f>
        <v>TEXAROK</v>
      </c>
      <c r="N957" s="19" t="str">
        <f>IF(M957=M956,"N","Y")</f>
        <v>Y</v>
      </c>
      <c r="O957">
        <f>SUM(I956:I957)</f>
        <v>199</v>
      </c>
      <c r="P957">
        <f t="shared" si="89"/>
        <v>98</v>
      </c>
    </row>
    <row r="958" spans="1:16" hidden="1" x14ac:dyDescent="0.3">
      <c r="A958" t="str">
        <f t="shared" si="88"/>
        <v>2019Michael7</v>
      </c>
      <c r="B958">
        <f t="shared" si="84"/>
        <v>107</v>
      </c>
      <c r="C958">
        <f t="shared" si="85"/>
        <v>678</v>
      </c>
      <c r="D958" t="s">
        <v>23</v>
      </c>
      <c r="E958" t="str">
        <f>D959</f>
        <v>Watty</v>
      </c>
      <c r="F958">
        <v>2019</v>
      </c>
      <c r="G958">
        <v>7</v>
      </c>
      <c r="H958">
        <v>1.1000000000000001</v>
      </c>
      <c r="I958" s="14">
        <v>100</v>
      </c>
      <c r="J958">
        <f>I958-I959</f>
        <v>50</v>
      </c>
      <c r="K958" t="str">
        <f t="shared" si="86"/>
        <v>W</v>
      </c>
      <c r="L958" t="str">
        <f t="shared" si="87"/>
        <v>Michael</v>
      </c>
      <c r="M958" t="str">
        <f>VLOOKUP(L958,References!$A$2:$B$16,2,FALSE)</f>
        <v>AKCOVA</v>
      </c>
      <c r="N958" s="19" t="str">
        <f>IF(M958=M959,"N","Y")</f>
        <v>N</v>
      </c>
      <c r="O958">
        <f>SUM(I958:I959)</f>
        <v>150</v>
      </c>
      <c r="P958">
        <f t="shared" si="89"/>
        <v>50</v>
      </c>
    </row>
    <row r="959" spans="1:16" hidden="1" x14ac:dyDescent="0.3">
      <c r="A959" t="str">
        <f t="shared" si="88"/>
        <v>2019Watty7</v>
      </c>
      <c r="B959">
        <f t="shared" si="84"/>
        <v>1978</v>
      </c>
      <c r="C959">
        <f t="shared" si="85"/>
        <v>2049</v>
      </c>
      <c r="D959" t="s">
        <v>24</v>
      </c>
      <c r="E959" t="str">
        <f>D958</f>
        <v>Michael</v>
      </c>
      <c r="F959">
        <v>2019</v>
      </c>
      <c r="G959">
        <v>7</v>
      </c>
      <c r="H959">
        <v>1.2</v>
      </c>
      <c r="I959" s="14">
        <v>50</v>
      </c>
      <c r="J959">
        <f>I959-I958</f>
        <v>-50</v>
      </c>
      <c r="K959" t="str">
        <f t="shared" si="86"/>
        <v>L</v>
      </c>
      <c r="L959" t="str">
        <f t="shared" si="87"/>
        <v>Watty</v>
      </c>
      <c r="M959" t="str">
        <f>VLOOKUP(L959,References!$A$2:$B$16,2,FALSE)</f>
        <v>AKCOVA</v>
      </c>
      <c r="N959" s="19" t="str">
        <f>IF(M959=M958,"N","Y")</f>
        <v>N</v>
      </c>
      <c r="O959">
        <f>SUM(I958:I959)</f>
        <v>150</v>
      </c>
      <c r="P959">
        <f t="shared" si="89"/>
        <v>100</v>
      </c>
    </row>
    <row r="960" spans="1:16" hidden="1" x14ac:dyDescent="0.3">
      <c r="A960" t="str">
        <f t="shared" si="88"/>
        <v>2019Emily7</v>
      </c>
      <c r="B960">
        <f t="shared" si="84"/>
        <v>1455</v>
      </c>
      <c r="C960">
        <f t="shared" si="85"/>
        <v>1936</v>
      </c>
      <c r="D960" t="s">
        <v>43</v>
      </c>
      <c r="E960" t="str">
        <f>D961</f>
        <v>Mark</v>
      </c>
      <c r="F960">
        <v>2019</v>
      </c>
      <c r="G960">
        <v>7</v>
      </c>
      <c r="H960">
        <v>2.1</v>
      </c>
      <c r="I960" s="14">
        <v>60</v>
      </c>
      <c r="J960">
        <f>I960-I961</f>
        <v>-16</v>
      </c>
      <c r="K960" t="str">
        <f t="shared" si="86"/>
        <v>L</v>
      </c>
      <c r="L960" t="str">
        <f t="shared" si="87"/>
        <v>Emily</v>
      </c>
      <c r="M960" t="str">
        <f>VLOOKUP(L960,References!$A$2:$B$16,2,FALSE)</f>
        <v>TEXAROK</v>
      </c>
      <c r="N960" s="19" t="str">
        <f>IF(M960=M961,"N","Y")</f>
        <v>Y</v>
      </c>
      <c r="O960">
        <f>SUM(I960:I961)</f>
        <v>136</v>
      </c>
      <c r="P960">
        <f t="shared" si="89"/>
        <v>76</v>
      </c>
    </row>
    <row r="961" spans="1:16" hidden="1" x14ac:dyDescent="0.3">
      <c r="A961" t="str">
        <f t="shared" si="88"/>
        <v>2019Mark7</v>
      </c>
      <c r="B961">
        <f t="shared" si="84"/>
        <v>619</v>
      </c>
      <c r="C961">
        <f t="shared" si="85"/>
        <v>1549</v>
      </c>
      <c r="D961" t="s">
        <v>22</v>
      </c>
      <c r="E961" t="str">
        <f>D960</f>
        <v>Emily</v>
      </c>
      <c r="F961">
        <v>2019</v>
      </c>
      <c r="G961">
        <v>7</v>
      </c>
      <c r="H961">
        <v>2.2000000000000002</v>
      </c>
      <c r="I961" s="14">
        <v>76</v>
      </c>
      <c r="J961">
        <f>I961-I960</f>
        <v>16</v>
      </c>
      <c r="K961" t="str">
        <f t="shared" si="86"/>
        <v>W</v>
      </c>
      <c r="L961" t="str">
        <f t="shared" si="87"/>
        <v>Mark</v>
      </c>
      <c r="M961" t="str">
        <f>VLOOKUP(L961,References!$A$2:$B$16,2,FALSE)</f>
        <v>AKCOVA</v>
      </c>
      <c r="N961" s="19" t="str">
        <f>IF(M961=M960,"N","Y")</f>
        <v>Y</v>
      </c>
      <c r="O961">
        <f>SUM(I960:I961)</f>
        <v>136</v>
      </c>
      <c r="P961">
        <f t="shared" si="89"/>
        <v>60</v>
      </c>
    </row>
    <row r="962" spans="1:16" hidden="1" x14ac:dyDescent="0.3">
      <c r="A962" t="str">
        <f t="shared" si="88"/>
        <v>2019Russell7</v>
      </c>
      <c r="B962">
        <f t="shared" ref="B962:B1025" si="90">RANK(J962,diff)</f>
        <v>62</v>
      </c>
      <c r="C962">
        <f t="shared" ref="C962:C1025" si="91">RANK(I962,points)</f>
        <v>292</v>
      </c>
      <c r="D962" t="s">
        <v>28</v>
      </c>
      <c r="E962" t="str">
        <f>D963</f>
        <v>Charles</v>
      </c>
      <c r="F962">
        <v>2019</v>
      </c>
      <c r="G962">
        <v>7</v>
      </c>
      <c r="H962">
        <v>3.1</v>
      </c>
      <c r="I962" s="14">
        <v>116</v>
      </c>
      <c r="J962">
        <f>I962-I963</f>
        <v>58</v>
      </c>
      <c r="K962" t="str">
        <f t="shared" ref="K962:K1025" si="92">IF(J962&gt;0,"W",IF(J962&lt;0,"L","T"))</f>
        <v>W</v>
      </c>
      <c r="L962" t="str">
        <f t="shared" ref="L962:L1025" si="93">D962</f>
        <v>Russell</v>
      </c>
      <c r="M962" t="str">
        <f>VLOOKUP(L962,References!$A$2:$B$16,2,FALSE)</f>
        <v>TEXAROK</v>
      </c>
      <c r="N962" s="19" t="str">
        <f>IF(M962=M963,"N","Y")</f>
        <v>Y</v>
      </c>
      <c r="O962">
        <f>SUM(I962:I963)</f>
        <v>174</v>
      </c>
      <c r="P962">
        <f t="shared" si="89"/>
        <v>58</v>
      </c>
    </row>
    <row r="963" spans="1:16" hidden="1" x14ac:dyDescent="0.3">
      <c r="A963" t="str">
        <f t="shared" ref="A963:A1026" si="94">F963&amp;D963&amp;G963</f>
        <v>2019Charles7</v>
      </c>
      <c r="B963">
        <f t="shared" si="90"/>
        <v>2024</v>
      </c>
      <c r="C963">
        <f t="shared" si="91"/>
        <v>1974</v>
      </c>
      <c r="D963" t="s">
        <v>48</v>
      </c>
      <c r="E963" t="str">
        <f>D962</f>
        <v>Russell</v>
      </c>
      <c r="F963">
        <v>2019</v>
      </c>
      <c r="G963">
        <v>7</v>
      </c>
      <c r="H963">
        <v>3.2</v>
      </c>
      <c r="I963" s="14">
        <v>58</v>
      </c>
      <c r="J963">
        <f>I963-I962</f>
        <v>-58</v>
      </c>
      <c r="K963" t="str">
        <f t="shared" si="92"/>
        <v>L</v>
      </c>
      <c r="L963" t="str">
        <f t="shared" si="93"/>
        <v>Charles</v>
      </c>
      <c r="M963" t="str">
        <f>VLOOKUP(L963,References!$A$2:$B$16,2,FALSE)</f>
        <v>AKCOVA</v>
      </c>
      <c r="N963" s="19" t="str">
        <f>IF(M963=M962,"N","Y")</f>
        <v>Y</v>
      </c>
      <c r="O963">
        <f>SUM(I962:I963)</f>
        <v>174</v>
      </c>
      <c r="P963">
        <f t="shared" ref="P963:P1026" si="95">I963-J963</f>
        <v>116</v>
      </c>
    </row>
    <row r="964" spans="1:16" hidden="1" x14ac:dyDescent="0.3">
      <c r="A964" t="str">
        <f t="shared" si="94"/>
        <v>2019Matt7</v>
      </c>
      <c r="B964">
        <f t="shared" si="90"/>
        <v>2005</v>
      </c>
      <c r="C964">
        <f t="shared" si="91"/>
        <v>1951</v>
      </c>
      <c r="D964" t="s">
        <v>30</v>
      </c>
      <c r="E964" t="str">
        <f>D965</f>
        <v>Abby</v>
      </c>
      <c r="F964">
        <v>2019</v>
      </c>
      <c r="G964">
        <v>7</v>
      </c>
      <c r="H964">
        <v>4.0999999999999996</v>
      </c>
      <c r="I964" s="14">
        <v>59</v>
      </c>
      <c r="J964">
        <f>I964-I965</f>
        <v>-54</v>
      </c>
      <c r="K964" t="str">
        <f t="shared" si="92"/>
        <v>L</v>
      </c>
      <c r="L964" t="str">
        <f t="shared" si="93"/>
        <v>Matt</v>
      </c>
      <c r="M964" t="str">
        <f>VLOOKUP(L964,References!$A$2:$B$16,2,FALSE)</f>
        <v>TEXAROK</v>
      </c>
      <c r="N964" s="19" t="str">
        <f>IF(M964=M965,"N","Y")</f>
        <v>Y</v>
      </c>
      <c r="O964">
        <f>SUM(I964:I965)</f>
        <v>172</v>
      </c>
      <c r="P964">
        <f t="shared" si="95"/>
        <v>113</v>
      </c>
    </row>
    <row r="965" spans="1:16" hidden="1" x14ac:dyDescent="0.3">
      <c r="A965" t="str">
        <f t="shared" si="94"/>
        <v>2019Abby7</v>
      </c>
      <c r="B965">
        <f t="shared" si="90"/>
        <v>85</v>
      </c>
      <c r="C965">
        <f t="shared" si="91"/>
        <v>339</v>
      </c>
      <c r="D965" t="s">
        <v>27</v>
      </c>
      <c r="E965" t="str">
        <f>D964</f>
        <v>Matt</v>
      </c>
      <c r="F965">
        <v>2019</v>
      </c>
      <c r="G965">
        <v>7</v>
      </c>
      <c r="H965">
        <v>4.2</v>
      </c>
      <c r="I965" s="14">
        <v>113</v>
      </c>
      <c r="J965">
        <f>I965-I964</f>
        <v>54</v>
      </c>
      <c r="K965" t="str">
        <f t="shared" si="92"/>
        <v>W</v>
      </c>
      <c r="L965" t="str">
        <f t="shared" si="93"/>
        <v>Abby</v>
      </c>
      <c r="M965" t="str">
        <f>VLOOKUP(L965,References!$A$2:$B$16,2,FALSE)</f>
        <v>AKCOVA</v>
      </c>
      <c r="N965" s="19" t="str">
        <f>IF(M965=M964,"N","Y")</f>
        <v>Y</v>
      </c>
      <c r="O965">
        <f>SUM(I964:I965)</f>
        <v>172</v>
      </c>
      <c r="P965">
        <f t="shared" si="95"/>
        <v>59</v>
      </c>
    </row>
    <row r="966" spans="1:16" hidden="1" x14ac:dyDescent="0.3">
      <c r="A966" t="str">
        <f t="shared" si="94"/>
        <v>2019Brent7</v>
      </c>
      <c r="B966">
        <f t="shared" si="90"/>
        <v>1409</v>
      </c>
      <c r="C966">
        <f t="shared" si="91"/>
        <v>1885</v>
      </c>
      <c r="D966" t="s">
        <v>47</v>
      </c>
      <c r="E966" t="str">
        <f>D967</f>
        <v>BR</v>
      </c>
      <c r="F966">
        <v>2019</v>
      </c>
      <c r="G966">
        <v>7</v>
      </c>
      <c r="H966">
        <v>5.0999999999999996</v>
      </c>
      <c r="I966" s="14">
        <v>63</v>
      </c>
      <c r="J966">
        <f>I966-I967</f>
        <v>-14</v>
      </c>
      <c r="K966" t="str">
        <f t="shared" si="92"/>
        <v>L</v>
      </c>
      <c r="L966" t="str">
        <f t="shared" si="93"/>
        <v>Brent</v>
      </c>
      <c r="M966" t="str">
        <f>VLOOKUP(L966,References!$A$2:$B$16,2,FALSE)</f>
        <v>TEXAROK</v>
      </c>
      <c r="N966" s="19" t="str">
        <f>IF(M966=M967,"N","Y")</f>
        <v>Y</v>
      </c>
      <c r="O966">
        <f>SUM(I966:I967)</f>
        <v>140</v>
      </c>
      <c r="P966">
        <f t="shared" si="95"/>
        <v>77</v>
      </c>
    </row>
    <row r="967" spans="1:16" hidden="1" x14ac:dyDescent="0.3">
      <c r="A967" t="str">
        <f t="shared" si="94"/>
        <v>2019BR7</v>
      </c>
      <c r="B967">
        <f t="shared" si="90"/>
        <v>660</v>
      </c>
      <c r="C967">
        <f t="shared" si="91"/>
        <v>1512</v>
      </c>
      <c r="D967" t="s">
        <v>25</v>
      </c>
      <c r="E967" t="str">
        <f>D966</f>
        <v>Brent</v>
      </c>
      <c r="F967">
        <v>2019</v>
      </c>
      <c r="G967">
        <v>7</v>
      </c>
      <c r="H967">
        <v>5.2</v>
      </c>
      <c r="I967" s="14">
        <v>77</v>
      </c>
      <c r="J967">
        <f>I967-I966</f>
        <v>14</v>
      </c>
      <c r="K967" t="str">
        <f t="shared" si="92"/>
        <v>W</v>
      </c>
      <c r="L967" t="str">
        <f t="shared" si="93"/>
        <v>BR</v>
      </c>
      <c r="M967" t="str">
        <f>VLOOKUP(L967,References!$A$2:$B$16,2,FALSE)</f>
        <v>AKCOVA</v>
      </c>
      <c r="N967" s="19" t="str">
        <f>IF(M967=M966,"N","Y")</f>
        <v>Y</v>
      </c>
      <c r="O967">
        <f>SUM(I966:I967)</f>
        <v>140</v>
      </c>
      <c r="P967">
        <f t="shared" si="95"/>
        <v>63</v>
      </c>
    </row>
    <row r="968" spans="1:16" hidden="1" x14ac:dyDescent="0.3">
      <c r="A968" t="str">
        <f t="shared" si="94"/>
        <v>2019David7</v>
      </c>
      <c r="B968">
        <f t="shared" si="90"/>
        <v>1055</v>
      </c>
      <c r="C968">
        <f t="shared" si="91"/>
        <v>1241</v>
      </c>
      <c r="D968" t="s">
        <v>29</v>
      </c>
      <c r="E968" t="str">
        <f>D969</f>
        <v>Brian</v>
      </c>
      <c r="F968">
        <v>2019</v>
      </c>
      <c r="G968">
        <v>7</v>
      </c>
      <c r="H968">
        <v>6.1</v>
      </c>
      <c r="I968" s="14">
        <v>84</v>
      </c>
      <c r="J968">
        <f>I968-I969</f>
        <v>-1</v>
      </c>
      <c r="K968" t="str">
        <f t="shared" si="92"/>
        <v>L</v>
      </c>
      <c r="L968" t="str">
        <f t="shared" si="93"/>
        <v>David</v>
      </c>
      <c r="M968" t="str">
        <f>VLOOKUP(L968,References!$A$2:$B$16,2,FALSE)</f>
        <v>TEXAROK</v>
      </c>
      <c r="N968" s="19" t="str">
        <f>IF(M968=M969,"N","Y")</f>
        <v>N</v>
      </c>
      <c r="O968">
        <f>SUM(I968:I969)</f>
        <v>169</v>
      </c>
      <c r="P968">
        <f t="shared" si="95"/>
        <v>85</v>
      </c>
    </row>
    <row r="969" spans="1:16" hidden="1" x14ac:dyDescent="0.3">
      <c r="A969" t="str">
        <f t="shared" si="94"/>
        <v>2019Brian7</v>
      </c>
      <c r="B969">
        <f t="shared" si="90"/>
        <v>1004</v>
      </c>
      <c r="C969">
        <f t="shared" si="91"/>
        <v>1210</v>
      </c>
      <c r="D969" t="s">
        <v>26</v>
      </c>
      <c r="E969" t="str">
        <f>D968</f>
        <v>David</v>
      </c>
      <c r="F969">
        <v>2019</v>
      </c>
      <c r="G969">
        <v>7</v>
      </c>
      <c r="H969">
        <v>6.2</v>
      </c>
      <c r="I969" s="14">
        <v>85</v>
      </c>
      <c r="J969">
        <f>I969-I968</f>
        <v>1</v>
      </c>
      <c r="K969" t="str">
        <f t="shared" si="92"/>
        <v>W</v>
      </c>
      <c r="L969" t="str">
        <f t="shared" si="93"/>
        <v>Brian</v>
      </c>
      <c r="M969" t="str">
        <f>VLOOKUP(L969,References!$A$2:$B$16,2,FALSE)</f>
        <v>TEXAROK</v>
      </c>
      <c r="N969" s="19" t="str">
        <f>IF(M969=M968,"N","Y")</f>
        <v>N</v>
      </c>
      <c r="O969">
        <f>SUM(I968:I969)</f>
        <v>169</v>
      </c>
      <c r="P969">
        <f t="shared" si="95"/>
        <v>84</v>
      </c>
    </row>
    <row r="970" spans="1:16" hidden="1" x14ac:dyDescent="0.3">
      <c r="A970" t="str">
        <f t="shared" si="94"/>
        <v>2019Brian8</v>
      </c>
      <c r="B970">
        <f t="shared" si="90"/>
        <v>836</v>
      </c>
      <c r="C970">
        <f t="shared" si="91"/>
        <v>893</v>
      </c>
      <c r="D970" t="s">
        <v>26</v>
      </c>
      <c r="E970" t="str">
        <f>D971</f>
        <v>Michael</v>
      </c>
      <c r="F970">
        <v>2019</v>
      </c>
      <c r="G970">
        <v>8</v>
      </c>
      <c r="H970">
        <v>1.1000000000000001</v>
      </c>
      <c r="I970" s="14">
        <v>94</v>
      </c>
      <c r="J970">
        <f>I970-I971</f>
        <v>7</v>
      </c>
      <c r="K970" t="str">
        <f t="shared" si="92"/>
        <v>W</v>
      </c>
      <c r="L970" t="str">
        <f t="shared" si="93"/>
        <v>Brian</v>
      </c>
      <c r="M970" t="str">
        <f>VLOOKUP(L970,References!$A$2:$B$16,2,FALSE)</f>
        <v>TEXAROK</v>
      </c>
      <c r="N970" s="19" t="str">
        <f>IF(M970=M971,"N","Y")</f>
        <v>Y</v>
      </c>
      <c r="O970">
        <f>SUM(I970:I971)</f>
        <v>181</v>
      </c>
      <c r="P970">
        <f t="shared" si="95"/>
        <v>87</v>
      </c>
    </row>
    <row r="971" spans="1:16" hidden="1" x14ac:dyDescent="0.3">
      <c r="A971" t="str">
        <f t="shared" si="94"/>
        <v>2019Michael8</v>
      </c>
      <c r="B971">
        <f t="shared" si="90"/>
        <v>1229</v>
      </c>
      <c r="C971">
        <f t="shared" si="91"/>
        <v>1143</v>
      </c>
      <c r="D971" t="s">
        <v>23</v>
      </c>
      <c r="E971" t="str">
        <f>D970</f>
        <v>Brian</v>
      </c>
      <c r="F971">
        <v>2019</v>
      </c>
      <c r="G971">
        <v>8</v>
      </c>
      <c r="H971">
        <v>1.2</v>
      </c>
      <c r="I971" s="14">
        <v>87</v>
      </c>
      <c r="J971">
        <f>I971-I970</f>
        <v>-7</v>
      </c>
      <c r="K971" t="str">
        <f t="shared" si="92"/>
        <v>L</v>
      </c>
      <c r="L971" t="str">
        <f t="shared" si="93"/>
        <v>Michael</v>
      </c>
      <c r="M971" t="str">
        <f>VLOOKUP(L971,References!$A$2:$B$16,2,FALSE)</f>
        <v>AKCOVA</v>
      </c>
      <c r="N971" s="19" t="str">
        <f>IF(M971=M970,"N","Y")</f>
        <v>Y</v>
      </c>
      <c r="O971">
        <f>SUM(I970:I971)</f>
        <v>181</v>
      </c>
      <c r="P971">
        <f t="shared" si="95"/>
        <v>94</v>
      </c>
    </row>
    <row r="972" spans="1:16" hidden="1" x14ac:dyDescent="0.3">
      <c r="A972" t="str">
        <f t="shared" si="94"/>
        <v>2019Mark8</v>
      </c>
      <c r="B972">
        <f t="shared" si="90"/>
        <v>489</v>
      </c>
      <c r="C972">
        <f t="shared" si="91"/>
        <v>197</v>
      </c>
      <c r="D972" t="s">
        <v>22</v>
      </c>
      <c r="E972" t="str">
        <f>D973</f>
        <v>Brent</v>
      </c>
      <c r="F972">
        <v>2019</v>
      </c>
      <c r="G972">
        <v>8</v>
      </c>
      <c r="H972">
        <v>2.1</v>
      </c>
      <c r="I972" s="14">
        <v>122</v>
      </c>
      <c r="J972">
        <f>I972-I973</f>
        <v>21</v>
      </c>
      <c r="K972" t="str">
        <f t="shared" si="92"/>
        <v>W</v>
      </c>
      <c r="L972" t="str">
        <f t="shared" si="93"/>
        <v>Mark</v>
      </c>
      <c r="M972" t="str">
        <f>VLOOKUP(L972,References!$A$2:$B$16,2,FALSE)</f>
        <v>AKCOVA</v>
      </c>
      <c r="N972" s="19" t="str">
        <f>IF(M972=M973,"N","Y")</f>
        <v>Y</v>
      </c>
      <c r="O972">
        <f>SUM(I972:I973)</f>
        <v>223</v>
      </c>
      <c r="P972">
        <f t="shared" si="95"/>
        <v>101</v>
      </c>
    </row>
    <row r="973" spans="1:16" hidden="1" x14ac:dyDescent="0.3">
      <c r="A973" t="str">
        <f t="shared" si="94"/>
        <v>2019Brent8</v>
      </c>
      <c r="B973">
        <f t="shared" si="90"/>
        <v>1577</v>
      </c>
      <c r="C973">
        <f t="shared" si="91"/>
        <v>652</v>
      </c>
      <c r="D973" t="s">
        <v>47</v>
      </c>
      <c r="E973" t="str">
        <f>D972</f>
        <v>Mark</v>
      </c>
      <c r="F973">
        <v>2019</v>
      </c>
      <c r="G973">
        <v>8</v>
      </c>
      <c r="H973">
        <v>2.2000000000000002</v>
      </c>
      <c r="I973" s="14">
        <v>101</v>
      </c>
      <c r="J973">
        <f>I973-I972</f>
        <v>-21</v>
      </c>
      <c r="K973" t="str">
        <f t="shared" si="92"/>
        <v>L</v>
      </c>
      <c r="L973" t="str">
        <f t="shared" si="93"/>
        <v>Brent</v>
      </c>
      <c r="M973" t="str">
        <f>VLOOKUP(L973,References!$A$2:$B$16,2,FALSE)</f>
        <v>TEXAROK</v>
      </c>
      <c r="N973" s="19" t="str">
        <f>IF(M973=M972,"N","Y")</f>
        <v>Y</v>
      </c>
      <c r="O973">
        <f>SUM(I972:I973)</f>
        <v>223</v>
      </c>
      <c r="P973">
        <f t="shared" si="95"/>
        <v>122</v>
      </c>
    </row>
    <row r="974" spans="1:16" hidden="1" x14ac:dyDescent="0.3">
      <c r="A974" t="str">
        <f t="shared" si="94"/>
        <v>2019Charles8</v>
      </c>
      <c r="B974">
        <f t="shared" si="90"/>
        <v>1884</v>
      </c>
      <c r="C974">
        <f t="shared" si="91"/>
        <v>1512</v>
      </c>
      <c r="D974" t="s">
        <v>48</v>
      </c>
      <c r="E974" t="str">
        <f>D975</f>
        <v>David</v>
      </c>
      <c r="F974">
        <v>2019</v>
      </c>
      <c r="G974">
        <v>8</v>
      </c>
      <c r="H974">
        <v>3.1</v>
      </c>
      <c r="I974" s="14">
        <v>77</v>
      </c>
      <c r="J974">
        <f>I974-I975</f>
        <v>-39</v>
      </c>
      <c r="K974" t="str">
        <f t="shared" si="92"/>
        <v>L</v>
      </c>
      <c r="L974" t="str">
        <f t="shared" si="93"/>
        <v>Charles</v>
      </c>
      <c r="M974" t="str">
        <f>VLOOKUP(L974,References!$A$2:$B$16,2,FALSE)</f>
        <v>AKCOVA</v>
      </c>
      <c r="N974" s="19" t="str">
        <f>IF(M974=M975,"N","Y")</f>
        <v>Y</v>
      </c>
      <c r="O974">
        <f>SUM(I974:I975)</f>
        <v>193</v>
      </c>
      <c r="P974">
        <f t="shared" si="95"/>
        <v>116</v>
      </c>
    </row>
    <row r="975" spans="1:16" hidden="1" x14ac:dyDescent="0.3">
      <c r="A975" t="str">
        <f t="shared" si="94"/>
        <v>2019David8</v>
      </c>
      <c r="B975">
        <f t="shared" si="90"/>
        <v>199</v>
      </c>
      <c r="C975">
        <f t="shared" si="91"/>
        <v>292</v>
      </c>
      <c r="D975" t="s">
        <v>29</v>
      </c>
      <c r="E975" t="str">
        <f>D974</f>
        <v>Charles</v>
      </c>
      <c r="F975">
        <v>2019</v>
      </c>
      <c r="G975">
        <v>8</v>
      </c>
      <c r="H975">
        <v>3.2</v>
      </c>
      <c r="I975" s="14">
        <v>116</v>
      </c>
      <c r="J975">
        <f>I975-I974</f>
        <v>39</v>
      </c>
      <c r="K975" t="str">
        <f t="shared" si="92"/>
        <v>W</v>
      </c>
      <c r="L975" t="str">
        <f t="shared" si="93"/>
        <v>David</v>
      </c>
      <c r="M975" t="str">
        <f>VLOOKUP(L975,References!$A$2:$B$16,2,FALSE)</f>
        <v>TEXAROK</v>
      </c>
      <c r="N975" s="19" t="str">
        <f>IF(M975=M974,"N","Y")</f>
        <v>Y</v>
      </c>
      <c r="O975">
        <f>SUM(I974:I975)</f>
        <v>193</v>
      </c>
      <c r="P975">
        <f t="shared" si="95"/>
        <v>77</v>
      </c>
    </row>
    <row r="976" spans="1:16" hidden="1" x14ac:dyDescent="0.3">
      <c r="A976" t="str">
        <f t="shared" si="94"/>
        <v>2019Abby8</v>
      </c>
      <c r="B976">
        <f t="shared" si="90"/>
        <v>225</v>
      </c>
      <c r="C976">
        <f t="shared" si="91"/>
        <v>211</v>
      </c>
      <c r="D976" t="s">
        <v>27</v>
      </c>
      <c r="E976" t="str">
        <f>D977</f>
        <v>Emily</v>
      </c>
      <c r="F976">
        <v>2019</v>
      </c>
      <c r="G976">
        <v>8</v>
      </c>
      <c r="H976">
        <v>4.0999999999999996</v>
      </c>
      <c r="I976" s="14">
        <v>121</v>
      </c>
      <c r="J976">
        <f>I976-I977</f>
        <v>37</v>
      </c>
      <c r="K976" t="str">
        <f t="shared" si="92"/>
        <v>W</v>
      </c>
      <c r="L976" t="str">
        <f t="shared" si="93"/>
        <v>Abby</v>
      </c>
      <c r="M976" t="str">
        <f>VLOOKUP(L976,References!$A$2:$B$16,2,FALSE)</f>
        <v>AKCOVA</v>
      </c>
      <c r="N976" s="19" t="str">
        <f>IF(M976=M977,"N","Y")</f>
        <v>Y</v>
      </c>
      <c r="O976">
        <f>SUM(I976:I977)</f>
        <v>205</v>
      </c>
      <c r="P976">
        <f t="shared" si="95"/>
        <v>84</v>
      </c>
    </row>
    <row r="977" spans="1:16" hidden="1" x14ac:dyDescent="0.3">
      <c r="A977" t="str">
        <f t="shared" si="94"/>
        <v>2019Emily8</v>
      </c>
      <c r="B977">
        <f t="shared" si="90"/>
        <v>1856</v>
      </c>
      <c r="C977">
        <f t="shared" si="91"/>
        <v>1241</v>
      </c>
      <c r="D977" t="s">
        <v>43</v>
      </c>
      <c r="E977" t="str">
        <f>D976</f>
        <v>Abby</v>
      </c>
      <c r="F977">
        <v>2019</v>
      </c>
      <c r="G977">
        <v>8</v>
      </c>
      <c r="H977">
        <v>4.2</v>
      </c>
      <c r="I977" s="14">
        <v>84</v>
      </c>
      <c r="J977">
        <f>I977-I976</f>
        <v>-37</v>
      </c>
      <c r="K977" t="str">
        <f t="shared" si="92"/>
        <v>L</v>
      </c>
      <c r="L977" t="str">
        <f t="shared" si="93"/>
        <v>Emily</v>
      </c>
      <c r="M977" t="str">
        <f>VLOOKUP(L977,References!$A$2:$B$16,2,FALSE)</f>
        <v>TEXAROK</v>
      </c>
      <c r="N977" s="19" t="str">
        <f>IF(M977=M976,"N","Y")</f>
        <v>Y</v>
      </c>
      <c r="O977">
        <f>SUM(I976:I977)</f>
        <v>205</v>
      </c>
      <c r="P977">
        <f t="shared" si="95"/>
        <v>121</v>
      </c>
    </row>
    <row r="978" spans="1:16" hidden="1" x14ac:dyDescent="0.3">
      <c r="A978" t="str">
        <f t="shared" si="94"/>
        <v>2019BR8</v>
      </c>
      <c r="B978">
        <f t="shared" si="90"/>
        <v>1197</v>
      </c>
      <c r="C978">
        <f t="shared" si="91"/>
        <v>1468</v>
      </c>
      <c r="D978" t="s">
        <v>25</v>
      </c>
      <c r="E978" t="str">
        <f>D979</f>
        <v>Russell</v>
      </c>
      <c r="F978">
        <v>2019</v>
      </c>
      <c r="G978">
        <v>8</v>
      </c>
      <c r="H978">
        <v>5.0999999999999996</v>
      </c>
      <c r="I978" s="14">
        <v>78</v>
      </c>
      <c r="J978">
        <f>I978-I979</f>
        <v>-6</v>
      </c>
      <c r="K978" t="str">
        <f t="shared" si="92"/>
        <v>L</v>
      </c>
      <c r="L978" t="str">
        <f t="shared" si="93"/>
        <v>BR</v>
      </c>
      <c r="M978" t="str">
        <f>VLOOKUP(L978,References!$A$2:$B$16,2,FALSE)</f>
        <v>AKCOVA</v>
      </c>
      <c r="N978" s="19" t="str">
        <f>IF(M978=M979,"N","Y")</f>
        <v>Y</v>
      </c>
      <c r="O978">
        <f>SUM(I978:I979)</f>
        <v>162</v>
      </c>
      <c r="P978">
        <f t="shared" si="95"/>
        <v>84</v>
      </c>
    </row>
    <row r="979" spans="1:16" hidden="1" x14ac:dyDescent="0.3">
      <c r="A979" t="str">
        <f t="shared" si="94"/>
        <v>2019Russell8</v>
      </c>
      <c r="B979">
        <f t="shared" si="90"/>
        <v>865</v>
      </c>
      <c r="C979">
        <f t="shared" si="91"/>
        <v>1241</v>
      </c>
      <c r="D979" t="s">
        <v>28</v>
      </c>
      <c r="E979" t="str">
        <f>D978</f>
        <v>BR</v>
      </c>
      <c r="F979">
        <v>2019</v>
      </c>
      <c r="G979">
        <v>8</v>
      </c>
      <c r="H979">
        <v>5.2</v>
      </c>
      <c r="I979" s="14">
        <v>84</v>
      </c>
      <c r="J979">
        <f>I979-I978</f>
        <v>6</v>
      </c>
      <c r="K979" t="str">
        <f t="shared" si="92"/>
        <v>W</v>
      </c>
      <c r="L979" t="str">
        <f t="shared" si="93"/>
        <v>Russell</v>
      </c>
      <c r="M979" t="str">
        <f>VLOOKUP(L979,References!$A$2:$B$16,2,FALSE)</f>
        <v>TEXAROK</v>
      </c>
      <c r="N979" s="19" t="str">
        <f>IF(M979=M978,"N","Y")</f>
        <v>Y</v>
      </c>
      <c r="O979">
        <f>SUM(I978:I979)</f>
        <v>162</v>
      </c>
      <c r="P979">
        <f t="shared" si="95"/>
        <v>78</v>
      </c>
    </row>
    <row r="980" spans="1:16" hidden="1" x14ac:dyDescent="0.3">
      <c r="A980" t="str">
        <f t="shared" si="94"/>
        <v>2019Watty8</v>
      </c>
      <c r="B980">
        <f t="shared" si="90"/>
        <v>1090</v>
      </c>
      <c r="C980">
        <f t="shared" si="91"/>
        <v>1618</v>
      </c>
      <c r="D980" t="s">
        <v>24</v>
      </c>
      <c r="E980" t="str">
        <f>D981</f>
        <v>Matt</v>
      </c>
      <c r="F980">
        <v>2019</v>
      </c>
      <c r="G980">
        <v>8</v>
      </c>
      <c r="H980">
        <v>6.1</v>
      </c>
      <c r="I980" s="14">
        <v>74</v>
      </c>
      <c r="J980">
        <f>I980-I981</f>
        <v>-2</v>
      </c>
      <c r="K980" t="str">
        <f t="shared" si="92"/>
        <v>L</v>
      </c>
      <c r="L980" t="str">
        <f t="shared" si="93"/>
        <v>Watty</v>
      </c>
      <c r="M980" t="str">
        <f>VLOOKUP(L980,References!$A$2:$B$16,2,FALSE)</f>
        <v>AKCOVA</v>
      </c>
      <c r="N980" s="19" t="str">
        <f>IF(M980=M981,"N","Y")</f>
        <v>Y</v>
      </c>
      <c r="O980">
        <f>SUM(I980:I981)</f>
        <v>150</v>
      </c>
      <c r="P980">
        <f t="shared" si="95"/>
        <v>76</v>
      </c>
    </row>
    <row r="981" spans="1:16" hidden="1" x14ac:dyDescent="0.3">
      <c r="A981" t="str">
        <f t="shared" si="94"/>
        <v>2019Matt8</v>
      </c>
      <c r="B981">
        <f t="shared" si="90"/>
        <v>977</v>
      </c>
      <c r="C981">
        <f t="shared" si="91"/>
        <v>1549</v>
      </c>
      <c r="D981" t="s">
        <v>30</v>
      </c>
      <c r="E981" t="str">
        <f>D980</f>
        <v>Watty</v>
      </c>
      <c r="F981">
        <v>2019</v>
      </c>
      <c r="G981">
        <v>8</v>
      </c>
      <c r="H981">
        <v>6.2</v>
      </c>
      <c r="I981" s="14">
        <v>76</v>
      </c>
      <c r="J981">
        <f>I981-I980</f>
        <v>2</v>
      </c>
      <c r="K981" t="str">
        <f t="shared" si="92"/>
        <v>W</v>
      </c>
      <c r="L981" t="str">
        <f t="shared" si="93"/>
        <v>Matt</v>
      </c>
      <c r="M981" t="str">
        <f>VLOOKUP(L981,References!$A$2:$B$16,2,FALSE)</f>
        <v>TEXAROK</v>
      </c>
      <c r="N981" s="19" t="str">
        <f>IF(M981=M980,"N","Y")</f>
        <v>Y</v>
      </c>
      <c r="O981">
        <f>SUM(I980:I981)</f>
        <v>150</v>
      </c>
      <c r="P981">
        <f t="shared" si="95"/>
        <v>74</v>
      </c>
    </row>
    <row r="982" spans="1:16" hidden="1" x14ac:dyDescent="0.3">
      <c r="A982" t="str">
        <f t="shared" si="94"/>
        <v>2019Michael9</v>
      </c>
      <c r="B982">
        <f t="shared" si="90"/>
        <v>1497</v>
      </c>
      <c r="C982">
        <f t="shared" si="91"/>
        <v>1595</v>
      </c>
      <c r="D982" t="s">
        <v>23</v>
      </c>
      <c r="E982" t="str">
        <f>D983</f>
        <v>Charles</v>
      </c>
      <c r="F982">
        <v>2019</v>
      </c>
      <c r="G982">
        <v>9</v>
      </c>
      <c r="H982">
        <v>1.1000000000000001</v>
      </c>
      <c r="I982" s="14">
        <v>75</v>
      </c>
      <c r="J982">
        <f>I982-I983</f>
        <v>-18</v>
      </c>
      <c r="K982" t="str">
        <f t="shared" si="92"/>
        <v>L</v>
      </c>
      <c r="L982" t="str">
        <f t="shared" si="93"/>
        <v>Michael</v>
      </c>
      <c r="M982" t="str">
        <f>VLOOKUP(L982,References!$A$2:$B$16,2,FALSE)</f>
        <v>AKCOVA</v>
      </c>
      <c r="N982" s="19" t="str">
        <f>IF(M982=M983,"N","Y")</f>
        <v>N</v>
      </c>
      <c r="O982">
        <f>SUM(I982:I983)</f>
        <v>168</v>
      </c>
      <c r="P982">
        <f t="shared" si="95"/>
        <v>93</v>
      </c>
    </row>
    <row r="983" spans="1:16" hidden="1" x14ac:dyDescent="0.3">
      <c r="A983" t="str">
        <f t="shared" si="94"/>
        <v>2019Charles9</v>
      </c>
      <c r="B983">
        <f t="shared" si="90"/>
        <v>571</v>
      </c>
      <c r="C983">
        <f t="shared" si="91"/>
        <v>926</v>
      </c>
      <c r="D983" t="s">
        <v>48</v>
      </c>
      <c r="E983" t="str">
        <f>D982</f>
        <v>Michael</v>
      </c>
      <c r="F983">
        <v>2019</v>
      </c>
      <c r="G983">
        <v>9</v>
      </c>
      <c r="H983">
        <v>1.2</v>
      </c>
      <c r="I983" s="14">
        <v>93</v>
      </c>
      <c r="J983">
        <f>I983-I982</f>
        <v>18</v>
      </c>
      <c r="K983" t="str">
        <f t="shared" si="92"/>
        <v>W</v>
      </c>
      <c r="L983" t="str">
        <f t="shared" si="93"/>
        <v>Charles</v>
      </c>
      <c r="M983" t="str">
        <f>VLOOKUP(L983,References!$A$2:$B$16,2,FALSE)</f>
        <v>AKCOVA</v>
      </c>
      <c r="N983" s="19" t="str">
        <f>IF(M983=M982,"N","Y")</f>
        <v>N</v>
      </c>
      <c r="O983">
        <f>SUM(I982:I983)</f>
        <v>168</v>
      </c>
      <c r="P983">
        <f t="shared" si="95"/>
        <v>75</v>
      </c>
    </row>
    <row r="984" spans="1:16" hidden="1" x14ac:dyDescent="0.3">
      <c r="A984" t="str">
        <f t="shared" si="94"/>
        <v>2019Russell9</v>
      </c>
      <c r="B984">
        <f t="shared" si="90"/>
        <v>1907</v>
      </c>
      <c r="C984">
        <f t="shared" si="91"/>
        <v>566</v>
      </c>
      <c r="D984" t="s">
        <v>28</v>
      </c>
      <c r="E984" t="str">
        <f>D985</f>
        <v>Mark</v>
      </c>
      <c r="F984">
        <v>2019</v>
      </c>
      <c r="G984">
        <v>9</v>
      </c>
      <c r="H984">
        <v>2.1</v>
      </c>
      <c r="I984" s="14">
        <v>104</v>
      </c>
      <c r="J984">
        <f>I984-I985</f>
        <v>-41</v>
      </c>
      <c r="K984" t="str">
        <f t="shared" si="92"/>
        <v>L</v>
      </c>
      <c r="L984" t="str">
        <f t="shared" si="93"/>
        <v>Russell</v>
      </c>
      <c r="M984" t="str">
        <f>VLOOKUP(L984,References!$A$2:$B$16,2,FALSE)</f>
        <v>TEXAROK</v>
      </c>
      <c r="N984" s="19" t="str">
        <f>IF(M984=M985,"N","Y")</f>
        <v>Y</v>
      </c>
      <c r="O984">
        <f>SUM(I984:I985)</f>
        <v>249</v>
      </c>
      <c r="P984">
        <f t="shared" si="95"/>
        <v>145</v>
      </c>
    </row>
    <row r="985" spans="1:16" hidden="1" x14ac:dyDescent="0.3">
      <c r="A985" t="str">
        <f t="shared" si="94"/>
        <v>2019Mark9</v>
      </c>
      <c r="B985">
        <f t="shared" si="90"/>
        <v>180</v>
      </c>
      <c r="C985">
        <f t="shared" si="91"/>
        <v>36</v>
      </c>
      <c r="D985" t="s">
        <v>22</v>
      </c>
      <c r="E985" t="str">
        <f>D984</f>
        <v>Russell</v>
      </c>
      <c r="F985">
        <v>2019</v>
      </c>
      <c r="G985">
        <v>9</v>
      </c>
      <c r="H985">
        <v>2.2000000000000002</v>
      </c>
      <c r="I985" s="14">
        <v>145</v>
      </c>
      <c r="J985">
        <f>I985-I984</f>
        <v>41</v>
      </c>
      <c r="K985" t="str">
        <f t="shared" si="92"/>
        <v>W</v>
      </c>
      <c r="L985" t="str">
        <f t="shared" si="93"/>
        <v>Mark</v>
      </c>
      <c r="M985" t="str">
        <f>VLOOKUP(L985,References!$A$2:$B$16,2,FALSE)</f>
        <v>AKCOVA</v>
      </c>
      <c r="N985" s="19" t="str">
        <f>IF(M985=M984,"N","Y")</f>
        <v>Y</v>
      </c>
      <c r="O985">
        <f>SUM(I984:I985)</f>
        <v>249</v>
      </c>
      <c r="P985">
        <f t="shared" si="95"/>
        <v>104</v>
      </c>
    </row>
    <row r="986" spans="1:16" hidden="1" x14ac:dyDescent="0.3">
      <c r="A986" t="str">
        <f t="shared" si="94"/>
        <v>2019Matt9</v>
      </c>
      <c r="B986">
        <f t="shared" si="90"/>
        <v>1914</v>
      </c>
      <c r="C986">
        <f t="shared" si="91"/>
        <v>1833</v>
      </c>
      <c r="D986" t="s">
        <v>30</v>
      </c>
      <c r="E986" t="str">
        <f>D987</f>
        <v>Brian</v>
      </c>
      <c r="F986">
        <v>2019</v>
      </c>
      <c r="G986">
        <v>9</v>
      </c>
      <c r="H986">
        <v>3.1</v>
      </c>
      <c r="I986" s="14">
        <v>66</v>
      </c>
      <c r="J986">
        <f>I986-I987</f>
        <v>-42</v>
      </c>
      <c r="K986" t="str">
        <f t="shared" si="92"/>
        <v>L</v>
      </c>
      <c r="L986" t="str">
        <f t="shared" si="93"/>
        <v>Matt</v>
      </c>
      <c r="M986" t="str">
        <f>VLOOKUP(L986,References!$A$2:$B$16,2,FALSE)</f>
        <v>TEXAROK</v>
      </c>
      <c r="N986" s="19" t="str">
        <f>IF(M986=M987,"N","Y")</f>
        <v>N</v>
      </c>
      <c r="O986">
        <f>SUM(I986:I987)</f>
        <v>174</v>
      </c>
      <c r="P986">
        <f t="shared" si="95"/>
        <v>108</v>
      </c>
    </row>
    <row r="987" spans="1:16" hidden="1" x14ac:dyDescent="0.3">
      <c r="A987" t="str">
        <f t="shared" si="94"/>
        <v>2019Brian9</v>
      </c>
      <c r="B987">
        <f t="shared" si="90"/>
        <v>173</v>
      </c>
      <c r="C987">
        <f t="shared" si="91"/>
        <v>462</v>
      </c>
      <c r="D987" t="s">
        <v>26</v>
      </c>
      <c r="E987" t="str">
        <f>D986</f>
        <v>Matt</v>
      </c>
      <c r="F987">
        <v>2019</v>
      </c>
      <c r="G987">
        <v>9</v>
      </c>
      <c r="H987">
        <v>3.2</v>
      </c>
      <c r="I987" s="14">
        <v>108</v>
      </c>
      <c r="J987">
        <f>I987-I986</f>
        <v>42</v>
      </c>
      <c r="K987" t="str">
        <f t="shared" si="92"/>
        <v>W</v>
      </c>
      <c r="L987" t="str">
        <f t="shared" si="93"/>
        <v>Brian</v>
      </c>
      <c r="M987" t="str">
        <f>VLOOKUP(L987,References!$A$2:$B$16,2,FALSE)</f>
        <v>TEXAROK</v>
      </c>
      <c r="N987" s="19" t="str">
        <f>IF(M987=M986,"N","Y")</f>
        <v>N</v>
      </c>
      <c r="O987">
        <f>SUM(I986:I987)</f>
        <v>174</v>
      </c>
      <c r="P987">
        <f t="shared" si="95"/>
        <v>66</v>
      </c>
    </row>
    <row r="988" spans="1:16" hidden="1" x14ac:dyDescent="0.3">
      <c r="A988" t="str">
        <f t="shared" si="94"/>
        <v>2019Brent9</v>
      </c>
      <c r="B988">
        <f t="shared" si="90"/>
        <v>1117</v>
      </c>
      <c r="C988">
        <f t="shared" si="91"/>
        <v>1439</v>
      </c>
      <c r="D988" t="s">
        <v>47</v>
      </c>
      <c r="E988" t="str">
        <f>D989</f>
        <v>Abby</v>
      </c>
      <c r="F988">
        <v>2019</v>
      </c>
      <c r="G988">
        <v>9</v>
      </c>
      <c r="H988">
        <v>4.0999999999999996</v>
      </c>
      <c r="I988" s="14">
        <v>79</v>
      </c>
      <c r="J988">
        <f>I988-I989</f>
        <v>-3</v>
      </c>
      <c r="K988" t="str">
        <f t="shared" si="92"/>
        <v>L</v>
      </c>
      <c r="L988" t="str">
        <f t="shared" si="93"/>
        <v>Brent</v>
      </c>
      <c r="M988" t="str">
        <f>VLOOKUP(L988,References!$A$2:$B$16,2,FALSE)</f>
        <v>TEXAROK</v>
      </c>
      <c r="N988" s="19" t="str">
        <f>IF(M988=M989,"N","Y")</f>
        <v>Y</v>
      </c>
      <c r="O988">
        <f>SUM(I988:I989)</f>
        <v>161</v>
      </c>
      <c r="P988">
        <f t="shared" si="95"/>
        <v>82</v>
      </c>
    </row>
    <row r="989" spans="1:16" hidden="1" x14ac:dyDescent="0.3">
      <c r="A989" t="str">
        <f t="shared" si="94"/>
        <v>2019Abby9</v>
      </c>
      <c r="B989">
        <f t="shared" si="90"/>
        <v>949</v>
      </c>
      <c r="C989">
        <f t="shared" si="91"/>
        <v>1318</v>
      </c>
      <c r="D989" t="s">
        <v>27</v>
      </c>
      <c r="E989" t="str">
        <f>D988</f>
        <v>Brent</v>
      </c>
      <c r="F989">
        <v>2019</v>
      </c>
      <c r="G989">
        <v>9</v>
      </c>
      <c r="H989">
        <v>4.2</v>
      </c>
      <c r="I989" s="14">
        <v>82</v>
      </c>
      <c r="J989">
        <f>I989-I988</f>
        <v>3</v>
      </c>
      <c r="K989" t="str">
        <f t="shared" si="92"/>
        <v>W</v>
      </c>
      <c r="L989" t="str">
        <f t="shared" si="93"/>
        <v>Abby</v>
      </c>
      <c r="M989" t="str">
        <f>VLOOKUP(L989,References!$A$2:$B$16,2,FALSE)</f>
        <v>AKCOVA</v>
      </c>
      <c r="N989" s="19" t="str">
        <f>IF(M989=M988,"N","Y")</f>
        <v>Y</v>
      </c>
      <c r="O989">
        <f>SUM(I988:I989)</f>
        <v>161</v>
      </c>
      <c r="P989">
        <f t="shared" si="95"/>
        <v>79</v>
      </c>
    </row>
    <row r="990" spans="1:16" hidden="1" x14ac:dyDescent="0.3">
      <c r="A990" t="str">
        <f t="shared" si="94"/>
        <v>2019David9</v>
      </c>
      <c r="B990">
        <f t="shared" si="90"/>
        <v>1797</v>
      </c>
      <c r="C990">
        <f t="shared" si="91"/>
        <v>1365</v>
      </c>
      <c r="D990" t="s">
        <v>29</v>
      </c>
      <c r="E990" t="str">
        <f>D991</f>
        <v>BR</v>
      </c>
      <c r="F990">
        <v>2019</v>
      </c>
      <c r="G990">
        <v>9</v>
      </c>
      <c r="H990">
        <v>5.0999999999999996</v>
      </c>
      <c r="I990" s="14">
        <v>81</v>
      </c>
      <c r="J990">
        <f>I990-I991</f>
        <v>-32</v>
      </c>
      <c r="K990" t="str">
        <f t="shared" si="92"/>
        <v>L</v>
      </c>
      <c r="L990" t="str">
        <f t="shared" si="93"/>
        <v>David</v>
      </c>
      <c r="M990" t="str">
        <f>VLOOKUP(L990,References!$A$2:$B$16,2,FALSE)</f>
        <v>TEXAROK</v>
      </c>
      <c r="N990" s="19" t="str">
        <f>IF(M990=M991,"N","Y")</f>
        <v>Y</v>
      </c>
      <c r="O990">
        <f>SUM(I990:I991)</f>
        <v>194</v>
      </c>
      <c r="P990">
        <f t="shared" si="95"/>
        <v>113</v>
      </c>
    </row>
    <row r="991" spans="1:16" hidden="1" x14ac:dyDescent="0.3">
      <c r="A991" t="str">
        <f t="shared" si="94"/>
        <v>2019BR9</v>
      </c>
      <c r="B991">
        <f t="shared" si="90"/>
        <v>284</v>
      </c>
      <c r="C991">
        <f t="shared" si="91"/>
        <v>339</v>
      </c>
      <c r="D991" t="s">
        <v>25</v>
      </c>
      <c r="E991" t="str">
        <f>D990</f>
        <v>David</v>
      </c>
      <c r="F991">
        <v>2019</v>
      </c>
      <c r="G991">
        <v>9</v>
      </c>
      <c r="H991">
        <v>5.2</v>
      </c>
      <c r="I991" s="14">
        <v>113</v>
      </c>
      <c r="J991">
        <f>I991-I990</f>
        <v>32</v>
      </c>
      <c r="K991" t="str">
        <f t="shared" si="92"/>
        <v>W</v>
      </c>
      <c r="L991" t="str">
        <f t="shared" si="93"/>
        <v>BR</v>
      </c>
      <c r="M991" t="str">
        <f>VLOOKUP(L991,References!$A$2:$B$16,2,FALSE)</f>
        <v>AKCOVA</v>
      </c>
      <c r="N991" s="19" t="str">
        <f>IF(M991=M990,"N","Y")</f>
        <v>Y</v>
      </c>
      <c r="O991">
        <f>SUM(I990:I991)</f>
        <v>194</v>
      </c>
      <c r="P991">
        <f t="shared" si="95"/>
        <v>81</v>
      </c>
    </row>
    <row r="992" spans="1:16" hidden="1" x14ac:dyDescent="0.3">
      <c r="A992" t="str">
        <f t="shared" si="94"/>
        <v>2019Emily9</v>
      </c>
      <c r="B992">
        <f t="shared" si="90"/>
        <v>2092</v>
      </c>
      <c r="C992">
        <f t="shared" si="91"/>
        <v>2088</v>
      </c>
      <c r="D992" t="s">
        <v>43</v>
      </c>
      <c r="E992" t="str">
        <f>D993</f>
        <v>Watty</v>
      </c>
      <c r="F992">
        <v>2019</v>
      </c>
      <c r="G992">
        <v>9</v>
      </c>
      <c r="H992">
        <v>6.1</v>
      </c>
      <c r="I992" s="14">
        <v>36</v>
      </c>
      <c r="J992">
        <f>I992-I993</f>
        <v>-99</v>
      </c>
      <c r="K992" t="str">
        <f t="shared" si="92"/>
        <v>L</v>
      </c>
      <c r="L992" t="str">
        <f t="shared" si="93"/>
        <v>Emily</v>
      </c>
      <c r="M992" t="str">
        <f>VLOOKUP(L992,References!$A$2:$B$16,2,FALSE)</f>
        <v>TEXAROK</v>
      </c>
      <c r="N992" s="19" t="str">
        <f>IF(M992=M993,"N","Y")</f>
        <v>Y</v>
      </c>
      <c r="O992">
        <f>SUM(I992:I993)</f>
        <v>171</v>
      </c>
      <c r="P992">
        <f t="shared" si="95"/>
        <v>135</v>
      </c>
    </row>
    <row r="993" spans="1:16" hidden="1" x14ac:dyDescent="0.3">
      <c r="A993" t="str">
        <f t="shared" si="94"/>
        <v>2019Watty9</v>
      </c>
      <c r="B993">
        <f t="shared" si="90"/>
        <v>1</v>
      </c>
      <c r="C993">
        <f t="shared" si="91"/>
        <v>78</v>
      </c>
      <c r="D993" t="s">
        <v>24</v>
      </c>
      <c r="E993" t="str">
        <f>D992</f>
        <v>Emily</v>
      </c>
      <c r="F993">
        <v>2019</v>
      </c>
      <c r="G993">
        <v>9</v>
      </c>
      <c r="H993">
        <v>6.2</v>
      </c>
      <c r="I993" s="14">
        <v>135</v>
      </c>
      <c r="J993">
        <f>I993-I992</f>
        <v>99</v>
      </c>
      <c r="K993" t="str">
        <f t="shared" si="92"/>
        <v>W</v>
      </c>
      <c r="L993" t="str">
        <f t="shared" si="93"/>
        <v>Watty</v>
      </c>
      <c r="M993" t="str">
        <f>VLOOKUP(L993,References!$A$2:$B$16,2,FALSE)</f>
        <v>AKCOVA</v>
      </c>
      <c r="N993" s="19" t="str">
        <f>IF(M993=M992,"N","Y")</f>
        <v>Y</v>
      </c>
      <c r="O993">
        <f>SUM(I992:I993)</f>
        <v>171</v>
      </c>
      <c r="P993">
        <f t="shared" si="95"/>
        <v>36</v>
      </c>
    </row>
    <row r="994" spans="1:16" hidden="1" x14ac:dyDescent="0.3">
      <c r="A994" t="str">
        <f t="shared" si="94"/>
        <v>2019BR10</v>
      </c>
      <c r="B994">
        <f t="shared" si="90"/>
        <v>1684</v>
      </c>
      <c r="C994">
        <f t="shared" si="91"/>
        <v>1618</v>
      </c>
      <c r="D994" t="s">
        <v>25</v>
      </c>
      <c r="E994" t="str">
        <f>D995</f>
        <v>Michael</v>
      </c>
      <c r="F994">
        <v>2019</v>
      </c>
      <c r="G994">
        <v>10</v>
      </c>
      <c r="H994">
        <v>1.1000000000000001</v>
      </c>
      <c r="I994" s="14">
        <v>74</v>
      </c>
      <c r="J994">
        <f>I994-I995</f>
        <v>-26</v>
      </c>
      <c r="K994" t="str">
        <f t="shared" si="92"/>
        <v>L</v>
      </c>
      <c r="L994" t="str">
        <f t="shared" si="93"/>
        <v>BR</v>
      </c>
      <c r="M994" t="str">
        <f>VLOOKUP(L994,References!$A$2:$B$16,2,FALSE)</f>
        <v>AKCOVA</v>
      </c>
      <c r="N994" s="19" t="str">
        <f>IF(M994=M995,"N","Y")</f>
        <v>N</v>
      </c>
      <c r="O994">
        <f>SUM(I994:I995)</f>
        <v>174</v>
      </c>
      <c r="P994">
        <f t="shared" si="95"/>
        <v>100</v>
      </c>
    </row>
    <row r="995" spans="1:16" hidden="1" x14ac:dyDescent="0.3">
      <c r="A995" t="str">
        <f t="shared" si="94"/>
        <v>2019Michael10</v>
      </c>
      <c r="B995">
        <f t="shared" si="90"/>
        <v>392</v>
      </c>
      <c r="C995">
        <f t="shared" si="91"/>
        <v>678</v>
      </c>
      <c r="D995" t="s">
        <v>23</v>
      </c>
      <c r="E995" t="str">
        <f>D994</f>
        <v>BR</v>
      </c>
      <c r="F995">
        <v>2019</v>
      </c>
      <c r="G995">
        <v>10</v>
      </c>
      <c r="H995">
        <v>1.2</v>
      </c>
      <c r="I995" s="14">
        <v>100</v>
      </c>
      <c r="J995">
        <f>I995-I994</f>
        <v>26</v>
      </c>
      <c r="K995" t="str">
        <f t="shared" si="92"/>
        <v>W</v>
      </c>
      <c r="L995" t="str">
        <f t="shared" si="93"/>
        <v>Michael</v>
      </c>
      <c r="M995" t="str">
        <f>VLOOKUP(L995,References!$A$2:$B$16,2,FALSE)</f>
        <v>AKCOVA</v>
      </c>
      <c r="N995" s="19" t="str">
        <f>IF(M995=M994,"N","Y")</f>
        <v>N</v>
      </c>
      <c r="O995">
        <f>SUM(I994:I995)</f>
        <v>174</v>
      </c>
      <c r="P995">
        <f t="shared" si="95"/>
        <v>74</v>
      </c>
    </row>
    <row r="996" spans="1:16" hidden="1" x14ac:dyDescent="0.3">
      <c r="A996" t="str">
        <f t="shared" si="94"/>
        <v>2019Mark10</v>
      </c>
      <c r="B996">
        <f t="shared" si="90"/>
        <v>433</v>
      </c>
      <c r="C996">
        <f t="shared" si="91"/>
        <v>678</v>
      </c>
      <c r="D996" t="s">
        <v>22</v>
      </c>
      <c r="E996" t="str">
        <f>D997</f>
        <v>David</v>
      </c>
      <c r="F996">
        <v>2019</v>
      </c>
      <c r="G996">
        <v>10</v>
      </c>
      <c r="H996">
        <v>2.1</v>
      </c>
      <c r="I996" s="14">
        <v>100</v>
      </c>
      <c r="J996">
        <f>I996-I997</f>
        <v>24</v>
      </c>
      <c r="K996" t="str">
        <f t="shared" si="92"/>
        <v>W</v>
      </c>
      <c r="L996" t="str">
        <f t="shared" si="93"/>
        <v>Mark</v>
      </c>
      <c r="M996" t="str">
        <f>VLOOKUP(L996,References!$A$2:$B$16,2,FALSE)</f>
        <v>AKCOVA</v>
      </c>
      <c r="N996" s="19" t="str">
        <f>IF(M996=M997,"N","Y")</f>
        <v>Y</v>
      </c>
      <c r="O996">
        <f>SUM(I996:I997)</f>
        <v>176</v>
      </c>
      <c r="P996">
        <f t="shared" si="95"/>
        <v>76</v>
      </c>
    </row>
    <row r="997" spans="1:16" hidden="1" x14ac:dyDescent="0.3">
      <c r="A997" t="str">
        <f t="shared" si="94"/>
        <v>2019David10</v>
      </c>
      <c r="B997">
        <f t="shared" si="90"/>
        <v>1644</v>
      </c>
      <c r="C997">
        <f t="shared" si="91"/>
        <v>1549</v>
      </c>
      <c r="D997" t="s">
        <v>29</v>
      </c>
      <c r="E997" t="str">
        <f>D996</f>
        <v>Mark</v>
      </c>
      <c r="F997">
        <v>2019</v>
      </c>
      <c r="G997">
        <v>10</v>
      </c>
      <c r="H997">
        <v>2.2000000000000002</v>
      </c>
      <c r="I997" s="14">
        <v>76</v>
      </c>
      <c r="J997">
        <f>I997-I996</f>
        <v>-24</v>
      </c>
      <c r="K997" t="str">
        <f t="shared" si="92"/>
        <v>L</v>
      </c>
      <c r="L997" t="str">
        <f t="shared" si="93"/>
        <v>David</v>
      </c>
      <c r="M997" t="str">
        <f>VLOOKUP(L997,References!$A$2:$B$16,2,FALSE)</f>
        <v>TEXAROK</v>
      </c>
      <c r="N997" s="19" t="str">
        <f>IF(M997=M996,"N","Y")</f>
        <v>Y</v>
      </c>
      <c r="O997">
        <f>SUM(I996:I997)</f>
        <v>176</v>
      </c>
      <c r="P997">
        <f t="shared" si="95"/>
        <v>100</v>
      </c>
    </row>
    <row r="998" spans="1:16" hidden="1" x14ac:dyDescent="0.3">
      <c r="A998" t="str">
        <f t="shared" si="94"/>
        <v>2019Brian10</v>
      </c>
      <c r="B998">
        <f t="shared" si="90"/>
        <v>713</v>
      </c>
      <c r="C998">
        <f t="shared" si="91"/>
        <v>1406</v>
      </c>
      <c r="D998" t="s">
        <v>26</v>
      </c>
      <c r="E998" t="str">
        <f>D999</f>
        <v>Emily</v>
      </c>
      <c r="F998">
        <v>2019</v>
      </c>
      <c r="G998">
        <v>10</v>
      </c>
      <c r="H998">
        <v>3.1</v>
      </c>
      <c r="I998" s="14">
        <v>80</v>
      </c>
      <c r="J998">
        <f>I998-I999</f>
        <v>12</v>
      </c>
      <c r="K998" t="str">
        <f t="shared" si="92"/>
        <v>W</v>
      </c>
      <c r="L998" t="str">
        <f t="shared" si="93"/>
        <v>Brian</v>
      </c>
      <c r="M998" t="str">
        <f>VLOOKUP(L998,References!$A$2:$B$16,2,FALSE)</f>
        <v>TEXAROK</v>
      </c>
      <c r="N998" s="19" t="str">
        <f>IF(M998=M999,"N","Y")</f>
        <v>N</v>
      </c>
      <c r="O998">
        <f>SUM(I998:I999)</f>
        <v>148</v>
      </c>
      <c r="P998">
        <f t="shared" si="95"/>
        <v>68</v>
      </c>
    </row>
    <row r="999" spans="1:16" hidden="1" x14ac:dyDescent="0.3">
      <c r="A999" t="str">
        <f t="shared" si="94"/>
        <v>2019Emily10</v>
      </c>
      <c r="B999">
        <f t="shared" si="90"/>
        <v>1357</v>
      </c>
      <c r="C999">
        <f t="shared" si="91"/>
        <v>1793</v>
      </c>
      <c r="D999" t="s">
        <v>43</v>
      </c>
      <c r="E999" t="str">
        <f>D998</f>
        <v>Brian</v>
      </c>
      <c r="F999">
        <v>2019</v>
      </c>
      <c r="G999">
        <v>10</v>
      </c>
      <c r="H999">
        <v>3.2</v>
      </c>
      <c r="I999" s="14">
        <v>68</v>
      </c>
      <c r="J999">
        <f>I999-I998</f>
        <v>-12</v>
      </c>
      <c r="K999" t="str">
        <f t="shared" si="92"/>
        <v>L</v>
      </c>
      <c r="L999" t="str">
        <f t="shared" si="93"/>
        <v>Emily</v>
      </c>
      <c r="M999" t="str">
        <f>VLOOKUP(L999,References!$A$2:$B$16,2,FALSE)</f>
        <v>TEXAROK</v>
      </c>
      <c r="N999" s="19" t="str">
        <f>IF(M999=M998,"N","Y")</f>
        <v>N</v>
      </c>
      <c r="O999">
        <f>SUM(I998:I999)</f>
        <v>148</v>
      </c>
      <c r="P999">
        <f t="shared" si="95"/>
        <v>80</v>
      </c>
    </row>
    <row r="1000" spans="1:16" hidden="1" x14ac:dyDescent="0.3">
      <c r="A1000" t="str">
        <f t="shared" si="94"/>
        <v>2019Abby10</v>
      </c>
      <c r="B1000">
        <f t="shared" si="90"/>
        <v>1258</v>
      </c>
      <c r="C1000">
        <f t="shared" si="91"/>
        <v>1468</v>
      </c>
      <c r="D1000" t="s">
        <v>27</v>
      </c>
      <c r="E1000" t="str">
        <f>D1001</f>
        <v>Russell</v>
      </c>
      <c r="F1000">
        <v>2019</v>
      </c>
      <c r="G1000">
        <v>10</v>
      </c>
      <c r="H1000">
        <v>4.0999999999999996</v>
      </c>
      <c r="I1000" s="14">
        <v>78</v>
      </c>
      <c r="J1000">
        <f>I1000-I1001</f>
        <v>-8</v>
      </c>
      <c r="K1000" t="str">
        <f t="shared" si="92"/>
        <v>L</v>
      </c>
      <c r="L1000" t="str">
        <f t="shared" si="93"/>
        <v>Abby</v>
      </c>
      <c r="M1000" t="str">
        <f>VLOOKUP(L1000,References!$A$2:$B$16,2,FALSE)</f>
        <v>AKCOVA</v>
      </c>
      <c r="N1000" s="19" t="str">
        <f>IF(M1000=M1001,"N","Y")</f>
        <v>Y</v>
      </c>
      <c r="O1000">
        <f>SUM(I1000:I1001)</f>
        <v>164</v>
      </c>
      <c r="P1000">
        <f t="shared" si="95"/>
        <v>86</v>
      </c>
    </row>
    <row r="1001" spans="1:16" hidden="1" x14ac:dyDescent="0.3">
      <c r="A1001" t="str">
        <f t="shared" si="94"/>
        <v>2019Russell10</v>
      </c>
      <c r="B1001">
        <f t="shared" si="90"/>
        <v>803</v>
      </c>
      <c r="C1001">
        <f t="shared" si="91"/>
        <v>1173</v>
      </c>
      <c r="D1001" t="s">
        <v>28</v>
      </c>
      <c r="E1001" t="str">
        <f>D1000</f>
        <v>Abby</v>
      </c>
      <c r="F1001">
        <v>2019</v>
      </c>
      <c r="G1001">
        <v>10</v>
      </c>
      <c r="H1001">
        <v>4.2</v>
      </c>
      <c r="I1001" s="14">
        <v>86</v>
      </c>
      <c r="J1001">
        <f>I1001-I1000</f>
        <v>8</v>
      </c>
      <c r="K1001" t="str">
        <f t="shared" si="92"/>
        <v>W</v>
      </c>
      <c r="L1001" t="str">
        <f t="shared" si="93"/>
        <v>Russell</v>
      </c>
      <c r="M1001" t="str">
        <f>VLOOKUP(L1001,References!$A$2:$B$16,2,FALSE)</f>
        <v>TEXAROK</v>
      </c>
      <c r="N1001" s="19" t="str">
        <f>IF(M1001=M1000,"N","Y")</f>
        <v>Y</v>
      </c>
      <c r="O1001">
        <f>SUM(I1000:I1001)</f>
        <v>164</v>
      </c>
      <c r="P1001">
        <f t="shared" si="95"/>
        <v>78</v>
      </c>
    </row>
    <row r="1002" spans="1:16" hidden="1" x14ac:dyDescent="0.3">
      <c r="A1002" t="str">
        <f t="shared" si="94"/>
        <v>2019Charles10</v>
      </c>
      <c r="B1002">
        <f t="shared" si="90"/>
        <v>1702</v>
      </c>
      <c r="C1002">
        <f t="shared" si="91"/>
        <v>1173</v>
      </c>
      <c r="D1002" t="s">
        <v>48</v>
      </c>
      <c r="E1002" t="str">
        <f>D1003</f>
        <v>Matt</v>
      </c>
      <c r="F1002">
        <v>2019</v>
      </c>
      <c r="G1002">
        <v>10</v>
      </c>
      <c r="H1002">
        <v>5.0999999999999996</v>
      </c>
      <c r="I1002" s="14">
        <v>86</v>
      </c>
      <c r="J1002">
        <f>I1002-I1003</f>
        <v>-27</v>
      </c>
      <c r="K1002" t="str">
        <f t="shared" si="92"/>
        <v>L</v>
      </c>
      <c r="L1002" t="str">
        <f t="shared" si="93"/>
        <v>Charles</v>
      </c>
      <c r="M1002" t="str">
        <f>VLOOKUP(L1002,References!$A$2:$B$16,2,FALSE)</f>
        <v>AKCOVA</v>
      </c>
      <c r="N1002" s="19" t="str">
        <f>IF(M1002=M1003,"N","Y")</f>
        <v>Y</v>
      </c>
      <c r="O1002">
        <f>SUM(I1002:I1003)</f>
        <v>199</v>
      </c>
      <c r="P1002">
        <f t="shared" si="95"/>
        <v>113</v>
      </c>
    </row>
    <row r="1003" spans="1:16" hidden="1" x14ac:dyDescent="0.3">
      <c r="A1003" t="str">
        <f t="shared" si="94"/>
        <v>2019Matt10</v>
      </c>
      <c r="B1003">
        <f t="shared" si="90"/>
        <v>371</v>
      </c>
      <c r="C1003">
        <f t="shared" si="91"/>
        <v>339</v>
      </c>
      <c r="D1003" t="s">
        <v>30</v>
      </c>
      <c r="E1003" t="str">
        <f>D1002</f>
        <v>Charles</v>
      </c>
      <c r="F1003">
        <v>2019</v>
      </c>
      <c r="G1003">
        <v>10</v>
      </c>
      <c r="H1003">
        <v>5.2</v>
      </c>
      <c r="I1003" s="14">
        <v>113</v>
      </c>
      <c r="J1003">
        <f>I1003-I1002</f>
        <v>27</v>
      </c>
      <c r="K1003" t="str">
        <f t="shared" si="92"/>
        <v>W</v>
      </c>
      <c r="L1003" t="str">
        <f t="shared" si="93"/>
        <v>Matt</v>
      </c>
      <c r="M1003" t="str">
        <f>VLOOKUP(L1003,References!$A$2:$B$16,2,FALSE)</f>
        <v>TEXAROK</v>
      </c>
      <c r="N1003" s="19" t="str">
        <f>IF(M1003=M1002,"N","Y")</f>
        <v>Y</v>
      </c>
      <c r="O1003">
        <f>SUM(I1002:I1003)</f>
        <v>199</v>
      </c>
      <c r="P1003">
        <f t="shared" si="95"/>
        <v>86</v>
      </c>
    </row>
    <row r="1004" spans="1:16" hidden="1" x14ac:dyDescent="0.3">
      <c r="A1004" t="str">
        <f t="shared" si="94"/>
        <v>2019Watty10</v>
      </c>
      <c r="B1004">
        <f t="shared" si="90"/>
        <v>571</v>
      </c>
      <c r="C1004">
        <f t="shared" si="91"/>
        <v>857</v>
      </c>
      <c r="D1004" t="s">
        <v>24</v>
      </c>
      <c r="E1004" t="str">
        <f>D1005</f>
        <v>Brent</v>
      </c>
      <c r="F1004">
        <v>2019</v>
      </c>
      <c r="G1004">
        <v>10</v>
      </c>
      <c r="H1004">
        <v>6.1</v>
      </c>
      <c r="I1004" s="14">
        <v>95</v>
      </c>
      <c r="J1004">
        <f>I1004-I1005</f>
        <v>18</v>
      </c>
      <c r="K1004" t="str">
        <f t="shared" si="92"/>
        <v>W</v>
      </c>
      <c r="L1004" t="str">
        <f t="shared" si="93"/>
        <v>Watty</v>
      </c>
      <c r="M1004" t="str">
        <f>VLOOKUP(L1004,References!$A$2:$B$16,2,FALSE)</f>
        <v>AKCOVA</v>
      </c>
      <c r="N1004" s="19" t="str">
        <f>IF(M1004=M1005,"N","Y")</f>
        <v>Y</v>
      </c>
      <c r="O1004">
        <f>SUM(I1004:I1005)</f>
        <v>172</v>
      </c>
      <c r="P1004">
        <f t="shared" si="95"/>
        <v>77</v>
      </c>
    </row>
    <row r="1005" spans="1:16" hidden="1" x14ac:dyDescent="0.3">
      <c r="A1005" t="str">
        <f t="shared" si="94"/>
        <v>2019Brent10</v>
      </c>
      <c r="B1005">
        <f t="shared" si="90"/>
        <v>1497</v>
      </c>
      <c r="C1005">
        <f t="shared" si="91"/>
        <v>1512</v>
      </c>
      <c r="D1005" t="s">
        <v>47</v>
      </c>
      <c r="E1005" t="str">
        <f>D1004</f>
        <v>Watty</v>
      </c>
      <c r="F1005">
        <v>2019</v>
      </c>
      <c r="G1005">
        <v>10</v>
      </c>
      <c r="H1005">
        <v>6.2</v>
      </c>
      <c r="I1005" s="14">
        <v>77</v>
      </c>
      <c r="J1005">
        <f>I1005-I1004</f>
        <v>-18</v>
      </c>
      <c r="K1005" t="str">
        <f t="shared" si="92"/>
        <v>L</v>
      </c>
      <c r="L1005" t="str">
        <f t="shared" si="93"/>
        <v>Brent</v>
      </c>
      <c r="M1005" t="str">
        <f>VLOOKUP(L1005,References!$A$2:$B$16,2,FALSE)</f>
        <v>TEXAROK</v>
      </c>
      <c r="N1005" s="19" t="str">
        <f>IF(M1005=M1004,"N","Y")</f>
        <v>Y</v>
      </c>
      <c r="O1005">
        <f>SUM(I1004:I1005)</f>
        <v>172</v>
      </c>
      <c r="P1005">
        <f t="shared" si="95"/>
        <v>95</v>
      </c>
    </row>
    <row r="1006" spans="1:16" hidden="1" x14ac:dyDescent="0.3">
      <c r="A1006" t="str">
        <f t="shared" si="94"/>
        <v>2019Michael11</v>
      </c>
      <c r="B1006">
        <f t="shared" si="90"/>
        <v>548</v>
      </c>
      <c r="C1006">
        <f t="shared" si="91"/>
        <v>992</v>
      </c>
      <c r="D1006" t="s">
        <v>23</v>
      </c>
      <c r="E1006" t="str">
        <f>D1007</f>
        <v>Mark</v>
      </c>
      <c r="F1006">
        <v>2019</v>
      </c>
      <c r="G1006">
        <v>11</v>
      </c>
      <c r="H1006">
        <v>1.1000000000000001</v>
      </c>
      <c r="I1006" s="14">
        <v>91</v>
      </c>
      <c r="J1006">
        <f>I1006-I1007</f>
        <v>19</v>
      </c>
      <c r="K1006" t="str">
        <f t="shared" si="92"/>
        <v>W</v>
      </c>
      <c r="L1006" t="str">
        <f t="shared" si="93"/>
        <v>Michael</v>
      </c>
      <c r="M1006" t="str">
        <f>VLOOKUP(L1006,References!$A$2:$B$16,2,FALSE)</f>
        <v>AKCOVA</v>
      </c>
      <c r="N1006" s="19" t="str">
        <f>IF(M1006=M1007,"N","Y")</f>
        <v>N</v>
      </c>
      <c r="O1006">
        <f>SUM(I1006:I1007)</f>
        <v>163</v>
      </c>
      <c r="P1006">
        <f t="shared" si="95"/>
        <v>72</v>
      </c>
    </row>
    <row r="1007" spans="1:16" hidden="1" x14ac:dyDescent="0.3">
      <c r="A1007" t="str">
        <f t="shared" si="94"/>
        <v>2019Mark11</v>
      </c>
      <c r="B1007">
        <f t="shared" si="90"/>
        <v>1523</v>
      </c>
      <c r="C1007">
        <f t="shared" si="91"/>
        <v>1684</v>
      </c>
      <c r="D1007" t="s">
        <v>22</v>
      </c>
      <c r="E1007" t="str">
        <f>D1006</f>
        <v>Michael</v>
      </c>
      <c r="F1007">
        <v>2019</v>
      </c>
      <c r="G1007">
        <v>11</v>
      </c>
      <c r="H1007">
        <v>1.2</v>
      </c>
      <c r="I1007" s="14">
        <v>72</v>
      </c>
      <c r="J1007">
        <f>I1007-I1006</f>
        <v>-19</v>
      </c>
      <c r="K1007" t="str">
        <f t="shared" si="92"/>
        <v>L</v>
      </c>
      <c r="L1007" t="str">
        <f t="shared" si="93"/>
        <v>Mark</v>
      </c>
      <c r="M1007" t="str">
        <f>VLOOKUP(L1007,References!$A$2:$B$16,2,FALSE)</f>
        <v>AKCOVA</v>
      </c>
      <c r="N1007" s="19" t="str">
        <f>IF(M1007=M1006,"N","Y")</f>
        <v>N</v>
      </c>
      <c r="O1007">
        <f>SUM(I1006:I1007)</f>
        <v>163</v>
      </c>
      <c r="P1007">
        <f t="shared" si="95"/>
        <v>91</v>
      </c>
    </row>
    <row r="1008" spans="1:16" hidden="1" x14ac:dyDescent="0.3">
      <c r="A1008" t="str">
        <f t="shared" si="94"/>
        <v>2019Matt11</v>
      </c>
      <c r="B1008">
        <f t="shared" si="90"/>
        <v>1723</v>
      </c>
      <c r="C1008">
        <f t="shared" si="91"/>
        <v>1282</v>
      </c>
      <c r="D1008" t="s">
        <v>30</v>
      </c>
      <c r="E1008" t="str">
        <f>D1009</f>
        <v>BR</v>
      </c>
      <c r="F1008">
        <v>2019</v>
      </c>
      <c r="G1008">
        <v>11</v>
      </c>
      <c r="H1008">
        <v>2.1</v>
      </c>
      <c r="I1008" s="14">
        <v>83</v>
      </c>
      <c r="J1008">
        <f>I1008-I1009</f>
        <v>-28</v>
      </c>
      <c r="K1008" t="str">
        <f t="shared" si="92"/>
        <v>L</v>
      </c>
      <c r="L1008" t="str">
        <f t="shared" si="93"/>
        <v>Matt</v>
      </c>
      <c r="M1008" t="str">
        <f>VLOOKUP(L1008,References!$A$2:$B$16,2,FALSE)</f>
        <v>TEXAROK</v>
      </c>
      <c r="N1008" s="19" t="str">
        <f>IF(M1008=M1009,"N","Y")</f>
        <v>Y</v>
      </c>
      <c r="O1008">
        <f>SUM(I1008:I1009)</f>
        <v>194</v>
      </c>
      <c r="P1008">
        <f t="shared" si="95"/>
        <v>111</v>
      </c>
    </row>
    <row r="1009" spans="1:16" hidden="1" x14ac:dyDescent="0.3">
      <c r="A1009" t="str">
        <f t="shared" si="94"/>
        <v>2019BR11</v>
      </c>
      <c r="B1009">
        <f t="shared" si="90"/>
        <v>356</v>
      </c>
      <c r="C1009">
        <f t="shared" si="91"/>
        <v>383</v>
      </c>
      <c r="D1009" t="s">
        <v>25</v>
      </c>
      <c r="E1009" t="str">
        <f>D1008</f>
        <v>Matt</v>
      </c>
      <c r="F1009">
        <v>2019</v>
      </c>
      <c r="G1009">
        <v>11</v>
      </c>
      <c r="H1009">
        <v>2.2000000000000002</v>
      </c>
      <c r="I1009" s="14">
        <v>111</v>
      </c>
      <c r="J1009">
        <f>I1009-I1008</f>
        <v>28</v>
      </c>
      <c r="K1009" t="str">
        <f t="shared" si="92"/>
        <v>W</v>
      </c>
      <c r="L1009" t="str">
        <f t="shared" si="93"/>
        <v>BR</v>
      </c>
      <c r="M1009" t="str">
        <f>VLOOKUP(L1009,References!$A$2:$B$16,2,FALSE)</f>
        <v>AKCOVA</v>
      </c>
      <c r="N1009" s="19" t="str">
        <f>IF(M1009=M1008,"N","Y")</f>
        <v>Y</v>
      </c>
      <c r="O1009">
        <f>SUM(I1008:I1009)</f>
        <v>194</v>
      </c>
      <c r="P1009">
        <f t="shared" si="95"/>
        <v>83</v>
      </c>
    </row>
    <row r="1010" spans="1:16" hidden="1" x14ac:dyDescent="0.3">
      <c r="A1010" t="str">
        <f t="shared" si="94"/>
        <v>2019Brent11</v>
      </c>
      <c r="B1010">
        <f t="shared" si="90"/>
        <v>758</v>
      </c>
      <c r="C1010">
        <f t="shared" si="91"/>
        <v>1767</v>
      </c>
      <c r="D1010" t="s">
        <v>47</v>
      </c>
      <c r="E1010" t="str">
        <f>D1011</f>
        <v>Brian</v>
      </c>
      <c r="F1010">
        <v>2019</v>
      </c>
      <c r="G1010">
        <v>11</v>
      </c>
      <c r="H1010">
        <v>3.1</v>
      </c>
      <c r="I1010" s="14">
        <v>69</v>
      </c>
      <c r="J1010">
        <f>I1010-I1011</f>
        <v>10</v>
      </c>
      <c r="K1010" t="str">
        <f t="shared" si="92"/>
        <v>W</v>
      </c>
      <c r="L1010" t="str">
        <f t="shared" si="93"/>
        <v>Brent</v>
      </c>
      <c r="M1010" t="str">
        <f>VLOOKUP(L1010,References!$A$2:$B$16,2,FALSE)</f>
        <v>TEXAROK</v>
      </c>
      <c r="N1010" s="19" t="str">
        <f>IF(M1010=M1011,"N","Y")</f>
        <v>N</v>
      </c>
      <c r="O1010">
        <f>SUM(I1010:I1011)</f>
        <v>128</v>
      </c>
      <c r="P1010">
        <f t="shared" si="95"/>
        <v>59</v>
      </c>
    </row>
    <row r="1011" spans="1:16" hidden="1" x14ac:dyDescent="0.3">
      <c r="A1011" t="str">
        <f t="shared" si="94"/>
        <v>2019Brian11</v>
      </c>
      <c r="B1011">
        <f t="shared" si="90"/>
        <v>1312</v>
      </c>
      <c r="C1011">
        <f t="shared" si="91"/>
        <v>1951</v>
      </c>
      <c r="D1011" t="s">
        <v>26</v>
      </c>
      <c r="E1011" t="str">
        <f>D1010</f>
        <v>Brent</v>
      </c>
      <c r="F1011">
        <v>2019</v>
      </c>
      <c r="G1011">
        <v>11</v>
      </c>
      <c r="H1011">
        <v>3.2</v>
      </c>
      <c r="I1011" s="14">
        <v>59</v>
      </c>
      <c r="J1011">
        <f>I1011-I1010</f>
        <v>-10</v>
      </c>
      <c r="K1011" t="str">
        <f t="shared" si="92"/>
        <v>L</v>
      </c>
      <c r="L1011" t="str">
        <f t="shared" si="93"/>
        <v>Brian</v>
      </c>
      <c r="M1011" t="str">
        <f>VLOOKUP(L1011,References!$A$2:$B$16,2,FALSE)</f>
        <v>TEXAROK</v>
      </c>
      <c r="N1011" s="19" t="str">
        <f>IF(M1011=M1010,"N","Y")</f>
        <v>N</v>
      </c>
      <c r="O1011">
        <f>SUM(I1010:I1011)</f>
        <v>128</v>
      </c>
      <c r="P1011">
        <f t="shared" si="95"/>
        <v>69</v>
      </c>
    </row>
    <row r="1012" spans="1:16" hidden="1" x14ac:dyDescent="0.3">
      <c r="A1012" t="str">
        <f t="shared" si="94"/>
        <v>2019David11</v>
      </c>
      <c r="B1012">
        <f t="shared" si="90"/>
        <v>571</v>
      </c>
      <c r="C1012">
        <f t="shared" si="91"/>
        <v>857</v>
      </c>
      <c r="D1012" t="s">
        <v>29</v>
      </c>
      <c r="E1012" t="str">
        <f>D1013</f>
        <v>Abby</v>
      </c>
      <c r="F1012">
        <v>2019</v>
      </c>
      <c r="G1012">
        <v>11</v>
      </c>
      <c r="H1012">
        <v>4.0999999999999996</v>
      </c>
      <c r="I1012" s="14">
        <v>95</v>
      </c>
      <c r="J1012">
        <f>I1012-I1013</f>
        <v>18</v>
      </c>
      <c r="K1012" t="str">
        <f t="shared" si="92"/>
        <v>W</v>
      </c>
      <c r="L1012" t="str">
        <f t="shared" si="93"/>
        <v>David</v>
      </c>
      <c r="M1012" t="str">
        <f>VLOOKUP(L1012,References!$A$2:$B$16,2,FALSE)</f>
        <v>TEXAROK</v>
      </c>
      <c r="N1012" s="19" t="str">
        <f>IF(M1012=M1013,"N","Y")</f>
        <v>Y</v>
      </c>
      <c r="O1012">
        <f>SUM(I1012:I1013)</f>
        <v>172</v>
      </c>
      <c r="P1012">
        <f t="shared" si="95"/>
        <v>77</v>
      </c>
    </row>
    <row r="1013" spans="1:16" hidden="1" x14ac:dyDescent="0.3">
      <c r="A1013" t="str">
        <f t="shared" si="94"/>
        <v>2019Abby11</v>
      </c>
      <c r="B1013">
        <f t="shared" si="90"/>
        <v>1497</v>
      </c>
      <c r="C1013">
        <f t="shared" si="91"/>
        <v>1512</v>
      </c>
      <c r="D1013" t="s">
        <v>27</v>
      </c>
      <c r="E1013" t="str">
        <f>D1012</f>
        <v>David</v>
      </c>
      <c r="F1013">
        <v>2019</v>
      </c>
      <c r="G1013">
        <v>11</v>
      </c>
      <c r="H1013">
        <v>4.2</v>
      </c>
      <c r="I1013" s="14">
        <v>77</v>
      </c>
      <c r="J1013">
        <f>I1013-I1012</f>
        <v>-18</v>
      </c>
      <c r="K1013" t="str">
        <f t="shared" si="92"/>
        <v>L</v>
      </c>
      <c r="L1013" t="str">
        <f t="shared" si="93"/>
        <v>Abby</v>
      </c>
      <c r="M1013" t="str">
        <f>VLOOKUP(L1013,References!$A$2:$B$16,2,FALSE)</f>
        <v>AKCOVA</v>
      </c>
      <c r="N1013" s="19" t="str">
        <f>IF(M1013=M1012,"N","Y")</f>
        <v>Y</v>
      </c>
      <c r="O1013">
        <f>SUM(I1012:I1013)</f>
        <v>172</v>
      </c>
      <c r="P1013">
        <f t="shared" si="95"/>
        <v>95</v>
      </c>
    </row>
    <row r="1014" spans="1:16" hidden="1" x14ac:dyDescent="0.3">
      <c r="A1014" t="str">
        <f t="shared" si="94"/>
        <v>2019Emily11</v>
      </c>
      <c r="B1014">
        <f t="shared" si="90"/>
        <v>1546</v>
      </c>
      <c r="C1014">
        <f t="shared" si="91"/>
        <v>1684</v>
      </c>
      <c r="D1014" t="s">
        <v>43</v>
      </c>
      <c r="E1014" t="str">
        <f>D1015</f>
        <v>Charles</v>
      </c>
      <c r="F1014">
        <v>2019</v>
      </c>
      <c r="G1014">
        <v>11</v>
      </c>
      <c r="H1014">
        <v>5.0999999999999996</v>
      </c>
      <c r="I1014" s="14">
        <v>72</v>
      </c>
      <c r="J1014">
        <f>I1014-I1015</f>
        <v>-20</v>
      </c>
      <c r="K1014" t="str">
        <f t="shared" si="92"/>
        <v>L</v>
      </c>
      <c r="L1014" t="str">
        <f t="shared" si="93"/>
        <v>Emily</v>
      </c>
      <c r="M1014" t="str">
        <f>VLOOKUP(L1014,References!$A$2:$B$16,2,FALSE)</f>
        <v>TEXAROK</v>
      </c>
      <c r="N1014" s="19" t="str">
        <f>IF(M1014=M1015,"N","Y")</f>
        <v>Y</v>
      </c>
      <c r="O1014">
        <f>SUM(I1014:I1015)</f>
        <v>164</v>
      </c>
      <c r="P1014">
        <f t="shared" si="95"/>
        <v>92</v>
      </c>
    </row>
    <row r="1015" spans="1:16" hidden="1" x14ac:dyDescent="0.3">
      <c r="A1015" t="str">
        <f t="shared" si="94"/>
        <v>2019Charles11</v>
      </c>
      <c r="B1015">
        <f t="shared" si="90"/>
        <v>517</v>
      </c>
      <c r="C1015">
        <f t="shared" si="91"/>
        <v>958</v>
      </c>
      <c r="D1015" t="s">
        <v>48</v>
      </c>
      <c r="E1015" t="str">
        <f>D1014</f>
        <v>Emily</v>
      </c>
      <c r="F1015">
        <v>2019</v>
      </c>
      <c r="G1015">
        <v>11</v>
      </c>
      <c r="H1015">
        <v>5.2</v>
      </c>
      <c r="I1015" s="14">
        <v>92</v>
      </c>
      <c r="J1015">
        <f>I1015-I1014</f>
        <v>20</v>
      </c>
      <c r="K1015" t="str">
        <f t="shared" si="92"/>
        <v>W</v>
      </c>
      <c r="L1015" t="str">
        <f t="shared" si="93"/>
        <v>Charles</v>
      </c>
      <c r="M1015" t="str">
        <f>VLOOKUP(L1015,References!$A$2:$B$16,2,FALSE)</f>
        <v>AKCOVA</v>
      </c>
      <c r="N1015" s="19" t="str">
        <f>IF(M1015=M1014,"N","Y")</f>
        <v>Y</v>
      </c>
      <c r="O1015">
        <f>SUM(I1014:I1015)</f>
        <v>164</v>
      </c>
      <c r="P1015">
        <f t="shared" si="95"/>
        <v>72</v>
      </c>
    </row>
    <row r="1016" spans="1:16" hidden="1" x14ac:dyDescent="0.3">
      <c r="A1016" t="str">
        <f t="shared" si="94"/>
        <v>2019Russell11</v>
      </c>
      <c r="B1016">
        <f t="shared" si="90"/>
        <v>225</v>
      </c>
      <c r="C1016">
        <f t="shared" si="91"/>
        <v>305</v>
      </c>
      <c r="D1016" t="s">
        <v>28</v>
      </c>
      <c r="E1016" t="str">
        <f>D1017</f>
        <v>Watty</v>
      </c>
      <c r="F1016">
        <v>2019</v>
      </c>
      <c r="G1016">
        <v>11</v>
      </c>
      <c r="H1016">
        <v>6.1</v>
      </c>
      <c r="I1016" s="14">
        <v>115</v>
      </c>
      <c r="J1016">
        <f>I1016-I1017</f>
        <v>37</v>
      </c>
      <c r="K1016" t="str">
        <f t="shared" si="92"/>
        <v>W</v>
      </c>
      <c r="L1016" t="str">
        <f t="shared" si="93"/>
        <v>Russell</v>
      </c>
      <c r="M1016" t="str">
        <f>VLOOKUP(L1016,References!$A$2:$B$16,2,FALSE)</f>
        <v>TEXAROK</v>
      </c>
      <c r="N1016" s="19" t="str">
        <f>IF(M1016=M1017,"N","Y")</f>
        <v>Y</v>
      </c>
      <c r="O1016">
        <f>SUM(I1016:I1017)</f>
        <v>193</v>
      </c>
      <c r="P1016">
        <f t="shared" si="95"/>
        <v>78</v>
      </c>
    </row>
    <row r="1017" spans="1:16" hidden="1" x14ac:dyDescent="0.3">
      <c r="A1017" t="str">
        <f t="shared" si="94"/>
        <v>2019Watty11</v>
      </c>
      <c r="B1017">
        <f t="shared" si="90"/>
        <v>1856</v>
      </c>
      <c r="C1017">
        <f t="shared" si="91"/>
        <v>1468</v>
      </c>
      <c r="D1017" t="s">
        <v>24</v>
      </c>
      <c r="E1017" t="str">
        <f>D1016</f>
        <v>Russell</v>
      </c>
      <c r="F1017">
        <v>2019</v>
      </c>
      <c r="G1017">
        <v>11</v>
      </c>
      <c r="H1017">
        <v>6.2</v>
      </c>
      <c r="I1017" s="14">
        <v>78</v>
      </c>
      <c r="J1017">
        <f>I1017-I1016</f>
        <v>-37</v>
      </c>
      <c r="K1017" t="str">
        <f t="shared" si="92"/>
        <v>L</v>
      </c>
      <c r="L1017" t="str">
        <f t="shared" si="93"/>
        <v>Watty</v>
      </c>
      <c r="M1017" t="str">
        <f>VLOOKUP(L1017,References!$A$2:$B$16,2,FALSE)</f>
        <v>AKCOVA</v>
      </c>
      <c r="N1017" s="19" t="str">
        <f>IF(M1017=M1016,"N","Y")</f>
        <v>Y</v>
      </c>
      <c r="O1017">
        <f>SUM(I1016:I1017)</f>
        <v>193</v>
      </c>
      <c r="P1017">
        <f t="shared" si="95"/>
        <v>115</v>
      </c>
    </row>
    <row r="1018" spans="1:16" hidden="1" x14ac:dyDescent="0.3">
      <c r="A1018" t="str">
        <f t="shared" si="94"/>
        <v>2019Charles12</v>
      </c>
      <c r="B1018">
        <f t="shared" si="90"/>
        <v>1475</v>
      </c>
      <c r="C1018">
        <f t="shared" si="91"/>
        <v>486</v>
      </c>
      <c r="D1018" t="s">
        <v>48</v>
      </c>
      <c r="E1018" t="str">
        <f>D1019</f>
        <v>Michael</v>
      </c>
      <c r="F1018">
        <v>2019</v>
      </c>
      <c r="G1018">
        <v>12</v>
      </c>
      <c r="H1018">
        <v>1.1000000000000001</v>
      </c>
      <c r="I1018" s="14">
        <v>107</v>
      </c>
      <c r="J1018">
        <f>I1018-I1019</f>
        <v>-17</v>
      </c>
      <c r="K1018" t="str">
        <f t="shared" si="92"/>
        <v>L</v>
      </c>
      <c r="L1018" t="str">
        <f t="shared" si="93"/>
        <v>Charles</v>
      </c>
      <c r="M1018" t="str">
        <f>VLOOKUP(L1018,References!$A$2:$B$16,2,FALSE)</f>
        <v>AKCOVA</v>
      </c>
      <c r="N1018" s="19" t="str">
        <f>IF(M1018=M1019,"N","Y")</f>
        <v>N</v>
      </c>
      <c r="O1018">
        <f>SUM(I1018:I1019)</f>
        <v>231</v>
      </c>
      <c r="P1018">
        <f t="shared" si="95"/>
        <v>124</v>
      </c>
    </row>
    <row r="1019" spans="1:16" hidden="1" x14ac:dyDescent="0.3">
      <c r="A1019" t="str">
        <f t="shared" si="94"/>
        <v>2019Michael12</v>
      </c>
      <c r="B1019">
        <f t="shared" si="90"/>
        <v>597</v>
      </c>
      <c r="C1019">
        <f t="shared" si="91"/>
        <v>173</v>
      </c>
      <c r="D1019" t="s">
        <v>23</v>
      </c>
      <c r="E1019" t="str">
        <f>D1018</f>
        <v>Charles</v>
      </c>
      <c r="F1019">
        <v>2019</v>
      </c>
      <c r="G1019">
        <v>12</v>
      </c>
      <c r="H1019">
        <v>1.2</v>
      </c>
      <c r="I1019" s="14">
        <v>124</v>
      </c>
      <c r="J1019">
        <f>I1019-I1018</f>
        <v>17</v>
      </c>
      <c r="K1019" t="str">
        <f t="shared" si="92"/>
        <v>W</v>
      </c>
      <c r="L1019" t="str">
        <f t="shared" si="93"/>
        <v>Michael</v>
      </c>
      <c r="M1019" t="str">
        <f>VLOOKUP(L1019,References!$A$2:$B$16,2,FALSE)</f>
        <v>AKCOVA</v>
      </c>
      <c r="N1019" s="19" t="str">
        <f>IF(M1019=M1018,"N","Y")</f>
        <v>N</v>
      </c>
      <c r="O1019">
        <f>SUM(I1018:I1019)</f>
        <v>231</v>
      </c>
      <c r="P1019">
        <f t="shared" si="95"/>
        <v>107</v>
      </c>
    </row>
    <row r="1020" spans="1:16" hidden="1" x14ac:dyDescent="0.3">
      <c r="A1020" t="str">
        <f t="shared" si="94"/>
        <v>2019Russell12</v>
      </c>
      <c r="B1020">
        <f t="shared" si="90"/>
        <v>1055</v>
      </c>
      <c r="C1020">
        <f t="shared" si="91"/>
        <v>1173</v>
      </c>
      <c r="D1020" t="s">
        <v>28</v>
      </c>
      <c r="E1020" t="str">
        <f>D1021</f>
        <v>David</v>
      </c>
      <c r="F1020">
        <v>2019</v>
      </c>
      <c r="G1020">
        <v>12</v>
      </c>
      <c r="H1020">
        <v>2.1</v>
      </c>
      <c r="I1020" s="14">
        <v>86</v>
      </c>
      <c r="J1020">
        <f>I1020-I1021</f>
        <v>-1</v>
      </c>
      <c r="K1020" t="str">
        <f t="shared" si="92"/>
        <v>L</v>
      </c>
      <c r="L1020" t="str">
        <f t="shared" si="93"/>
        <v>Russell</v>
      </c>
      <c r="M1020" t="str">
        <f>VLOOKUP(L1020,References!$A$2:$B$16,2,FALSE)</f>
        <v>TEXAROK</v>
      </c>
      <c r="N1020" s="19" t="str">
        <f>IF(M1020=M1021,"N","Y")</f>
        <v>N</v>
      </c>
      <c r="O1020">
        <f>SUM(I1020:I1021)</f>
        <v>173</v>
      </c>
      <c r="P1020">
        <f t="shared" si="95"/>
        <v>87</v>
      </c>
    </row>
    <row r="1021" spans="1:16" hidden="1" x14ac:dyDescent="0.3">
      <c r="A1021" t="str">
        <f t="shared" si="94"/>
        <v>2019David12</v>
      </c>
      <c r="B1021">
        <f t="shared" si="90"/>
        <v>1004</v>
      </c>
      <c r="C1021">
        <f t="shared" si="91"/>
        <v>1143</v>
      </c>
      <c r="D1021" t="s">
        <v>29</v>
      </c>
      <c r="E1021" t="str">
        <f>D1020</f>
        <v>Russell</v>
      </c>
      <c r="F1021">
        <v>2019</v>
      </c>
      <c r="G1021">
        <v>12</v>
      </c>
      <c r="H1021">
        <v>2.2000000000000002</v>
      </c>
      <c r="I1021" s="14">
        <v>87</v>
      </c>
      <c r="J1021">
        <f>I1021-I1020</f>
        <v>1</v>
      </c>
      <c r="K1021" t="str">
        <f t="shared" si="92"/>
        <v>W</v>
      </c>
      <c r="L1021" t="str">
        <f t="shared" si="93"/>
        <v>David</v>
      </c>
      <c r="M1021" t="str">
        <f>VLOOKUP(L1021,References!$A$2:$B$16,2,FALSE)</f>
        <v>TEXAROK</v>
      </c>
      <c r="N1021" s="19" t="str">
        <f>IF(M1021=M1020,"N","Y")</f>
        <v>N</v>
      </c>
      <c r="O1021">
        <f>SUM(I1020:I1021)</f>
        <v>173</v>
      </c>
      <c r="P1021">
        <f t="shared" si="95"/>
        <v>86</v>
      </c>
    </row>
    <row r="1022" spans="1:16" hidden="1" x14ac:dyDescent="0.3">
      <c r="A1022" t="str">
        <f t="shared" si="94"/>
        <v>2019Mark12</v>
      </c>
      <c r="B1022">
        <f t="shared" si="90"/>
        <v>1775</v>
      </c>
      <c r="C1022">
        <f t="shared" si="91"/>
        <v>1648</v>
      </c>
      <c r="D1022" t="s">
        <v>22</v>
      </c>
      <c r="E1022" t="str">
        <f>D1023</f>
        <v>Brian</v>
      </c>
      <c r="F1022">
        <v>2019</v>
      </c>
      <c r="G1022">
        <v>12</v>
      </c>
      <c r="H1022">
        <v>3.1</v>
      </c>
      <c r="I1022" s="14">
        <v>73</v>
      </c>
      <c r="J1022">
        <f>I1022-I1023</f>
        <v>-31</v>
      </c>
      <c r="K1022" t="str">
        <f t="shared" si="92"/>
        <v>L</v>
      </c>
      <c r="L1022" t="str">
        <f t="shared" si="93"/>
        <v>Mark</v>
      </c>
      <c r="M1022" t="str">
        <f>VLOOKUP(L1022,References!$A$2:$B$16,2,FALSE)</f>
        <v>AKCOVA</v>
      </c>
      <c r="N1022" s="19" t="str">
        <f>IF(M1022=M1023,"N","Y")</f>
        <v>Y</v>
      </c>
      <c r="O1022">
        <f>SUM(I1022:I1023)</f>
        <v>177</v>
      </c>
      <c r="P1022">
        <f t="shared" si="95"/>
        <v>104</v>
      </c>
    </row>
    <row r="1023" spans="1:16" hidden="1" x14ac:dyDescent="0.3">
      <c r="A1023" t="str">
        <f t="shared" si="94"/>
        <v>2019Brian12</v>
      </c>
      <c r="B1023">
        <f t="shared" si="90"/>
        <v>297</v>
      </c>
      <c r="C1023">
        <f t="shared" si="91"/>
        <v>566</v>
      </c>
      <c r="D1023" t="s">
        <v>26</v>
      </c>
      <c r="E1023" t="str">
        <f>D1022</f>
        <v>Mark</v>
      </c>
      <c r="F1023">
        <v>2019</v>
      </c>
      <c r="G1023">
        <v>12</v>
      </c>
      <c r="H1023">
        <v>3.2</v>
      </c>
      <c r="I1023" s="14">
        <v>104</v>
      </c>
      <c r="J1023">
        <f>I1023-I1022</f>
        <v>31</v>
      </c>
      <c r="K1023" t="str">
        <f t="shared" si="92"/>
        <v>W</v>
      </c>
      <c r="L1023" t="str">
        <f t="shared" si="93"/>
        <v>Brian</v>
      </c>
      <c r="M1023" t="str">
        <f>VLOOKUP(L1023,References!$A$2:$B$16,2,FALSE)</f>
        <v>TEXAROK</v>
      </c>
      <c r="N1023" s="19" t="str">
        <f>IF(M1023=M1022,"N","Y")</f>
        <v>Y</v>
      </c>
      <c r="O1023">
        <f>SUM(I1022:I1023)</f>
        <v>177</v>
      </c>
      <c r="P1023">
        <f t="shared" si="95"/>
        <v>73</v>
      </c>
    </row>
    <row r="1024" spans="1:16" hidden="1" x14ac:dyDescent="0.3">
      <c r="A1024" t="str">
        <f t="shared" si="94"/>
        <v>2019BR12</v>
      </c>
      <c r="B1024">
        <f t="shared" si="90"/>
        <v>713</v>
      </c>
      <c r="C1024">
        <f t="shared" si="91"/>
        <v>1684</v>
      </c>
      <c r="D1024" t="s">
        <v>25</v>
      </c>
      <c r="E1024" t="str">
        <f>D1025</f>
        <v>Watty</v>
      </c>
      <c r="F1024">
        <v>2019</v>
      </c>
      <c r="G1024">
        <v>12</v>
      </c>
      <c r="H1024">
        <v>4.0999999999999996</v>
      </c>
      <c r="I1024" s="14">
        <v>72</v>
      </c>
      <c r="J1024">
        <f>I1024-I1025</f>
        <v>12</v>
      </c>
      <c r="K1024" t="str">
        <f t="shared" si="92"/>
        <v>W</v>
      </c>
      <c r="L1024" t="str">
        <f t="shared" si="93"/>
        <v>BR</v>
      </c>
      <c r="M1024" t="str">
        <f>VLOOKUP(L1024,References!$A$2:$B$16,2,FALSE)</f>
        <v>AKCOVA</v>
      </c>
      <c r="N1024" s="19" t="str">
        <f>IF(M1024=M1025,"N","Y")</f>
        <v>N</v>
      </c>
      <c r="O1024">
        <f>SUM(I1024:I1025)</f>
        <v>132</v>
      </c>
      <c r="P1024">
        <f t="shared" si="95"/>
        <v>60</v>
      </c>
    </row>
    <row r="1025" spans="1:16" hidden="1" x14ac:dyDescent="0.3">
      <c r="A1025" t="str">
        <f t="shared" si="94"/>
        <v>2019Watty12</v>
      </c>
      <c r="B1025">
        <f t="shared" si="90"/>
        <v>1357</v>
      </c>
      <c r="C1025">
        <f t="shared" si="91"/>
        <v>1936</v>
      </c>
      <c r="D1025" t="s">
        <v>24</v>
      </c>
      <c r="E1025" t="str">
        <f>D1024</f>
        <v>BR</v>
      </c>
      <c r="F1025">
        <v>2019</v>
      </c>
      <c r="G1025">
        <v>12</v>
      </c>
      <c r="H1025">
        <v>4.2</v>
      </c>
      <c r="I1025" s="14">
        <v>60</v>
      </c>
      <c r="J1025">
        <f>I1025-I1024</f>
        <v>-12</v>
      </c>
      <c r="K1025" t="str">
        <f t="shared" si="92"/>
        <v>L</v>
      </c>
      <c r="L1025" t="str">
        <f t="shared" si="93"/>
        <v>Watty</v>
      </c>
      <c r="M1025" t="str">
        <f>VLOOKUP(L1025,References!$A$2:$B$16,2,FALSE)</f>
        <v>AKCOVA</v>
      </c>
      <c r="N1025" s="19" t="str">
        <f>IF(M1025=M1024,"N","Y")</f>
        <v>N</v>
      </c>
      <c r="O1025">
        <f>SUM(I1024:I1025)</f>
        <v>132</v>
      </c>
      <c r="P1025">
        <f t="shared" si="95"/>
        <v>72</v>
      </c>
    </row>
    <row r="1026" spans="1:16" hidden="1" x14ac:dyDescent="0.3">
      <c r="A1026" t="str">
        <f t="shared" si="94"/>
        <v>2019Brent12</v>
      </c>
      <c r="B1026">
        <f t="shared" ref="B1026:B1089" si="96">RANK(J1026,diff)</f>
        <v>1546</v>
      </c>
      <c r="C1026">
        <f t="shared" ref="C1026:C1089" si="97">RANK(I1026,points)</f>
        <v>1027</v>
      </c>
      <c r="D1026" t="s">
        <v>47</v>
      </c>
      <c r="E1026" t="str">
        <f>D1027</f>
        <v>Matt</v>
      </c>
      <c r="F1026">
        <v>2019</v>
      </c>
      <c r="G1026">
        <v>12</v>
      </c>
      <c r="H1026">
        <v>5.0999999999999996</v>
      </c>
      <c r="I1026" s="14">
        <v>90</v>
      </c>
      <c r="J1026">
        <f>I1026-I1027</f>
        <v>-20</v>
      </c>
      <c r="K1026" t="str">
        <f t="shared" ref="K1026:K1089" si="98">IF(J1026&gt;0,"W",IF(J1026&lt;0,"L","T"))</f>
        <v>L</v>
      </c>
      <c r="L1026" t="str">
        <f t="shared" ref="L1026:L1089" si="99">D1026</f>
        <v>Brent</v>
      </c>
      <c r="M1026" t="str">
        <f>VLOOKUP(L1026,References!$A$2:$B$16,2,FALSE)</f>
        <v>TEXAROK</v>
      </c>
      <c r="N1026" s="19" t="str">
        <f>IF(M1026=M1027,"N","Y")</f>
        <v>N</v>
      </c>
      <c r="O1026">
        <f>SUM(I1026:I1027)</f>
        <v>200</v>
      </c>
      <c r="P1026">
        <f t="shared" si="95"/>
        <v>110</v>
      </c>
    </row>
    <row r="1027" spans="1:16" hidden="1" x14ac:dyDescent="0.3">
      <c r="A1027" t="str">
        <f t="shared" ref="A1027:A1090" si="100">F1027&amp;D1027&amp;G1027</f>
        <v>2019Matt12</v>
      </c>
      <c r="B1027">
        <f t="shared" si="96"/>
        <v>517</v>
      </c>
      <c r="C1027">
        <f t="shared" si="97"/>
        <v>412</v>
      </c>
      <c r="D1027" t="s">
        <v>30</v>
      </c>
      <c r="E1027" t="str">
        <f>D1026</f>
        <v>Brent</v>
      </c>
      <c r="F1027">
        <v>2019</v>
      </c>
      <c r="G1027">
        <v>12</v>
      </c>
      <c r="H1027">
        <v>5.2</v>
      </c>
      <c r="I1027" s="14">
        <v>110</v>
      </c>
      <c r="J1027">
        <f>I1027-I1026</f>
        <v>20</v>
      </c>
      <c r="K1027" t="str">
        <f t="shared" si="98"/>
        <v>W</v>
      </c>
      <c r="L1027" t="str">
        <f t="shared" si="99"/>
        <v>Matt</v>
      </c>
      <c r="M1027" t="str">
        <f>VLOOKUP(L1027,References!$A$2:$B$16,2,FALSE)</f>
        <v>TEXAROK</v>
      </c>
      <c r="N1027" s="19" t="str">
        <f>IF(M1027=M1026,"N","Y")</f>
        <v>N</v>
      </c>
      <c r="O1027">
        <f>SUM(I1026:I1027)</f>
        <v>200</v>
      </c>
      <c r="P1027">
        <f t="shared" ref="P1027:P1090" si="101">I1027-J1027</f>
        <v>90</v>
      </c>
    </row>
    <row r="1028" spans="1:16" hidden="1" x14ac:dyDescent="0.3">
      <c r="A1028" t="str">
        <f t="shared" si="100"/>
        <v>2019Emily12</v>
      </c>
      <c r="B1028">
        <f t="shared" si="96"/>
        <v>713</v>
      </c>
      <c r="C1028">
        <f t="shared" si="97"/>
        <v>1793</v>
      </c>
      <c r="D1028" t="s">
        <v>43</v>
      </c>
      <c r="E1028" t="str">
        <f>D1029</f>
        <v>Abby</v>
      </c>
      <c r="F1028">
        <v>2019</v>
      </c>
      <c r="G1028">
        <v>12</v>
      </c>
      <c r="H1028">
        <v>6.1</v>
      </c>
      <c r="I1028" s="14">
        <v>68</v>
      </c>
      <c r="J1028">
        <f>I1028-I1029</f>
        <v>12</v>
      </c>
      <c r="K1028" t="str">
        <f t="shared" si="98"/>
        <v>W</v>
      </c>
      <c r="L1028" t="str">
        <f t="shared" si="99"/>
        <v>Emily</v>
      </c>
      <c r="M1028" t="str">
        <f>VLOOKUP(L1028,References!$A$2:$B$16,2,FALSE)</f>
        <v>TEXAROK</v>
      </c>
      <c r="N1028" s="19" t="str">
        <f>IF(M1028=M1029,"N","Y")</f>
        <v>Y</v>
      </c>
      <c r="O1028">
        <f>SUM(I1028:I1029)</f>
        <v>124</v>
      </c>
      <c r="P1028">
        <f t="shared" si="101"/>
        <v>56</v>
      </c>
    </row>
    <row r="1029" spans="1:16" hidden="1" x14ac:dyDescent="0.3">
      <c r="A1029" t="str">
        <f t="shared" si="100"/>
        <v>2019Abby12</v>
      </c>
      <c r="B1029">
        <f t="shared" si="96"/>
        <v>1357</v>
      </c>
      <c r="C1029">
        <f t="shared" si="97"/>
        <v>2001</v>
      </c>
      <c r="D1029" t="s">
        <v>27</v>
      </c>
      <c r="E1029" t="str">
        <f>D1028</f>
        <v>Emily</v>
      </c>
      <c r="F1029">
        <v>2019</v>
      </c>
      <c r="G1029">
        <v>12</v>
      </c>
      <c r="H1029">
        <v>6.2</v>
      </c>
      <c r="I1029" s="14">
        <v>56</v>
      </c>
      <c r="J1029">
        <f>I1029-I1028</f>
        <v>-12</v>
      </c>
      <c r="K1029" t="str">
        <f t="shared" si="98"/>
        <v>L</v>
      </c>
      <c r="L1029" t="str">
        <f t="shared" si="99"/>
        <v>Abby</v>
      </c>
      <c r="M1029" t="str">
        <f>VLOOKUP(L1029,References!$A$2:$B$16,2,FALSE)</f>
        <v>AKCOVA</v>
      </c>
      <c r="N1029" s="19" t="str">
        <f>IF(M1029=M1028,"N","Y")</f>
        <v>Y</v>
      </c>
      <c r="O1029">
        <f>SUM(I1028:I1029)</f>
        <v>124</v>
      </c>
      <c r="P1029">
        <f t="shared" si="101"/>
        <v>68</v>
      </c>
    </row>
    <row r="1030" spans="1:16" hidden="1" x14ac:dyDescent="0.3">
      <c r="A1030" t="str">
        <f t="shared" si="100"/>
        <v>2019Watty13</v>
      </c>
      <c r="B1030">
        <f t="shared" si="96"/>
        <v>1409</v>
      </c>
      <c r="C1030">
        <f t="shared" si="97"/>
        <v>1910</v>
      </c>
      <c r="D1030" t="s">
        <v>24</v>
      </c>
      <c r="E1030" t="str">
        <f>D1031</f>
        <v>Michael</v>
      </c>
      <c r="F1030">
        <v>2019</v>
      </c>
      <c r="G1030">
        <v>13</v>
      </c>
      <c r="H1030">
        <v>1.1000000000000001</v>
      </c>
      <c r="I1030" s="14">
        <v>62</v>
      </c>
      <c r="J1030">
        <f>I1030-I1031</f>
        <v>-14</v>
      </c>
      <c r="K1030" t="str">
        <f t="shared" si="98"/>
        <v>L</v>
      </c>
      <c r="L1030" t="str">
        <f t="shared" si="99"/>
        <v>Watty</v>
      </c>
      <c r="M1030" t="str">
        <f>VLOOKUP(L1030,References!$A$2:$B$16,2,FALSE)</f>
        <v>AKCOVA</v>
      </c>
      <c r="N1030" s="19" t="str">
        <f>IF(M1030=M1031,"N","Y")</f>
        <v>N</v>
      </c>
      <c r="O1030">
        <f>SUM(I1030:I1031)</f>
        <v>138</v>
      </c>
      <c r="P1030">
        <f t="shared" si="101"/>
        <v>76</v>
      </c>
    </row>
    <row r="1031" spans="1:16" hidden="1" x14ac:dyDescent="0.3">
      <c r="A1031" t="str">
        <f t="shared" si="100"/>
        <v>2019Michael13</v>
      </c>
      <c r="B1031">
        <f t="shared" si="96"/>
        <v>660</v>
      </c>
      <c r="C1031">
        <f t="shared" si="97"/>
        <v>1549</v>
      </c>
      <c r="D1031" t="s">
        <v>23</v>
      </c>
      <c r="E1031" t="str">
        <f>D1030</f>
        <v>Watty</v>
      </c>
      <c r="F1031">
        <v>2019</v>
      </c>
      <c r="G1031">
        <v>13</v>
      </c>
      <c r="H1031">
        <v>1.2</v>
      </c>
      <c r="I1031" s="14">
        <v>76</v>
      </c>
      <c r="J1031">
        <f>I1031-I1030</f>
        <v>14</v>
      </c>
      <c r="K1031" t="str">
        <f t="shared" si="98"/>
        <v>W</v>
      </c>
      <c r="L1031" t="str">
        <f t="shared" si="99"/>
        <v>Michael</v>
      </c>
      <c r="M1031" t="str">
        <f>VLOOKUP(L1031,References!$A$2:$B$16,2,FALSE)</f>
        <v>AKCOVA</v>
      </c>
      <c r="N1031" s="19" t="str">
        <f>IF(M1031=M1030,"N","Y")</f>
        <v>N</v>
      </c>
      <c r="O1031">
        <f>SUM(I1030:I1031)</f>
        <v>138</v>
      </c>
      <c r="P1031">
        <f t="shared" si="101"/>
        <v>62</v>
      </c>
    </row>
    <row r="1032" spans="1:16" hidden="1" x14ac:dyDescent="0.3">
      <c r="A1032" t="str">
        <f t="shared" si="100"/>
        <v>2019Matt13</v>
      </c>
      <c r="B1032">
        <f t="shared" si="96"/>
        <v>619</v>
      </c>
      <c r="C1032">
        <f t="shared" si="97"/>
        <v>893</v>
      </c>
      <c r="D1032" t="s">
        <v>30</v>
      </c>
      <c r="E1032" t="str">
        <f>D1033</f>
        <v>Abby</v>
      </c>
      <c r="F1032">
        <v>2019</v>
      </c>
      <c r="G1032">
        <v>13</v>
      </c>
      <c r="H1032">
        <v>2.1</v>
      </c>
      <c r="I1032" s="14">
        <v>94</v>
      </c>
      <c r="J1032">
        <f>I1032-I1033</f>
        <v>16</v>
      </c>
      <c r="K1032" t="str">
        <f t="shared" si="98"/>
        <v>W</v>
      </c>
      <c r="L1032" t="str">
        <f t="shared" si="99"/>
        <v>Matt</v>
      </c>
      <c r="M1032" t="str">
        <f>VLOOKUP(L1032,References!$A$2:$B$16,2,FALSE)</f>
        <v>TEXAROK</v>
      </c>
      <c r="N1032" s="19" t="str">
        <f>IF(M1032=M1033,"N","Y")</f>
        <v>Y</v>
      </c>
      <c r="O1032">
        <f>SUM(I1032:I1033)</f>
        <v>172</v>
      </c>
      <c r="P1032">
        <f t="shared" si="101"/>
        <v>78</v>
      </c>
    </row>
    <row r="1033" spans="1:16" hidden="1" x14ac:dyDescent="0.3">
      <c r="A1033" t="str">
        <f t="shared" si="100"/>
        <v>2019Abby13</v>
      </c>
      <c r="B1033">
        <f t="shared" si="96"/>
        <v>1455</v>
      </c>
      <c r="C1033">
        <f t="shared" si="97"/>
        <v>1468</v>
      </c>
      <c r="D1033" t="s">
        <v>27</v>
      </c>
      <c r="E1033" t="str">
        <f>D1032</f>
        <v>Matt</v>
      </c>
      <c r="F1033">
        <v>2019</v>
      </c>
      <c r="G1033">
        <v>13</v>
      </c>
      <c r="H1033">
        <v>2.2000000000000002</v>
      </c>
      <c r="I1033" s="14">
        <v>78</v>
      </c>
      <c r="J1033">
        <f>I1033-I1032</f>
        <v>-16</v>
      </c>
      <c r="K1033" t="str">
        <f t="shared" si="98"/>
        <v>L</v>
      </c>
      <c r="L1033" t="str">
        <f t="shared" si="99"/>
        <v>Abby</v>
      </c>
      <c r="M1033" t="str">
        <f>VLOOKUP(L1033,References!$A$2:$B$16,2,FALSE)</f>
        <v>AKCOVA</v>
      </c>
      <c r="N1033" s="19" t="str">
        <f>IF(M1033=M1032,"N","Y")</f>
        <v>Y</v>
      </c>
      <c r="O1033">
        <f>SUM(I1032:I1033)</f>
        <v>172</v>
      </c>
      <c r="P1033">
        <f t="shared" si="101"/>
        <v>94</v>
      </c>
    </row>
    <row r="1034" spans="1:16" hidden="1" x14ac:dyDescent="0.3">
      <c r="A1034" t="str">
        <f t="shared" si="100"/>
        <v>2019Emily13</v>
      </c>
      <c r="B1034">
        <f t="shared" si="96"/>
        <v>660</v>
      </c>
      <c r="C1034">
        <f t="shared" si="97"/>
        <v>857</v>
      </c>
      <c r="D1034" t="s">
        <v>43</v>
      </c>
      <c r="E1034" t="str">
        <f>D1035</f>
        <v>Russell</v>
      </c>
      <c r="F1034">
        <v>2019</v>
      </c>
      <c r="G1034">
        <v>13</v>
      </c>
      <c r="H1034">
        <v>3.1</v>
      </c>
      <c r="I1034" s="14">
        <v>95</v>
      </c>
      <c r="J1034">
        <f>I1034-I1035</f>
        <v>14</v>
      </c>
      <c r="K1034" t="str">
        <f t="shared" si="98"/>
        <v>W</v>
      </c>
      <c r="L1034" t="str">
        <f t="shared" si="99"/>
        <v>Emily</v>
      </c>
      <c r="M1034" t="str">
        <f>VLOOKUP(L1034,References!$A$2:$B$16,2,FALSE)</f>
        <v>TEXAROK</v>
      </c>
      <c r="N1034" s="19" t="str">
        <f>IF(M1034=M1035,"N","Y")</f>
        <v>N</v>
      </c>
      <c r="O1034">
        <f>SUM(I1034:I1035)</f>
        <v>176</v>
      </c>
      <c r="P1034">
        <f t="shared" si="101"/>
        <v>81</v>
      </c>
    </row>
    <row r="1035" spans="1:16" hidden="1" x14ac:dyDescent="0.3">
      <c r="A1035" t="str">
        <f t="shared" si="100"/>
        <v>2019Russell13</v>
      </c>
      <c r="B1035">
        <f t="shared" si="96"/>
        <v>1409</v>
      </c>
      <c r="C1035">
        <f t="shared" si="97"/>
        <v>1365</v>
      </c>
      <c r="D1035" t="s">
        <v>28</v>
      </c>
      <c r="E1035" t="str">
        <f>D1034</f>
        <v>Emily</v>
      </c>
      <c r="F1035">
        <v>2019</v>
      </c>
      <c r="G1035">
        <v>13</v>
      </c>
      <c r="H1035">
        <v>3.2</v>
      </c>
      <c r="I1035" s="14">
        <v>81</v>
      </c>
      <c r="J1035">
        <f>I1035-I1034</f>
        <v>-14</v>
      </c>
      <c r="K1035" t="str">
        <f t="shared" si="98"/>
        <v>L</v>
      </c>
      <c r="L1035" t="str">
        <f t="shared" si="99"/>
        <v>Russell</v>
      </c>
      <c r="M1035" t="str">
        <f>VLOOKUP(L1035,References!$A$2:$B$16,2,FALSE)</f>
        <v>TEXAROK</v>
      </c>
      <c r="N1035" s="19" t="str">
        <f>IF(M1035=M1034,"N","Y")</f>
        <v>N</v>
      </c>
      <c r="O1035">
        <f>SUM(I1034:I1035)</f>
        <v>176</v>
      </c>
      <c r="P1035">
        <f t="shared" si="101"/>
        <v>95</v>
      </c>
    </row>
    <row r="1036" spans="1:16" hidden="1" x14ac:dyDescent="0.3">
      <c r="A1036" t="str">
        <f t="shared" si="100"/>
        <v>2019Charles13</v>
      </c>
      <c r="B1036">
        <f t="shared" si="96"/>
        <v>1258</v>
      </c>
      <c r="C1036">
        <f t="shared" si="97"/>
        <v>1595</v>
      </c>
      <c r="D1036" t="s">
        <v>48</v>
      </c>
      <c r="E1036" t="str">
        <f>D1037</f>
        <v>BR</v>
      </c>
      <c r="F1036">
        <v>2019</v>
      </c>
      <c r="G1036">
        <v>13</v>
      </c>
      <c r="H1036">
        <v>4.0999999999999996</v>
      </c>
      <c r="I1036" s="14">
        <v>75</v>
      </c>
      <c r="J1036">
        <f>I1036-I1037</f>
        <v>-8</v>
      </c>
      <c r="K1036" t="str">
        <f t="shared" si="98"/>
        <v>L</v>
      </c>
      <c r="L1036" t="str">
        <f t="shared" si="99"/>
        <v>Charles</v>
      </c>
      <c r="M1036" t="str">
        <f>VLOOKUP(L1036,References!$A$2:$B$16,2,FALSE)</f>
        <v>AKCOVA</v>
      </c>
      <c r="N1036" s="19" t="str">
        <f>IF(M1036=M1037,"N","Y")</f>
        <v>N</v>
      </c>
      <c r="O1036">
        <f>SUM(I1036:I1037)</f>
        <v>158</v>
      </c>
      <c r="P1036">
        <f t="shared" si="101"/>
        <v>83</v>
      </c>
    </row>
    <row r="1037" spans="1:16" hidden="1" x14ac:dyDescent="0.3">
      <c r="A1037" t="str">
        <f t="shared" si="100"/>
        <v>2019BR13</v>
      </c>
      <c r="B1037">
        <f t="shared" si="96"/>
        <v>803</v>
      </c>
      <c r="C1037">
        <f t="shared" si="97"/>
        <v>1282</v>
      </c>
      <c r="D1037" t="s">
        <v>25</v>
      </c>
      <c r="E1037" t="str">
        <f>D1036</f>
        <v>Charles</v>
      </c>
      <c r="F1037">
        <v>2019</v>
      </c>
      <c r="G1037">
        <v>13</v>
      </c>
      <c r="H1037">
        <v>4.2</v>
      </c>
      <c r="I1037" s="14">
        <v>83</v>
      </c>
      <c r="J1037">
        <f>I1037-I1036</f>
        <v>8</v>
      </c>
      <c r="K1037" t="str">
        <f t="shared" si="98"/>
        <v>W</v>
      </c>
      <c r="L1037" t="str">
        <f t="shared" si="99"/>
        <v>BR</v>
      </c>
      <c r="M1037" t="str">
        <f>VLOOKUP(L1037,References!$A$2:$B$16,2,FALSE)</f>
        <v>AKCOVA</v>
      </c>
      <c r="N1037" s="19" t="str">
        <f>IF(M1037=M1036,"N","Y")</f>
        <v>N</v>
      </c>
      <c r="O1037">
        <f>SUM(I1036:I1037)</f>
        <v>158</v>
      </c>
      <c r="P1037">
        <f t="shared" si="101"/>
        <v>75</v>
      </c>
    </row>
    <row r="1038" spans="1:16" hidden="1" x14ac:dyDescent="0.3">
      <c r="A1038" t="str">
        <f t="shared" si="100"/>
        <v>2019Mark13</v>
      </c>
      <c r="B1038">
        <f t="shared" si="96"/>
        <v>1797</v>
      </c>
      <c r="C1038">
        <f t="shared" si="97"/>
        <v>1512</v>
      </c>
      <c r="D1038" t="s">
        <v>22</v>
      </c>
      <c r="E1038" t="str">
        <f>D1039</f>
        <v>Brent</v>
      </c>
      <c r="F1038">
        <v>2019</v>
      </c>
      <c r="G1038">
        <v>13</v>
      </c>
      <c r="H1038">
        <v>5.0999999999999996</v>
      </c>
      <c r="I1038" s="14">
        <v>77</v>
      </c>
      <c r="J1038">
        <f>I1038-I1039</f>
        <v>-32</v>
      </c>
      <c r="K1038" t="str">
        <f t="shared" si="98"/>
        <v>L</v>
      </c>
      <c r="L1038" t="str">
        <f t="shared" si="99"/>
        <v>Mark</v>
      </c>
      <c r="M1038" t="str">
        <f>VLOOKUP(L1038,References!$A$2:$B$16,2,FALSE)</f>
        <v>AKCOVA</v>
      </c>
      <c r="N1038" s="19" t="str">
        <f>IF(M1038=M1039,"N","Y")</f>
        <v>Y</v>
      </c>
      <c r="O1038">
        <f>SUM(I1038:I1039)</f>
        <v>186</v>
      </c>
      <c r="P1038">
        <f t="shared" si="101"/>
        <v>109</v>
      </c>
    </row>
    <row r="1039" spans="1:16" hidden="1" x14ac:dyDescent="0.3">
      <c r="A1039" t="str">
        <f t="shared" si="100"/>
        <v>2019Brent13</v>
      </c>
      <c r="B1039">
        <f t="shared" si="96"/>
        <v>284</v>
      </c>
      <c r="C1039">
        <f t="shared" si="97"/>
        <v>435</v>
      </c>
      <c r="D1039" t="s">
        <v>47</v>
      </c>
      <c r="E1039" t="str">
        <f>D1038</f>
        <v>Mark</v>
      </c>
      <c r="F1039">
        <v>2019</v>
      </c>
      <c r="G1039">
        <v>13</v>
      </c>
      <c r="H1039">
        <v>5.2</v>
      </c>
      <c r="I1039" s="14">
        <v>109</v>
      </c>
      <c r="J1039">
        <f>I1039-I1038</f>
        <v>32</v>
      </c>
      <c r="K1039" t="str">
        <f t="shared" si="98"/>
        <v>W</v>
      </c>
      <c r="L1039" t="str">
        <f t="shared" si="99"/>
        <v>Brent</v>
      </c>
      <c r="M1039" t="str">
        <f>VLOOKUP(L1039,References!$A$2:$B$16,2,FALSE)</f>
        <v>TEXAROK</v>
      </c>
      <c r="N1039" s="19" t="str">
        <f>IF(M1039=M1038,"N","Y")</f>
        <v>Y</v>
      </c>
      <c r="O1039">
        <f>SUM(I1038:I1039)</f>
        <v>186</v>
      </c>
      <c r="P1039">
        <f t="shared" si="101"/>
        <v>77</v>
      </c>
    </row>
    <row r="1040" spans="1:16" hidden="1" x14ac:dyDescent="0.3">
      <c r="A1040" t="str">
        <f t="shared" si="100"/>
        <v>2019Brian13</v>
      </c>
      <c r="B1040">
        <f t="shared" si="96"/>
        <v>836</v>
      </c>
      <c r="C1040">
        <f t="shared" si="97"/>
        <v>1027</v>
      </c>
      <c r="D1040" t="s">
        <v>26</v>
      </c>
      <c r="E1040" t="str">
        <f>D1041</f>
        <v>David</v>
      </c>
      <c r="F1040">
        <v>2019</v>
      </c>
      <c r="G1040">
        <v>13</v>
      </c>
      <c r="H1040">
        <v>6.1</v>
      </c>
      <c r="I1040" s="14">
        <v>90</v>
      </c>
      <c r="J1040">
        <f>I1040-I1041</f>
        <v>7</v>
      </c>
      <c r="K1040" t="str">
        <f t="shared" si="98"/>
        <v>W</v>
      </c>
      <c r="L1040" t="str">
        <f t="shared" si="99"/>
        <v>Brian</v>
      </c>
      <c r="M1040" t="str">
        <f>VLOOKUP(L1040,References!$A$2:$B$16,2,FALSE)</f>
        <v>TEXAROK</v>
      </c>
      <c r="N1040" s="19" t="str">
        <f>IF(M1040=M1041,"N","Y")</f>
        <v>N</v>
      </c>
      <c r="O1040">
        <f>SUM(I1040:I1041)</f>
        <v>173</v>
      </c>
      <c r="P1040">
        <f t="shared" si="101"/>
        <v>83</v>
      </c>
    </row>
    <row r="1041" spans="1:16" hidden="1" x14ac:dyDescent="0.3">
      <c r="A1041" t="str">
        <f t="shared" si="100"/>
        <v>2019David13</v>
      </c>
      <c r="B1041">
        <f t="shared" si="96"/>
        <v>1229</v>
      </c>
      <c r="C1041">
        <f t="shared" si="97"/>
        <v>1282</v>
      </c>
      <c r="D1041" t="s">
        <v>29</v>
      </c>
      <c r="E1041" t="str">
        <f>D1040</f>
        <v>Brian</v>
      </c>
      <c r="F1041">
        <v>2019</v>
      </c>
      <c r="G1041">
        <v>13</v>
      </c>
      <c r="H1041">
        <v>6.2</v>
      </c>
      <c r="I1041" s="14">
        <v>83</v>
      </c>
      <c r="J1041">
        <f>I1041-I1040</f>
        <v>-7</v>
      </c>
      <c r="K1041" t="str">
        <f t="shared" si="98"/>
        <v>L</v>
      </c>
      <c r="L1041" t="str">
        <f t="shared" si="99"/>
        <v>David</v>
      </c>
      <c r="M1041" t="str">
        <f>VLOOKUP(L1041,References!$A$2:$B$16,2,FALSE)</f>
        <v>TEXAROK</v>
      </c>
      <c r="N1041" s="19" t="str">
        <f>IF(M1041=M1040,"N","Y")</f>
        <v>N</v>
      </c>
      <c r="O1041">
        <f>SUM(I1040:I1041)</f>
        <v>173</v>
      </c>
      <c r="P1041">
        <f t="shared" si="101"/>
        <v>90</v>
      </c>
    </row>
    <row r="1042" spans="1:16" hidden="1" x14ac:dyDescent="0.3">
      <c r="A1042" t="str">
        <f t="shared" si="100"/>
        <v>2020Michael1</v>
      </c>
      <c r="B1042">
        <f t="shared" si="96"/>
        <v>737</v>
      </c>
      <c r="C1042">
        <f t="shared" si="97"/>
        <v>992</v>
      </c>
      <c r="D1042" t="s">
        <v>23</v>
      </c>
      <c r="E1042" t="str">
        <f>D1043</f>
        <v>Matt</v>
      </c>
      <c r="F1042">
        <v>2020</v>
      </c>
      <c r="G1042">
        <v>1</v>
      </c>
      <c r="H1042">
        <v>1.1000000000000001</v>
      </c>
      <c r="I1042" s="14">
        <v>91</v>
      </c>
      <c r="J1042">
        <f>I1042-I1043</f>
        <v>11</v>
      </c>
      <c r="K1042" t="str">
        <f t="shared" si="98"/>
        <v>W</v>
      </c>
      <c r="L1042" t="str">
        <f t="shared" si="99"/>
        <v>Michael</v>
      </c>
      <c r="M1042" t="str">
        <f>VLOOKUP(L1042,References!$A$2:$B$16,2,FALSE)</f>
        <v>AKCOVA</v>
      </c>
      <c r="N1042" s="19" t="str">
        <f>IF(M1042=M1043,"N","Y")</f>
        <v>Y</v>
      </c>
      <c r="O1042">
        <f>SUM(I1042:I1043)</f>
        <v>171</v>
      </c>
      <c r="P1042">
        <f t="shared" si="101"/>
        <v>80</v>
      </c>
    </row>
    <row r="1043" spans="1:16" hidden="1" x14ac:dyDescent="0.3">
      <c r="A1043" t="str">
        <f t="shared" si="100"/>
        <v>2020Matt1</v>
      </c>
      <c r="B1043">
        <f t="shared" si="96"/>
        <v>1336</v>
      </c>
      <c r="C1043">
        <f t="shared" si="97"/>
        <v>1406</v>
      </c>
      <c r="D1043" t="s">
        <v>30</v>
      </c>
      <c r="E1043" t="str">
        <f>D1042</f>
        <v>Michael</v>
      </c>
      <c r="F1043">
        <v>2020</v>
      </c>
      <c r="G1043">
        <v>1</v>
      </c>
      <c r="H1043">
        <v>1.2</v>
      </c>
      <c r="I1043" s="14">
        <v>80</v>
      </c>
      <c r="J1043">
        <f>I1043-I1042</f>
        <v>-11</v>
      </c>
      <c r="K1043" t="str">
        <f t="shared" si="98"/>
        <v>L</v>
      </c>
      <c r="L1043" t="str">
        <f t="shared" si="99"/>
        <v>Matt</v>
      </c>
      <c r="M1043" t="str">
        <f>VLOOKUP(L1043,References!$A$2:$B$16,2,FALSE)</f>
        <v>TEXAROK</v>
      </c>
      <c r="N1043" s="19" t="str">
        <f>IF(M1043=M1042,"N","Y")</f>
        <v>Y</v>
      </c>
      <c r="O1043">
        <f>SUM(I1042:I1043)</f>
        <v>171</v>
      </c>
      <c r="P1043">
        <f t="shared" si="101"/>
        <v>91</v>
      </c>
    </row>
    <row r="1044" spans="1:16" hidden="1" x14ac:dyDescent="0.3">
      <c r="A1044" t="str">
        <f t="shared" si="100"/>
        <v>2020Emily1</v>
      </c>
      <c r="B1044">
        <f t="shared" si="96"/>
        <v>1797</v>
      </c>
      <c r="C1044">
        <f t="shared" si="97"/>
        <v>1406</v>
      </c>
      <c r="D1044" t="s">
        <v>43</v>
      </c>
      <c r="E1044" t="str">
        <f>D1045</f>
        <v>David</v>
      </c>
      <c r="F1044">
        <v>2020</v>
      </c>
      <c r="G1044">
        <v>1</v>
      </c>
      <c r="H1044">
        <v>2.1</v>
      </c>
      <c r="I1044" s="14">
        <v>80</v>
      </c>
      <c r="J1044">
        <f>I1044-I1045</f>
        <v>-32</v>
      </c>
      <c r="K1044" t="str">
        <f t="shared" si="98"/>
        <v>L</v>
      </c>
      <c r="L1044" t="str">
        <f t="shared" si="99"/>
        <v>Emily</v>
      </c>
      <c r="M1044" t="str">
        <f>VLOOKUP(L1044,References!$A$2:$B$16,2,FALSE)</f>
        <v>TEXAROK</v>
      </c>
      <c r="N1044" s="19" t="str">
        <f>IF(M1044=M1045,"N","Y")</f>
        <v>N</v>
      </c>
      <c r="O1044">
        <f>SUM(I1044:I1045)</f>
        <v>192</v>
      </c>
      <c r="P1044">
        <f t="shared" si="101"/>
        <v>112</v>
      </c>
    </row>
    <row r="1045" spans="1:16" hidden="1" x14ac:dyDescent="0.3">
      <c r="A1045" t="str">
        <f t="shared" si="100"/>
        <v>2020David1</v>
      </c>
      <c r="B1045">
        <f t="shared" si="96"/>
        <v>284</v>
      </c>
      <c r="C1045">
        <f t="shared" si="97"/>
        <v>364</v>
      </c>
      <c r="D1045" t="s">
        <v>29</v>
      </c>
      <c r="E1045" t="str">
        <f>D1044</f>
        <v>Emily</v>
      </c>
      <c r="F1045">
        <v>2020</v>
      </c>
      <c r="G1045">
        <v>1</v>
      </c>
      <c r="H1045">
        <v>2.2000000000000002</v>
      </c>
      <c r="I1045" s="14">
        <v>112</v>
      </c>
      <c r="J1045">
        <f>I1045-I1044</f>
        <v>32</v>
      </c>
      <c r="K1045" t="str">
        <f t="shared" si="98"/>
        <v>W</v>
      </c>
      <c r="L1045" t="str">
        <f t="shared" si="99"/>
        <v>David</v>
      </c>
      <c r="M1045" t="str">
        <f>VLOOKUP(L1045,References!$A$2:$B$16,2,FALSE)</f>
        <v>TEXAROK</v>
      </c>
      <c r="N1045" s="19" t="str">
        <f>IF(M1045=M1044,"N","Y")</f>
        <v>N</v>
      </c>
      <c r="O1045">
        <f>SUM(I1044:I1045)</f>
        <v>192</v>
      </c>
      <c r="P1045">
        <f t="shared" si="101"/>
        <v>80</v>
      </c>
    </row>
    <row r="1046" spans="1:16" hidden="1" x14ac:dyDescent="0.3">
      <c r="A1046" t="str">
        <f t="shared" si="100"/>
        <v>2020Brent1</v>
      </c>
      <c r="B1046">
        <f t="shared" si="96"/>
        <v>1944</v>
      </c>
      <c r="C1046">
        <f t="shared" si="97"/>
        <v>1100</v>
      </c>
      <c r="D1046" t="s">
        <v>47</v>
      </c>
      <c r="E1046" t="str">
        <f>D1047</f>
        <v>Russell</v>
      </c>
      <c r="F1046">
        <v>2020</v>
      </c>
      <c r="G1046">
        <v>1</v>
      </c>
      <c r="H1046">
        <v>3.1</v>
      </c>
      <c r="I1046" s="14">
        <v>88</v>
      </c>
      <c r="J1046">
        <f>I1046-I1047</f>
        <v>-45</v>
      </c>
      <c r="K1046" t="str">
        <f t="shared" si="98"/>
        <v>L</v>
      </c>
      <c r="L1046" t="str">
        <f t="shared" si="99"/>
        <v>Brent</v>
      </c>
      <c r="M1046" t="str">
        <f>VLOOKUP(L1046,References!$A$2:$B$16,2,FALSE)</f>
        <v>TEXAROK</v>
      </c>
      <c r="N1046" s="19" t="str">
        <f>IF(M1046=M1047,"N","Y")</f>
        <v>N</v>
      </c>
      <c r="O1046">
        <f>SUM(I1046:I1047)</f>
        <v>221</v>
      </c>
      <c r="P1046">
        <f t="shared" si="101"/>
        <v>133</v>
      </c>
    </row>
    <row r="1047" spans="1:16" hidden="1" x14ac:dyDescent="0.3">
      <c r="A1047" t="str">
        <f t="shared" si="100"/>
        <v>2020Russell1</v>
      </c>
      <c r="B1047">
        <f t="shared" si="96"/>
        <v>142</v>
      </c>
      <c r="C1047">
        <f t="shared" si="97"/>
        <v>89</v>
      </c>
      <c r="D1047" t="s">
        <v>28</v>
      </c>
      <c r="E1047" t="str">
        <f>D1046</f>
        <v>Brent</v>
      </c>
      <c r="F1047">
        <v>2020</v>
      </c>
      <c r="G1047">
        <v>1</v>
      </c>
      <c r="H1047">
        <v>3.2</v>
      </c>
      <c r="I1047" s="14">
        <v>133</v>
      </c>
      <c r="J1047">
        <f>I1047-I1046</f>
        <v>45</v>
      </c>
      <c r="K1047" t="str">
        <f t="shared" si="98"/>
        <v>W</v>
      </c>
      <c r="L1047" t="str">
        <f t="shared" si="99"/>
        <v>Russell</v>
      </c>
      <c r="M1047" t="str">
        <f>VLOOKUP(L1047,References!$A$2:$B$16,2,FALSE)</f>
        <v>TEXAROK</v>
      </c>
      <c r="N1047" s="19" t="str">
        <f>IF(M1047=M1046,"N","Y")</f>
        <v>N</v>
      </c>
      <c r="O1047">
        <f>SUM(I1046:I1047)</f>
        <v>221</v>
      </c>
      <c r="P1047">
        <f t="shared" si="101"/>
        <v>88</v>
      </c>
    </row>
    <row r="1048" spans="1:16" hidden="1" x14ac:dyDescent="0.3">
      <c r="A1048" t="str">
        <f t="shared" si="100"/>
        <v>2020Abby1</v>
      </c>
      <c r="B1048">
        <f t="shared" si="96"/>
        <v>410</v>
      </c>
      <c r="C1048">
        <f t="shared" si="97"/>
        <v>1648</v>
      </c>
      <c r="D1048" t="s">
        <v>27</v>
      </c>
      <c r="E1048" t="str">
        <f>D1049</f>
        <v>Mark</v>
      </c>
      <c r="F1048">
        <v>2020</v>
      </c>
      <c r="G1048">
        <v>1</v>
      </c>
      <c r="H1048">
        <v>4.0999999999999996</v>
      </c>
      <c r="I1048" s="14">
        <v>73</v>
      </c>
      <c r="J1048">
        <f>I1048-I1049</f>
        <v>25</v>
      </c>
      <c r="K1048" t="str">
        <f t="shared" si="98"/>
        <v>W</v>
      </c>
      <c r="L1048" t="str">
        <f t="shared" si="99"/>
        <v>Abby</v>
      </c>
      <c r="M1048" t="str">
        <f>VLOOKUP(L1048,References!$A$2:$B$16,2,FALSE)</f>
        <v>AKCOVA</v>
      </c>
      <c r="N1048" s="19" t="str">
        <f>IF(M1048=M1049,"N","Y")</f>
        <v>N</v>
      </c>
      <c r="O1048">
        <f>SUM(I1048:I1049)</f>
        <v>121</v>
      </c>
      <c r="P1048">
        <f t="shared" si="101"/>
        <v>48</v>
      </c>
    </row>
    <row r="1049" spans="1:16" hidden="1" x14ac:dyDescent="0.3">
      <c r="A1049" t="str">
        <f t="shared" si="100"/>
        <v>2020Mark1</v>
      </c>
      <c r="B1049">
        <f t="shared" si="96"/>
        <v>1661</v>
      </c>
      <c r="C1049">
        <f t="shared" si="97"/>
        <v>2060</v>
      </c>
      <c r="D1049" t="s">
        <v>22</v>
      </c>
      <c r="E1049" t="str">
        <f>D1048</f>
        <v>Abby</v>
      </c>
      <c r="F1049">
        <v>2020</v>
      </c>
      <c r="G1049">
        <v>1</v>
      </c>
      <c r="H1049">
        <v>4.2</v>
      </c>
      <c r="I1049" s="14">
        <v>48</v>
      </c>
      <c r="J1049">
        <f>I1049-I1048</f>
        <v>-25</v>
      </c>
      <c r="K1049" t="str">
        <f t="shared" si="98"/>
        <v>L</v>
      </c>
      <c r="L1049" t="str">
        <f t="shared" si="99"/>
        <v>Mark</v>
      </c>
      <c r="M1049" t="str">
        <f>VLOOKUP(L1049,References!$A$2:$B$16,2,FALSE)</f>
        <v>AKCOVA</v>
      </c>
      <c r="N1049" s="19" t="str">
        <f>IF(M1049=M1048,"N","Y")</f>
        <v>N</v>
      </c>
      <c r="O1049">
        <f>SUM(I1048:I1049)</f>
        <v>121</v>
      </c>
      <c r="P1049">
        <f t="shared" si="101"/>
        <v>73</v>
      </c>
    </row>
    <row r="1050" spans="1:16" hidden="1" x14ac:dyDescent="0.3">
      <c r="A1050" t="str">
        <f t="shared" si="100"/>
        <v>2020BR1</v>
      </c>
      <c r="B1050">
        <f t="shared" si="96"/>
        <v>254</v>
      </c>
      <c r="C1050">
        <f t="shared" si="97"/>
        <v>486</v>
      </c>
      <c r="D1050" t="s">
        <v>25</v>
      </c>
      <c r="E1050" t="str">
        <f>D1051</f>
        <v>Watty</v>
      </c>
      <c r="F1050">
        <v>2020</v>
      </c>
      <c r="G1050">
        <v>1</v>
      </c>
      <c r="H1050">
        <v>5.0999999999999996</v>
      </c>
      <c r="I1050" s="14">
        <v>107</v>
      </c>
      <c r="J1050">
        <f>I1050-I1051</f>
        <v>35</v>
      </c>
      <c r="K1050" t="str">
        <f t="shared" si="98"/>
        <v>W</v>
      </c>
      <c r="L1050" t="str">
        <f t="shared" si="99"/>
        <v>BR</v>
      </c>
      <c r="M1050" t="str">
        <f>VLOOKUP(L1050,References!$A$2:$B$16,2,FALSE)</f>
        <v>AKCOVA</v>
      </c>
      <c r="N1050" s="19" t="str">
        <f>IF(M1050=M1051,"N","Y")</f>
        <v>N</v>
      </c>
      <c r="O1050">
        <f>SUM(I1050:I1051)</f>
        <v>179</v>
      </c>
      <c r="P1050">
        <f t="shared" si="101"/>
        <v>72</v>
      </c>
    </row>
    <row r="1051" spans="1:16" hidden="1" x14ac:dyDescent="0.3">
      <c r="A1051" t="str">
        <f t="shared" si="100"/>
        <v>2020Watty1</v>
      </c>
      <c r="B1051">
        <f t="shared" si="96"/>
        <v>1832</v>
      </c>
      <c r="C1051">
        <f t="shared" si="97"/>
        <v>1684</v>
      </c>
      <c r="D1051" t="s">
        <v>24</v>
      </c>
      <c r="E1051" t="str">
        <f>D1050</f>
        <v>BR</v>
      </c>
      <c r="F1051">
        <v>2020</v>
      </c>
      <c r="G1051">
        <v>1</v>
      </c>
      <c r="H1051">
        <v>5.2</v>
      </c>
      <c r="I1051" s="14">
        <v>72</v>
      </c>
      <c r="J1051">
        <f>I1051-I1050</f>
        <v>-35</v>
      </c>
      <c r="K1051" t="str">
        <f t="shared" si="98"/>
        <v>L</v>
      </c>
      <c r="L1051" t="str">
        <f t="shared" si="99"/>
        <v>Watty</v>
      </c>
      <c r="M1051" t="str">
        <f>VLOOKUP(L1051,References!$A$2:$B$16,2,FALSE)</f>
        <v>AKCOVA</v>
      </c>
      <c r="N1051" s="19" t="str">
        <f>IF(M1051=M1050,"N","Y")</f>
        <v>N</v>
      </c>
      <c r="O1051">
        <f>SUM(I1050:I1051)</f>
        <v>179</v>
      </c>
      <c r="P1051">
        <f t="shared" si="101"/>
        <v>107</v>
      </c>
    </row>
    <row r="1052" spans="1:16" hidden="1" x14ac:dyDescent="0.3">
      <c r="A1052" t="str">
        <f t="shared" si="100"/>
        <v>2020Charles1</v>
      </c>
      <c r="B1052">
        <f t="shared" si="96"/>
        <v>1055</v>
      </c>
      <c r="C1052">
        <f t="shared" si="97"/>
        <v>926</v>
      </c>
      <c r="D1052" t="s">
        <v>48</v>
      </c>
      <c r="E1052" t="str">
        <f>D1053</f>
        <v>Brian</v>
      </c>
      <c r="F1052">
        <v>2020</v>
      </c>
      <c r="G1052">
        <v>1</v>
      </c>
      <c r="H1052">
        <v>6.1</v>
      </c>
      <c r="I1052" s="14">
        <v>93</v>
      </c>
      <c r="J1052">
        <f>I1052-I1053</f>
        <v>-1</v>
      </c>
      <c r="K1052" t="str">
        <f t="shared" si="98"/>
        <v>L</v>
      </c>
      <c r="L1052" t="str">
        <f t="shared" si="99"/>
        <v>Charles</v>
      </c>
      <c r="M1052" t="str">
        <f>VLOOKUP(L1052,References!$A$2:$B$16,2,FALSE)</f>
        <v>AKCOVA</v>
      </c>
      <c r="N1052" s="19" t="str">
        <f>IF(M1052=M1053,"N","Y")</f>
        <v>Y</v>
      </c>
      <c r="O1052">
        <f>SUM(I1052:I1053)</f>
        <v>187</v>
      </c>
      <c r="P1052">
        <f t="shared" si="101"/>
        <v>94</v>
      </c>
    </row>
    <row r="1053" spans="1:16" hidden="1" x14ac:dyDescent="0.3">
      <c r="A1053" t="str">
        <f t="shared" si="100"/>
        <v>2020Brian1</v>
      </c>
      <c r="B1053">
        <f t="shared" si="96"/>
        <v>1004</v>
      </c>
      <c r="C1053">
        <f t="shared" si="97"/>
        <v>893</v>
      </c>
      <c r="D1053" t="s">
        <v>26</v>
      </c>
      <c r="E1053" t="str">
        <f>D1052</f>
        <v>Charles</v>
      </c>
      <c r="F1053">
        <v>2020</v>
      </c>
      <c r="G1053">
        <v>1</v>
      </c>
      <c r="H1053">
        <v>6.2</v>
      </c>
      <c r="I1053" s="14">
        <v>94</v>
      </c>
      <c r="J1053">
        <f>I1053-I1052</f>
        <v>1</v>
      </c>
      <c r="K1053" t="str">
        <f t="shared" si="98"/>
        <v>W</v>
      </c>
      <c r="L1053" t="str">
        <f t="shared" si="99"/>
        <v>Brian</v>
      </c>
      <c r="M1053" t="str">
        <f>VLOOKUP(L1053,References!$A$2:$B$16,2,FALSE)</f>
        <v>TEXAROK</v>
      </c>
      <c r="N1053" s="19" t="str">
        <f>IF(M1053=M1052,"N","Y")</f>
        <v>Y</v>
      </c>
      <c r="O1053">
        <f>SUM(I1052:I1053)</f>
        <v>187</v>
      </c>
      <c r="P1053">
        <f t="shared" si="101"/>
        <v>93</v>
      </c>
    </row>
    <row r="1054" spans="1:16" hidden="1" x14ac:dyDescent="0.3">
      <c r="A1054" t="str">
        <f t="shared" si="100"/>
        <v>2020Emily2</v>
      </c>
      <c r="B1054">
        <f t="shared" si="96"/>
        <v>1312</v>
      </c>
      <c r="C1054">
        <f t="shared" si="97"/>
        <v>857</v>
      </c>
      <c r="D1054" t="s">
        <v>43</v>
      </c>
      <c r="E1054" t="str">
        <f>D1055</f>
        <v>Michael</v>
      </c>
      <c r="F1054">
        <v>2020</v>
      </c>
      <c r="G1054">
        <v>2</v>
      </c>
      <c r="H1054">
        <v>1.1000000000000001</v>
      </c>
      <c r="I1054" s="14">
        <v>95</v>
      </c>
      <c r="J1054">
        <f>I1054-I1055</f>
        <v>-10</v>
      </c>
      <c r="K1054" t="str">
        <f t="shared" si="98"/>
        <v>L</v>
      </c>
      <c r="L1054" t="str">
        <f t="shared" si="99"/>
        <v>Emily</v>
      </c>
      <c r="M1054" t="str">
        <f>VLOOKUP(L1054,References!$A$2:$B$16,2,FALSE)</f>
        <v>TEXAROK</v>
      </c>
      <c r="N1054" s="19" t="str">
        <f>IF(M1054=M1055,"N","Y")</f>
        <v>Y</v>
      </c>
      <c r="O1054">
        <f>SUM(I1054:I1055)</f>
        <v>200</v>
      </c>
      <c r="P1054">
        <f t="shared" si="101"/>
        <v>105</v>
      </c>
    </row>
    <row r="1055" spans="1:16" hidden="1" x14ac:dyDescent="0.3">
      <c r="A1055" t="str">
        <f t="shared" si="100"/>
        <v>2020Michael2</v>
      </c>
      <c r="B1055">
        <f t="shared" si="96"/>
        <v>758</v>
      </c>
      <c r="C1055">
        <f t="shared" si="97"/>
        <v>540</v>
      </c>
      <c r="D1055" t="s">
        <v>23</v>
      </c>
      <c r="E1055" t="str">
        <f>D1054</f>
        <v>Emily</v>
      </c>
      <c r="F1055">
        <v>2020</v>
      </c>
      <c r="G1055">
        <v>2</v>
      </c>
      <c r="H1055">
        <v>1.2</v>
      </c>
      <c r="I1055" s="14">
        <v>105</v>
      </c>
      <c r="J1055">
        <f>I1055-I1054</f>
        <v>10</v>
      </c>
      <c r="K1055" t="str">
        <f t="shared" si="98"/>
        <v>W</v>
      </c>
      <c r="L1055" t="str">
        <f t="shared" si="99"/>
        <v>Michael</v>
      </c>
      <c r="M1055" t="str">
        <f>VLOOKUP(L1055,References!$A$2:$B$16,2,FALSE)</f>
        <v>AKCOVA</v>
      </c>
      <c r="N1055" s="19" t="str">
        <f>IF(M1055=M1054,"N","Y")</f>
        <v>Y</v>
      </c>
      <c r="O1055">
        <f>SUM(I1054:I1055)</f>
        <v>200</v>
      </c>
      <c r="P1055">
        <f t="shared" si="101"/>
        <v>95</v>
      </c>
    </row>
    <row r="1056" spans="1:16" hidden="1" x14ac:dyDescent="0.3">
      <c r="A1056" t="str">
        <f t="shared" si="100"/>
        <v>2020Matt2</v>
      </c>
      <c r="B1056">
        <f t="shared" si="96"/>
        <v>1907</v>
      </c>
      <c r="C1056">
        <f t="shared" si="97"/>
        <v>1549</v>
      </c>
      <c r="D1056" t="s">
        <v>30</v>
      </c>
      <c r="E1056" t="str">
        <f>D1057</f>
        <v>Brent</v>
      </c>
      <c r="F1056">
        <v>2020</v>
      </c>
      <c r="G1056">
        <v>2</v>
      </c>
      <c r="H1056">
        <v>2.1</v>
      </c>
      <c r="I1056" s="14">
        <v>76</v>
      </c>
      <c r="J1056">
        <f>I1056-I1057</f>
        <v>-41</v>
      </c>
      <c r="K1056" t="str">
        <f t="shared" si="98"/>
        <v>L</v>
      </c>
      <c r="L1056" t="str">
        <f t="shared" si="99"/>
        <v>Matt</v>
      </c>
      <c r="M1056" t="str">
        <f>VLOOKUP(L1056,References!$A$2:$B$16,2,FALSE)</f>
        <v>TEXAROK</v>
      </c>
      <c r="N1056" s="19" t="str">
        <f>IF(M1056=M1057,"N","Y")</f>
        <v>N</v>
      </c>
      <c r="O1056">
        <f>SUM(I1056:I1057)</f>
        <v>193</v>
      </c>
      <c r="P1056">
        <f t="shared" si="101"/>
        <v>117</v>
      </c>
    </row>
    <row r="1057" spans="1:16" hidden="1" x14ac:dyDescent="0.3">
      <c r="A1057" t="str">
        <f t="shared" si="100"/>
        <v>2020Brent2</v>
      </c>
      <c r="B1057">
        <f t="shared" si="96"/>
        <v>180</v>
      </c>
      <c r="C1057">
        <f t="shared" si="97"/>
        <v>275</v>
      </c>
      <c r="D1057" t="s">
        <v>47</v>
      </c>
      <c r="E1057" t="str">
        <f>D1056</f>
        <v>Matt</v>
      </c>
      <c r="F1057">
        <v>2020</v>
      </c>
      <c r="G1057">
        <v>2</v>
      </c>
      <c r="H1057">
        <v>2.2000000000000002</v>
      </c>
      <c r="I1057" s="14">
        <v>117</v>
      </c>
      <c r="J1057">
        <f>I1057-I1056</f>
        <v>41</v>
      </c>
      <c r="K1057" t="str">
        <f t="shared" si="98"/>
        <v>W</v>
      </c>
      <c r="L1057" t="str">
        <f t="shared" si="99"/>
        <v>Brent</v>
      </c>
      <c r="M1057" t="str">
        <f>VLOOKUP(L1057,References!$A$2:$B$16,2,FALSE)</f>
        <v>TEXAROK</v>
      </c>
      <c r="N1057" s="19" t="str">
        <f>IF(M1057=M1056,"N","Y")</f>
        <v>N</v>
      </c>
      <c r="O1057">
        <f>SUM(I1056:I1057)</f>
        <v>193</v>
      </c>
      <c r="P1057">
        <f t="shared" si="101"/>
        <v>76</v>
      </c>
    </row>
    <row r="1058" spans="1:16" hidden="1" x14ac:dyDescent="0.3">
      <c r="A1058" t="str">
        <f t="shared" si="100"/>
        <v>2020David2</v>
      </c>
      <c r="B1058">
        <f t="shared" si="96"/>
        <v>1856</v>
      </c>
      <c r="C1058">
        <f t="shared" si="97"/>
        <v>1549</v>
      </c>
      <c r="D1058" t="s">
        <v>29</v>
      </c>
      <c r="E1058" t="str">
        <f>D1059</f>
        <v>Russell</v>
      </c>
      <c r="F1058">
        <v>2020</v>
      </c>
      <c r="G1058">
        <v>2</v>
      </c>
      <c r="H1058">
        <v>3.1</v>
      </c>
      <c r="I1058" s="14">
        <v>76</v>
      </c>
      <c r="J1058">
        <f>I1058-I1059</f>
        <v>-37</v>
      </c>
      <c r="K1058" t="str">
        <f t="shared" si="98"/>
        <v>L</v>
      </c>
      <c r="L1058" t="str">
        <f t="shared" si="99"/>
        <v>David</v>
      </c>
      <c r="M1058" t="str">
        <f>VLOOKUP(L1058,References!$A$2:$B$16,2,FALSE)</f>
        <v>TEXAROK</v>
      </c>
      <c r="N1058" s="19" t="str">
        <f>IF(M1058=M1059,"N","Y")</f>
        <v>N</v>
      </c>
      <c r="O1058">
        <f>SUM(I1058:I1059)</f>
        <v>189</v>
      </c>
      <c r="P1058">
        <f t="shared" si="101"/>
        <v>113</v>
      </c>
    </row>
    <row r="1059" spans="1:16" hidden="1" x14ac:dyDescent="0.3">
      <c r="A1059" t="str">
        <f t="shared" si="100"/>
        <v>2020Russell2</v>
      </c>
      <c r="B1059">
        <f t="shared" si="96"/>
        <v>225</v>
      </c>
      <c r="C1059">
        <f t="shared" si="97"/>
        <v>339</v>
      </c>
      <c r="D1059" t="s">
        <v>28</v>
      </c>
      <c r="E1059" t="str">
        <f>D1058</f>
        <v>David</v>
      </c>
      <c r="F1059">
        <v>2020</v>
      </c>
      <c r="G1059">
        <v>2</v>
      </c>
      <c r="H1059">
        <v>3.2</v>
      </c>
      <c r="I1059" s="14">
        <v>113</v>
      </c>
      <c r="J1059">
        <f>I1059-I1058</f>
        <v>37</v>
      </c>
      <c r="K1059" t="str">
        <f t="shared" si="98"/>
        <v>W</v>
      </c>
      <c r="L1059" t="str">
        <f t="shared" si="99"/>
        <v>Russell</v>
      </c>
      <c r="M1059" t="str">
        <f>VLOOKUP(L1059,References!$A$2:$B$16,2,FALSE)</f>
        <v>TEXAROK</v>
      </c>
      <c r="N1059" s="19" t="str">
        <f>IF(M1059=M1058,"N","Y")</f>
        <v>N</v>
      </c>
      <c r="O1059">
        <f>SUM(I1058:I1059)</f>
        <v>189</v>
      </c>
      <c r="P1059">
        <f t="shared" si="101"/>
        <v>76</v>
      </c>
    </row>
    <row r="1060" spans="1:16" hidden="1" x14ac:dyDescent="0.3">
      <c r="A1060" t="str">
        <f t="shared" si="100"/>
        <v>2020BR2</v>
      </c>
      <c r="B1060">
        <f t="shared" si="96"/>
        <v>78</v>
      </c>
      <c r="C1060">
        <f t="shared" si="97"/>
        <v>652</v>
      </c>
      <c r="D1060" t="s">
        <v>25</v>
      </c>
      <c r="E1060" t="str">
        <f>D1061</f>
        <v>Abby</v>
      </c>
      <c r="F1060">
        <v>2020</v>
      </c>
      <c r="G1060">
        <v>2</v>
      </c>
      <c r="H1060">
        <v>4.0999999999999996</v>
      </c>
      <c r="I1060" s="14">
        <v>101</v>
      </c>
      <c r="J1060">
        <f>I1060-I1061</f>
        <v>55</v>
      </c>
      <c r="K1060" t="str">
        <f t="shared" si="98"/>
        <v>W</v>
      </c>
      <c r="L1060" t="str">
        <f t="shared" si="99"/>
        <v>BR</v>
      </c>
      <c r="M1060" t="str">
        <f>VLOOKUP(L1060,References!$A$2:$B$16,2,FALSE)</f>
        <v>AKCOVA</v>
      </c>
      <c r="N1060" s="19" t="str">
        <f>IF(M1060=M1061,"N","Y")</f>
        <v>N</v>
      </c>
      <c r="O1060">
        <f>SUM(I1060:I1061)</f>
        <v>147</v>
      </c>
      <c r="P1060">
        <f t="shared" si="101"/>
        <v>46</v>
      </c>
    </row>
    <row r="1061" spans="1:16" hidden="1" x14ac:dyDescent="0.3">
      <c r="A1061" t="str">
        <f t="shared" si="100"/>
        <v>2020Abby2</v>
      </c>
      <c r="B1061">
        <f t="shared" si="96"/>
        <v>2009</v>
      </c>
      <c r="C1061">
        <f t="shared" si="97"/>
        <v>2068</v>
      </c>
      <c r="D1061" t="s">
        <v>27</v>
      </c>
      <c r="E1061" t="str">
        <f>D1060</f>
        <v>BR</v>
      </c>
      <c r="F1061">
        <v>2020</v>
      </c>
      <c r="G1061">
        <v>2</v>
      </c>
      <c r="H1061">
        <v>4.2</v>
      </c>
      <c r="I1061" s="14">
        <v>46</v>
      </c>
      <c r="J1061">
        <f>I1061-I1060</f>
        <v>-55</v>
      </c>
      <c r="K1061" t="str">
        <f t="shared" si="98"/>
        <v>L</v>
      </c>
      <c r="L1061" t="str">
        <f t="shared" si="99"/>
        <v>Abby</v>
      </c>
      <c r="M1061" t="str">
        <f>VLOOKUP(L1061,References!$A$2:$B$16,2,FALSE)</f>
        <v>AKCOVA</v>
      </c>
      <c r="N1061" s="19" t="str">
        <f>IF(M1061=M1060,"N","Y")</f>
        <v>N</v>
      </c>
      <c r="O1061">
        <f>SUM(I1060:I1061)</f>
        <v>147</v>
      </c>
      <c r="P1061">
        <f t="shared" si="101"/>
        <v>101</v>
      </c>
    </row>
    <row r="1062" spans="1:16" hidden="1" x14ac:dyDescent="0.3">
      <c r="A1062" t="str">
        <f t="shared" si="100"/>
        <v>2020Mark2</v>
      </c>
      <c r="B1062">
        <f t="shared" si="96"/>
        <v>2083</v>
      </c>
      <c r="C1062">
        <f t="shared" si="97"/>
        <v>1318</v>
      </c>
      <c r="D1062" t="s">
        <v>22</v>
      </c>
      <c r="E1062" t="str">
        <f>D1063</f>
        <v>Charles</v>
      </c>
      <c r="F1062">
        <v>2020</v>
      </c>
      <c r="G1062">
        <v>2</v>
      </c>
      <c r="H1062">
        <v>5.0999999999999996</v>
      </c>
      <c r="I1062" s="14">
        <v>82</v>
      </c>
      <c r="J1062">
        <f>I1062-I1063</f>
        <v>-81</v>
      </c>
      <c r="K1062" t="str">
        <f t="shared" si="98"/>
        <v>L</v>
      </c>
      <c r="L1062" t="str">
        <f t="shared" si="99"/>
        <v>Mark</v>
      </c>
      <c r="M1062" t="str">
        <f>VLOOKUP(L1062,References!$A$2:$B$16,2,FALSE)</f>
        <v>AKCOVA</v>
      </c>
      <c r="N1062" s="19" t="str">
        <f>IF(M1062=M1063,"N","Y")</f>
        <v>N</v>
      </c>
      <c r="O1062">
        <f>SUM(I1062:I1063)</f>
        <v>245</v>
      </c>
      <c r="P1062">
        <f t="shared" si="101"/>
        <v>163</v>
      </c>
    </row>
    <row r="1063" spans="1:16" hidden="1" x14ac:dyDescent="0.3">
      <c r="A1063" t="str">
        <f t="shared" si="100"/>
        <v>2020Charles2</v>
      </c>
      <c r="B1063">
        <f t="shared" si="96"/>
        <v>10</v>
      </c>
      <c r="C1063">
        <f t="shared" si="97"/>
        <v>8</v>
      </c>
      <c r="D1063" t="s">
        <v>48</v>
      </c>
      <c r="E1063" t="str">
        <f>D1062</f>
        <v>Mark</v>
      </c>
      <c r="F1063">
        <v>2020</v>
      </c>
      <c r="G1063">
        <v>2</v>
      </c>
      <c r="H1063">
        <v>5.2</v>
      </c>
      <c r="I1063" s="36">
        <v>163</v>
      </c>
      <c r="J1063">
        <f>I1063-I1062</f>
        <v>81</v>
      </c>
      <c r="K1063" t="str">
        <f t="shared" si="98"/>
        <v>W</v>
      </c>
      <c r="L1063" t="str">
        <f t="shared" si="99"/>
        <v>Charles</v>
      </c>
      <c r="M1063" t="str">
        <f>VLOOKUP(L1063,References!$A$2:$B$16,2,FALSE)</f>
        <v>AKCOVA</v>
      </c>
      <c r="N1063" s="19" t="str">
        <f>IF(M1063=M1062,"N","Y")</f>
        <v>N</v>
      </c>
      <c r="O1063">
        <f>SUM(I1062:I1063)</f>
        <v>245</v>
      </c>
      <c r="P1063">
        <f t="shared" si="101"/>
        <v>82</v>
      </c>
    </row>
    <row r="1064" spans="1:16" hidden="1" x14ac:dyDescent="0.3">
      <c r="A1064" t="str">
        <f t="shared" si="100"/>
        <v>2020Watty2</v>
      </c>
      <c r="B1064">
        <f t="shared" si="96"/>
        <v>59</v>
      </c>
      <c r="C1064">
        <f t="shared" si="97"/>
        <v>267</v>
      </c>
      <c r="D1064" t="s">
        <v>24</v>
      </c>
      <c r="E1064" t="str">
        <f>D1065</f>
        <v>Brian</v>
      </c>
      <c r="F1064">
        <v>2020</v>
      </c>
      <c r="G1064">
        <v>2</v>
      </c>
      <c r="H1064">
        <v>6.1</v>
      </c>
      <c r="I1064" s="14">
        <v>118</v>
      </c>
      <c r="J1064">
        <f>I1064-I1065</f>
        <v>59</v>
      </c>
      <c r="K1064" t="str">
        <f t="shared" si="98"/>
        <v>W</v>
      </c>
      <c r="L1064" t="str">
        <f t="shared" si="99"/>
        <v>Watty</v>
      </c>
      <c r="M1064" t="str">
        <f>VLOOKUP(L1064,References!$A$2:$B$16,2,FALSE)</f>
        <v>AKCOVA</v>
      </c>
      <c r="N1064" s="19" t="str">
        <f>IF(M1064=M1065,"N","Y")</f>
        <v>Y</v>
      </c>
      <c r="O1064">
        <f>SUM(I1064:I1065)</f>
        <v>177</v>
      </c>
      <c r="P1064">
        <f t="shared" si="101"/>
        <v>59</v>
      </c>
    </row>
    <row r="1065" spans="1:16" hidden="1" x14ac:dyDescent="0.3">
      <c r="A1065" t="str">
        <f t="shared" si="100"/>
        <v>2020Brian2</v>
      </c>
      <c r="B1065">
        <f t="shared" si="96"/>
        <v>2032</v>
      </c>
      <c r="C1065">
        <f t="shared" si="97"/>
        <v>1951</v>
      </c>
      <c r="D1065" t="s">
        <v>26</v>
      </c>
      <c r="E1065" t="str">
        <f>D1064</f>
        <v>Watty</v>
      </c>
      <c r="F1065">
        <v>2020</v>
      </c>
      <c r="G1065">
        <v>2</v>
      </c>
      <c r="H1065">
        <v>6.2</v>
      </c>
      <c r="I1065" s="14">
        <v>59</v>
      </c>
      <c r="J1065">
        <f>I1065-I1064</f>
        <v>-59</v>
      </c>
      <c r="K1065" t="str">
        <f t="shared" si="98"/>
        <v>L</v>
      </c>
      <c r="L1065" t="str">
        <f t="shared" si="99"/>
        <v>Brian</v>
      </c>
      <c r="M1065" t="str">
        <f>VLOOKUP(L1065,References!$A$2:$B$16,2,FALSE)</f>
        <v>TEXAROK</v>
      </c>
      <c r="N1065" s="19" t="str">
        <f>IF(M1065=M1064,"N","Y")</f>
        <v>Y</v>
      </c>
      <c r="O1065">
        <f>SUM(I1064:I1065)</f>
        <v>177</v>
      </c>
      <c r="P1065">
        <f t="shared" si="101"/>
        <v>118</v>
      </c>
    </row>
    <row r="1066" spans="1:16" hidden="1" x14ac:dyDescent="0.3">
      <c r="A1066" t="str">
        <f t="shared" si="100"/>
        <v>2020Michael3</v>
      </c>
      <c r="B1066">
        <f t="shared" si="96"/>
        <v>1055</v>
      </c>
      <c r="C1066">
        <f t="shared" si="97"/>
        <v>746</v>
      </c>
      <c r="D1066" t="s">
        <v>23</v>
      </c>
      <c r="E1066" t="str">
        <f>D1067</f>
        <v>Brent</v>
      </c>
      <c r="F1066">
        <v>2020</v>
      </c>
      <c r="G1066">
        <v>3</v>
      </c>
      <c r="H1066">
        <v>1.1000000000000001</v>
      </c>
      <c r="I1066" s="14">
        <v>98</v>
      </c>
      <c r="J1066">
        <f>I1066-I1067</f>
        <v>-1</v>
      </c>
      <c r="K1066" t="str">
        <f t="shared" si="98"/>
        <v>L</v>
      </c>
      <c r="L1066" t="str">
        <f t="shared" si="99"/>
        <v>Michael</v>
      </c>
      <c r="M1066" t="str">
        <f>VLOOKUP(L1066,References!$A$2:$B$16,2,FALSE)</f>
        <v>AKCOVA</v>
      </c>
      <c r="N1066" s="19" t="str">
        <f>IF(M1066=M1067,"N","Y")</f>
        <v>Y</v>
      </c>
      <c r="O1066">
        <f>SUM(I1066:I1067)</f>
        <v>197</v>
      </c>
      <c r="P1066">
        <f t="shared" si="101"/>
        <v>99</v>
      </c>
    </row>
    <row r="1067" spans="1:16" hidden="1" x14ac:dyDescent="0.3">
      <c r="A1067" t="str">
        <f t="shared" si="100"/>
        <v>2020Brent3</v>
      </c>
      <c r="B1067">
        <f t="shared" si="96"/>
        <v>1004</v>
      </c>
      <c r="C1067">
        <f t="shared" si="97"/>
        <v>714</v>
      </c>
      <c r="D1067" t="s">
        <v>47</v>
      </c>
      <c r="E1067" t="str">
        <f>D1066</f>
        <v>Michael</v>
      </c>
      <c r="F1067">
        <v>2020</v>
      </c>
      <c r="G1067">
        <v>3</v>
      </c>
      <c r="H1067">
        <v>1.2</v>
      </c>
      <c r="I1067" s="14">
        <v>99</v>
      </c>
      <c r="J1067">
        <f>I1067-I1066</f>
        <v>1</v>
      </c>
      <c r="K1067" t="str">
        <f t="shared" si="98"/>
        <v>W</v>
      </c>
      <c r="L1067" t="str">
        <f t="shared" si="99"/>
        <v>Brent</v>
      </c>
      <c r="M1067" t="str">
        <f>VLOOKUP(L1067,References!$A$2:$B$16,2,FALSE)</f>
        <v>TEXAROK</v>
      </c>
      <c r="N1067" s="19" t="str">
        <f>IF(M1067=M1066,"N","Y")</f>
        <v>Y</v>
      </c>
      <c r="O1067">
        <f>SUM(I1066:I1067)</f>
        <v>197</v>
      </c>
      <c r="P1067">
        <f t="shared" si="101"/>
        <v>98</v>
      </c>
    </row>
    <row r="1068" spans="1:16" hidden="1" x14ac:dyDescent="0.3">
      <c r="A1068" t="str">
        <f t="shared" si="100"/>
        <v>2020Russell3</v>
      </c>
      <c r="B1068">
        <f t="shared" si="96"/>
        <v>1684</v>
      </c>
      <c r="C1068">
        <f t="shared" si="97"/>
        <v>857</v>
      </c>
      <c r="D1068" t="s">
        <v>28</v>
      </c>
      <c r="E1068" t="str">
        <f>D1069</f>
        <v>Emily</v>
      </c>
      <c r="F1068">
        <v>2020</v>
      </c>
      <c r="G1068">
        <v>3</v>
      </c>
      <c r="H1068">
        <v>2.1</v>
      </c>
      <c r="I1068" s="14">
        <v>95</v>
      </c>
      <c r="J1068">
        <f>I1068-I1069</f>
        <v>-26</v>
      </c>
      <c r="K1068" t="str">
        <f t="shared" si="98"/>
        <v>L</v>
      </c>
      <c r="L1068" t="str">
        <f t="shared" si="99"/>
        <v>Russell</v>
      </c>
      <c r="M1068" t="str">
        <f>VLOOKUP(L1068,References!$A$2:$B$16,2,FALSE)</f>
        <v>TEXAROK</v>
      </c>
      <c r="N1068" s="19" t="str">
        <f>IF(M1068=M1069,"N","Y")</f>
        <v>N</v>
      </c>
      <c r="O1068">
        <f>SUM(I1068:I1069)</f>
        <v>216</v>
      </c>
      <c r="P1068">
        <f t="shared" si="101"/>
        <v>121</v>
      </c>
    </row>
    <row r="1069" spans="1:16" hidden="1" x14ac:dyDescent="0.3">
      <c r="A1069" t="str">
        <f t="shared" si="100"/>
        <v>2020Emily3</v>
      </c>
      <c r="B1069">
        <f t="shared" si="96"/>
        <v>392</v>
      </c>
      <c r="C1069">
        <f t="shared" si="97"/>
        <v>211</v>
      </c>
      <c r="D1069" t="s">
        <v>43</v>
      </c>
      <c r="E1069" t="str">
        <f>D1068</f>
        <v>Russell</v>
      </c>
      <c r="F1069">
        <v>2020</v>
      </c>
      <c r="G1069">
        <v>3</v>
      </c>
      <c r="H1069">
        <v>2.2000000000000002</v>
      </c>
      <c r="I1069" s="14">
        <v>121</v>
      </c>
      <c r="J1069">
        <f>I1069-I1068</f>
        <v>26</v>
      </c>
      <c r="K1069" t="str">
        <f t="shared" si="98"/>
        <v>W</v>
      </c>
      <c r="L1069" t="str">
        <f t="shared" si="99"/>
        <v>Emily</v>
      </c>
      <c r="M1069" t="str">
        <f>VLOOKUP(L1069,References!$A$2:$B$16,2,FALSE)</f>
        <v>TEXAROK</v>
      </c>
      <c r="N1069" s="19" t="str">
        <f>IF(M1069=M1068,"N","Y")</f>
        <v>N</v>
      </c>
      <c r="O1069">
        <f>SUM(I1068:I1069)</f>
        <v>216</v>
      </c>
      <c r="P1069">
        <f t="shared" si="101"/>
        <v>95</v>
      </c>
    </row>
    <row r="1070" spans="1:16" hidden="1" x14ac:dyDescent="0.3">
      <c r="A1070" t="str">
        <f t="shared" si="100"/>
        <v>2020David3</v>
      </c>
      <c r="B1070">
        <f t="shared" si="96"/>
        <v>1661</v>
      </c>
      <c r="C1070">
        <f t="shared" si="97"/>
        <v>1241</v>
      </c>
      <c r="D1070" t="s">
        <v>29</v>
      </c>
      <c r="E1070" t="str">
        <f>D1071</f>
        <v>Matt</v>
      </c>
      <c r="F1070">
        <v>2020</v>
      </c>
      <c r="G1070">
        <v>3</v>
      </c>
      <c r="H1070">
        <v>3.1</v>
      </c>
      <c r="I1070" s="14">
        <v>84</v>
      </c>
      <c r="J1070">
        <f>I1070-I1071</f>
        <v>-25</v>
      </c>
      <c r="K1070" t="str">
        <f t="shared" si="98"/>
        <v>L</v>
      </c>
      <c r="L1070" t="str">
        <f t="shared" si="99"/>
        <v>David</v>
      </c>
      <c r="M1070" t="str">
        <f>VLOOKUP(L1070,References!$A$2:$B$16,2,FALSE)</f>
        <v>TEXAROK</v>
      </c>
      <c r="N1070" s="19" t="str">
        <f>IF(M1070=M1071,"N","Y")</f>
        <v>N</v>
      </c>
      <c r="O1070">
        <f>SUM(I1070:I1071)</f>
        <v>193</v>
      </c>
      <c r="P1070">
        <f t="shared" si="101"/>
        <v>109</v>
      </c>
    </row>
    <row r="1071" spans="1:16" hidden="1" x14ac:dyDescent="0.3">
      <c r="A1071" t="str">
        <f t="shared" si="100"/>
        <v>2020Matt3</v>
      </c>
      <c r="B1071">
        <f t="shared" si="96"/>
        <v>410</v>
      </c>
      <c r="C1071">
        <f t="shared" si="97"/>
        <v>435</v>
      </c>
      <c r="D1071" t="s">
        <v>30</v>
      </c>
      <c r="E1071" t="str">
        <f>D1070</f>
        <v>David</v>
      </c>
      <c r="F1071">
        <v>2020</v>
      </c>
      <c r="G1071">
        <v>3</v>
      </c>
      <c r="H1071">
        <v>3.2</v>
      </c>
      <c r="I1071" s="14">
        <v>109</v>
      </c>
      <c r="J1071">
        <f>I1071-I1070</f>
        <v>25</v>
      </c>
      <c r="K1071" t="str">
        <f t="shared" si="98"/>
        <v>W</v>
      </c>
      <c r="L1071" t="str">
        <f t="shared" si="99"/>
        <v>Matt</v>
      </c>
      <c r="M1071" t="str">
        <f>VLOOKUP(L1071,References!$A$2:$B$16,2,FALSE)</f>
        <v>TEXAROK</v>
      </c>
      <c r="N1071" s="19" t="str">
        <f>IF(M1071=M1070,"N","Y")</f>
        <v>N</v>
      </c>
      <c r="O1071">
        <f>SUM(I1070:I1071)</f>
        <v>193</v>
      </c>
      <c r="P1071">
        <f t="shared" si="101"/>
        <v>84</v>
      </c>
    </row>
    <row r="1072" spans="1:16" hidden="1" x14ac:dyDescent="0.3">
      <c r="A1072" t="str">
        <f t="shared" si="100"/>
        <v>2020Abby3</v>
      </c>
      <c r="B1072">
        <f t="shared" si="96"/>
        <v>2091</v>
      </c>
      <c r="C1072">
        <f t="shared" si="97"/>
        <v>2001</v>
      </c>
      <c r="D1072" t="s">
        <v>27</v>
      </c>
      <c r="E1072" t="str">
        <f>D1073</f>
        <v>Charles</v>
      </c>
      <c r="F1072">
        <v>2020</v>
      </c>
      <c r="G1072">
        <v>3</v>
      </c>
      <c r="H1072">
        <v>4.0999999999999996</v>
      </c>
      <c r="I1072" s="14">
        <v>56</v>
      </c>
      <c r="J1072">
        <f>I1072-I1073</f>
        <v>-93</v>
      </c>
      <c r="K1072" t="str">
        <f t="shared" si="98"/>
        <v>L</v>
      </c>
      <c r="L1072" t="str">
        <f t="shared" si="99"/>
        <v>Abby</v>
      </c>
      <c r="M1072" t="str">
        <f>VLOOKUP(L1072,References!$A$2:$B$16,2,FALSE)</f>
        <v>AKCOVA</v>
      </c>
      <c r="N1072" s="19" t="str">
        <f>IF(M1072=M1073,"N","Y")</f>
        <v>N</v>
      </c>
      <c r="O1072">
        <f>SUM(I1072:I1073)</f>
        <v>205</v>
      </c>
      <c r="P1072">
        <f t="shared" si="101"/>
        <v>149</v>
      </c>
    </row>
    <row r="1073" spans="1:16" hidden="1" x14ac:dyDescent="0.3">
      <c r="A1073" t="str">
        <f t="shared" si="100"/>
        <v>2020Charles3</v>
      </c>
      <c r="B1073">
        <f t="shared" si="96"/>
        <v>2</v>
      </c>
      <c r="C1073">
        <f t="shared" si="97"/>
        <v>28</v>
      </c>
      <c r="D1073" t="s">
        <v>48</v>
      </c>
      <c r="E1073" t="str">
        <f>D1072</f>
        <v>Abby</v>
      </c>
      <c r="F1073">
        <v>2020</v>
      </c>
      <c r="G1073">
        <v>3</v>
      </c>
      <c r="H1073">
        <v>4.2</v>
      </c>
      <c r="I1073" s="14">
        <v>149</v>
      </c>
      <c r="J1073">
        <f>I1073-I1072</f>
        <v>93</v>
      </c>
      <c r="K1073" t="str">
        <f t="shared" si="98"/>
        <v>W</v>
      </c>
      <c r="L1073" t="str">
        <f t="shared" si="99"/>
        <v>Charles</v>
      </c>
      <c r="M1073" t="str">
        <f>VLOOKUP(L1073,References!$A$2:$B$16,2,FALSE)</f>
        <v>AKCOVA</v>
      </c>
      <c r="N1073" s="19" t="str">
        <f>IF(M1073=M1072,"N","Y")</f>
        <v>N</v>
      </c>
      <c r="O1073">
        <f>SUM(I1072:I1073)</f>
        <v>205</v>
      </c>
      <c r="P1073">
        <f t="shared" si="101"/>
        <v>56</v>
      </c>
    </row>
    <row r="1074" spans="1:16" hidden="1" x14ac:dyDescent="0.3">
      <c r="A1074" t="str">
        <f t="shared" si="100"/>
        <v>2020Brian3</v>
      </c>
      <c r="B1074">
        <f t="shared" si="96"/>
        <v>1684</v>
      </c>
      <c r="C1074">
        <f t="shared" si="97"/>
        <v>1684</v>
      </c>
      <c r="D1074" t="s">
        <v>26</v>
      </c>
      <c r="E1074" t="str">
        <f>D1075</f>
        <v>BR</v>
      </c>
      <c r="F1074">
        <v>2020</v>
      </c>
      <c r="G1074">
        <v>3</v>
      </c>
      <c r="H1074">
        <v>5.0999999999999996</v>
      </c>
      <c r="I1074" s="14">
        <v>72</v>
      </c>
      <c r="J1074">
        <f>I1074-I1075</f>
        <v>-26</v>
      </c>
      <c r="K1074" t="str">
        <f t="shared" si="98"/>
        <v>L</v>
      </c>
      <c r="L1074" t="str">
        <f t="shared" si="99"/>
        <v>Brian</v>
      </c>
      <c r="M1074" t="str">
        <f>VLOOKUP(L1074,References!$A$2:$B$16,2,FALSE)</f>
        <v>TEXAROK</v>
      </c>
      <c r="N1074" s="19" t="str">
        <f>IF(M1074=M1075,"N","Y")</f>
        <v>Y</v>
      </c>
      <c r="O1074">
        <f>SUM(I1074:I1075)</f>
        <v>170</v>
      </c>
      <c r="P1074">
        <f t="shared" si="101"/>
        <v>98</v>
      </c>
    </row>
    <row r="1075" spans="1:16" hidden="1" x14ac:dyDescent="0.3">
      <c r="A1075" t="str">
        <f t="shared" si="100"/>
        <v>2020BR3</v>
      </c>
      <c r="B1075">
        <f t="shared" si="96"/>
        <v>392</v>
      </c>
      <c r="C1075">
        <f t="shared" si="97"/>
        <v>746</v>
      </c>
      <c r="D1075" t="s">
        <v>25</v>
      </c>
      <c r="E1075" t="str">
        <f>D1074</f>
        <v>Brian</v>
      </c>
      <c r="F1075">
        <v>2020</v>
      </c>
      <c r="G1075">
        <v>3</v>
      </c>
      <c r="H1075">
        <v>5.2</v>
      </c>
      <c r="I1075" s="14">
        <v>98</v>
      </c>
      <c r="J1075">
        <f>I1075-I1074</f>
        <v>26</v>
      </c>
      <c r="K1075" t="str">
        <f t="shared" si="98"/>
        <v>W</v>
      </c>
      <c r="L1075" t="str">
        <f t="shared" si="99"/>
        <v>BR</v>
      </c>
      <c r="M1075" t="str">
        <f>VLOOKUP(L1075,References!$A$2:$B$16,2,FALSE)</f>
        <v>AKCOVA</v>
      </c>
      <c r="N1075" s="19" t="str">
        <f>IF(M1075=M1074,"N","Y")</f>
        <v>Y</v>
      </c>
      <c r="O1075">
        <f>SUM(I1074:I1075)</f>
        <v>170</v>
      </c>
      <c r="P1075">
        <f t="shared" si="101"/>
        <v>72</v>
      </c>
    </row>
    <row r="1076" spans="1:16" hidden="1" x14ac:dyDescent="0.3">
      <c r="A1076" t="str">
        <f t="shared" si="100"/>
        <v>2020Watty3</v>
      </c>
      <c r="B1076">
        <f t="shared" si="96"/>
        <v>24</v>
      </c>
      <c r="C1076">
        <f t="shared" si="97"/>
        <v>56</v>
      </c>
      <c r="D1076" t="s">
        <v>24</v>
      </c>
      <c r="E1076" t="str">
        <f>D1077</f>
        <v>Mark</v>
      </c>
      <c r="F1076">
        <v>2020</v>
      </c>
      <c r="G1076">
        <v>3</v>
      </c>
      <c r="H1076">
        <v>6.1</v>
      </c>
      <c r="I1076" s="14">
        <v>140</v>
      </c>
      <c r="J1076">
        <f>I1076-I1077</f>
        <v>68</v>
      </c>
      <c r="K1076" t="str">
        <f t="shared" si="98"/>
        <v>W</v>
      </c>
      <c r="L1076" t="str">
        <f t="shared" si="99"/>
        <v>Watty</v>
      </c>
      <c r="M1076" t="str">
        <f>VLOOKUP(L1076,References!$A$2:$B$16,2,FALSE)</f>
        <v>AKCOVA</v>
      </c>
      <c r="N1076" s="19" t="str">
        <f>IF(M1076=M1077,"N","Y")</f>
        <v>N</v>
      </c>
      <c r="O1076">
        <f>SUM(I1076:I1077)</f>
        <v>212</v>
      </c>
      <c r="P1076">
        <f t="shared" si="101"/>
        <v>72</v>
      </c>
    </row>
    <row r="1077" spans="1:16" hidden="1" x14ac:dyDescent="0.3">
      <c r="A1077" t="str">
        <f t="shared" si="100"/>
        <v>2020Mark3</v>
      </c>
      <c r="B1077">
        <f t="shared" si="96"/>
        <v>2067</v>
      </c>
      <c r="C1077">
        <f t="shared" si="97"/>
        <v>1684</v>
      </c>
      <c r="D1077" t="s">
        <v>22</v>
      </c>
      <c r="E1077" t="str">
        <f>D1076</f>
        <v>Watty</v>
      </c>
      <c r="F1077">
        <v>2020</v>
      </c>
      <c r="G1077">
        <v>3</v>
      </c>
      <c r="H1077">
        <v>6.2</v>
      </c>
      <c r="I1077" s="14">
        <v>72</v>
      </c>
      <c r="J1077">
        <f>I1077-I1076</f>
        <v>-68</v>
      </c>
      <c r="K1077" t="str">
        <f t="shared" si="98"/>
        <v>L</v>
      </c>
      <c r="L1077" t="str">
        <f t="shared" si="99"/>
        <v>Mark</v>
      </c>
      <c r="M1077" t="str">
        <f>VLOOKUP(L1077,References!$A$2:$B$16,2,FALSE)</f>
        <v>AKCOVA</v>
      </c>
      <c r="N1077" s="19" t="str">
        <f>IF(M1077=M1076,"N","Y")</f>
        <v>N</v>
      </c>
      <c r="O1077">
        <f>SUM(I1076:I1077)</f>
        <v>212</v>
      </c>
      <c r="P1077">
        <f t="shared" si="101"/>
        <v>140</v>
      </c>
    </row>
    <row r="1078" spans="1:16" hidden="1" x14ac:dyDescent="0.3">
      <c r="A1078" t="str">
        <f t="shared" si="100"/>
        <v>2020Russell4</v>
      </c>
      <c r="B1078">
        <f t="shared" si="96"/>
        <v>1197</v>
      </c>
      <c r="C1078">
        <f t="shared" si="97"/>
        <v>631</v>
      </c>
      <c r="D1078" t="s">
        <v>28</v>
      </c>
      <c r="E1078" t="str">
        <f>D1079</f>
        <v>Michael</v>
      </c>
      <c r="F1078">
        <v>2020</v>
      </c>
      <c r="G1078">
        <v>4</v>
      </c>
      <c r="H1078">
        <v>1.1000000000000001</v>
      </c>
      <c r="I1078" s="14">
        <v>102</v>
      </c>
      <c r="J1078">
        <f>I1078-I1079</f>
        <v>-6</v>
      </c>
      <c r="K1078" t="str">
        <f t="shared" si="98"/>
        <v>L</v>
      </c>
      <c r="L1078" t="str">
        <f t="shared" si="99"/>
        <v>Russell</v>
      </c>
      <c r="M1078" t="str">
        <f>VLOOKUP(L1078,References!$A$2:$B$16,2,FALSE)</f>
        <v>TEXAROK</v>
      </c>
      <c r="N1078" s="19" t="str">
        <f>IF(M1078=M1079,"N","Y")</f>
        <v>Y</v>
      </c>
      <c r="O1078">
        <f>SUM(I1078:I1079)</f>
        <v>210</v>
      </c>
      <c r="P1078">
        <f t="shared" si="101"/>
        <v>108</v>
      </c>
    </row>
    <row r="1079" spans="1:16" x14ac:dyDescent="0.3">
      <c r="A1079" t="str">
        <f t="shared" si="100"/>
        <v>2020Michael4</v>
      </c>
      <c r="B1079">
        <f t="shared" si="96"/>
        <v>865</v>
      </c>
      <c r="C1079">
        <f t="shared" si="97"/>
        <v>462</v>
      </c>
      <c r="D1079" t="s">
        <v>23</v>
      </c>
      <c r="E1079" t="str">
        <f>D1078</f>
        <v>Russell</v>
      </c>
      <c r="F1079">
        <v>2020</v>
      </c>
      <c r="G1079">
        <v>4</v>
      </c>
      <c r="H1079">
        <v>1.2</v>
      </c>
      <c r="I1079" s="14">
        <v>108</v>
      </c>
      <c r="J1079">
        <f>I1079-I1078</f>
        <v>6</v>
      </c>
      <c r="K1079" t="str">
        <f t="shared" si="98"/>
        <v>W</v>
      </c>
      <c r="L1079" t="str">
        <f t="shared" si="99"/>
        <v>Michael</v>
      </c>
      <c r="M1079" t="str">
        <f>VLOOKUP(L1079,References!$A$2:$B$16,2,FALSE)</f>
        <v>AKCOVA</v>
      </c>
      <c r="N1079" s="19" t="str">
        <f>IF(M1079=M1078,"N","Y")</f>
        <v>Y</v>
      </c>
      <c r="O1079">
        <f>SUM(I1078:I1079)</f>
        <v>210</v>
      </c>
      <c r="P1079">
        <f t="shared" si="101"/>
        <v>102</v>
      </c>
    </row>
    <row r="1080" spans="1:16" hidden="1" x14ac:dyDescent="0.3">
      <c r="A1080" t="str">
        <f t="shared" si="100"/>
        <v>2020Brent4</v>
      </c>
      <c r="B1080">
        <f t="shared" si="96"/>
        <v>571</v>
      </c>
      <c r="C1080">
        <f t="shared" si="97"/>
        <v>992</v>
      </c>
      <c r="D1080" t="s">
        <v>47</v>
      </c>
      <c r="E1080" t="str">
        <f>D1081</f>
        <v>David</v>
      </c>
      <c r="F1080">
        <v>2020</v>
      </c>
      <c r="G1080">
        <v>4</v>
      </c>
      <c r="H1080">
        <v>2.1</v>
      </c>
      <c r="I1080" s="14">
        <v>91</v>
      </c>
      <c r="J1080">
        <f>I1080-I1081</f>
        <v>18</v>
      </c>
      <c r="K1080" t="str">
        <f t="shared" si="98"/>
        <v>W</v>
      </c>
      <c r="L1080" t="str">
        <f t="shared" si="99"/>
        <v>Brent</v>
      </c>
      <c r="M1080" t="str">
        <f>VLOOKUP(L1080,References!$A$2:$B$16,2,FALSE)</f>
        <v>TEXAROK</v>
      </c>
      <c r="N1080" s="19" t="str">
        <f>IF(M1080=M1081,"N","Y")</f>
        <v>N</v>
      </c>
      <c r="O1080">
        <f>SUM(I1080:I1081)</f>
        <v>164</v>
      </c>
      <c r="P1080">
        <f t="shared" si="101"/>
        <v>73</v>
      </c>
    </row>
    <row r="1081" spans="1:16" hidden="1" x14ac:dyDescent="0.3">
      <c r="A1081" t="str">
        <f t="shared" si="100"/>
        <v>2020David4</v>
      </c>
      <c r="B1081">
        <f t="shared" si="96"/>
        <v>1497</v>
      </c>
      <c r="C1081">
        <f t="shared" si="97"/>
        <v>1648</v>
      </c>
      <c r="D1081" t="s">
        <v>29</v>
      </c>
      <c r="E1081" t="str">
        <f>D1080</f>
        <v>Brent</v>
      </c>
      <c r="F1081">
        <v>2020</v>
      </c>
      <c r="G1081">
        <v>4</v>
      </c>
      <c r="H1081">
        <v>2.2000000000000002</v>
      </c>
      <c r="I1081" s="14">
        <v>73</v>
      </c>
      <c r="J1081">
        <f>I1081-I1080</f>
        <v>-18</v>
      </c>
      <c r="K1081" t="str">
        <f t="shared" si="98"/>
        <v>L</v>
      </c>
      <c r="L1081" t="str">
        <f t="shared" si="99"/>
        <v>David</v>
      </c>
      <c r="M1081" t="str">
        <f>VLOOKUP(L1081,References!$A$2:$B$16,2,FALSE)</f>
        <v>TEXAROK</v>
      </c>
      <c r="N1081" s="19" t="str">
        <f>IF(M1081=M1080,"N","Y")</f>
        <v>N</v>
      </c>
      <c r="O1081">
        <f>SUM(I1080:I1081)</f>
        <v>164</v>
      </c>
      <c r="P1081">
        <f t="shared" si="101"/>
        <v>91</v>
      </c>
    </row>
    <row r="1082" spans="1:16" hidden="1" x14ac:dyDescent="0.3">
      <c r="A1082" t="str">
        <f t="shared" si="100"/>
        <v>2020Emily4</v>
      </c>
      <c r="B1082">
        <f t="shared" si="96"/>
        <v>597</v>
      </c>
      <c r="C1082">
        <f t="shared" si="97"/>
        <v>321</v>
      </c>
      <c r="D1082" t="s">
        <v>43</v>
      </c>
      <c r="E1082" t="str">
        <f>D1083</f>
        <v>Matt</v>
      </c>
      <c r="F1082">
        <v>2020</v>
      </c>
      <c r="G1082">
        <v>4</v>
      </c>
      <c r="H1082">
        <v>3.1</v>
      </c>
      <c r="I1082" s="14">
        <v>114</v>
      </c>
      <c r="J1082">
        <f>I1082-I1083</f>
        <v>17</v>
      </c>
      <c r="K1082" t="str">
        <f t="shared" si="98"/>
        <v>W</v>
      </c>
      <c r="L1082" t="str">
        <f t="shared" si="99"/>
        <v>Emily</v>
      </c>
      <c r="M1082" t="str">
        <f>VLOOKUP(L1082,References!$A$2:$B$16,2,FALSE)</f>
        <v>TEXAROK</v>
      </c>
      <c r="N1082" s="19" t="str">
        <f>IF(M1082=M1083,"N","Y")</f>
        <v>N</v>
      </c>
      <c r="O1082">
        <f>SUM(I1082:I1083)</f>
        <v>211</v>
      </c>
      <c r="P1082">
        <f t="shared" si="101"/>
        <v>97</v>
      </c>
    </row>
    <row r="1083" spans="1:16" hidden="1" x14ac:dyDescent="0.3">
      <c r="A1083" t="str">
        <f t="shared" si="100"/>
        <v>2020Matt4</v>
      </c>
      <c r="B1083">
        <f t="shared" si="96"/>
        <v>1475</v>
      </c>
      <c r="C1083">
        <f t="shared" si="97"/>
        <v>777</v>
      </c>
      <c r="D1083" t="s">
        <v>30</v>
      </c>
      <c r="E1083" t="str">
        <f>D1082</f>
        <v>Emily</v>
      </c>
      <c r="F1083">
        <v>2020</v>
      </c>
      <c r="G1083">
        <v>4</v>
      </c>
      <c r="H1083">
        <v>3.2</v>
      </c>
      <c r="I1083" s="14">
        <v>97</v>
      </c>
      <c r="J1083">
        <f>I1083-I1082</f>
        <v>-17</v>
      </c>
      <c r="K1083" t="str">
        <f t="shared" si="98"/>
        <v>L</v>
      </c>
      <c r="L1083" t="str">
        <f t="shared" si="99"/>
        <v>Matt</v>
      </c>
      <c r="M1083" t="str">
        <f>VLOOKUP(L1083,References!$A$2:$B$16,2,FALSE)</f>
        <v>TEXAROK</v>
      </c>
      <c r="N1083" s="19" t="str">
        <f>IF(M1083=M1082,"N","Y")</f>
        <v>N</v>
      </c>
      <c r="O1083">
        <f>SUM(I1082:I1083)</f>
        <v>211</v>
      </c>
      <c r="P1083">
        <f t="shared" si="101"/>
        <v>114</v>
      </c>
    </row>
    <row r="1084" spans="1:16" hidden="1" x14ac:dyDescent="0.3">
      <c r="A1084" t="str">
        <f t="shared" si="100"/>
        <v>2020Brian4</v>
      </c>
      <c r="B1084">
        <f t="shared" si="96"/>
        <v>62</v>
      </c>
      <c r="C1084">
        <f t="shared" si="97"/>
        <v>486</v>
      </c>
      <c r="D1084" t="s">
        <v>26</v>
      </c>
      <c r="E1084" t="str">
        <f>D1085</f>
        <v>Abby</v>
      </c>
      <c r="F1084">
        <v>2020</v>
      </c>
      <c r="G1084">
        <v>4</v>
      </c>
      <c r="H1084">
        <v>4.0999999999999996</v>
      </c>
      <c r="I1084" s="14">
        <v>107</v>
      </c>
      <c r="J1084">
        <f>I1084-I1085</f>
        <v>58</v>
      </c>
      <c r="K1084" t="str">
        <f t="shared" si="98"/>
        <v>W</v>
      </c>
      <c r="L1084" t="str">
        <f t="shared" si="99"/>
        <v>Brian</v>
      </c>
      <c r="M1084" t="str">
        <f>VLOOKUP(L1084,References!$A$2:$B$16,2,FALSE)</f>
        <v>TEXAROK</v>
      </c>
      <c r="N1084" s="19" t="str">
        <f>IF(M1084=M1085,"N","Y")</f>
        <v>Y</v>
      </c>
      <c r="O1084">
        <f>SUM(I1084:I1085)</f>
        <v>156</v>
      </c>
      <c r="P1084">
        <f t="shared" si="101"/>
        <v>49</v>
      </c>
    </row>
    <row r="1085" spans="1:16" hidden="1" x14ac:dyDescent="0.3">
      <c r="A1085" t="str">
        <f t="shared" si="100"/>
        <v>2020Abby4</v>
      </c>
      <c r="B1085">
        <f t="shared" si="96"/>
        <v>2024</v>
      </c>
      <c r="C1085">
        <f t="shared" si="97"/>
        <v>2057</v>
      </c>
      <c r="D1085" t="s">
        <v>27</v>
      </c>
      <c r="E1085" t="str">
        <f>D1084</f>
        <v>Brian</v>
      </c>
      <c r="F1085">
        <v>2020</v>
      </c>
      <c r="G1085">
        <v>4</v>
      </c>
      <c r="H1085">
        <v>4.2</v>
      </c>
      <c r="I1085" s="14">
        <v>49</v>
      </c>
      <c r="J1085">
        <f>I1085-I1084</f>
        <v>-58</v>
      </c>
      <c r="K1085" t="str">
        <f t="shared" si="98"/>
        <v>L</v>
      </c>
      <c r="L1085" t="str">
        <f t="shared" si="99"/>
        <v>Abby</v>
      </c>
      <c r="M1085" t="str">
        <f>VLOOKUP(L1085,References!$A$2:$B$16,2,FALSE)</f>
        <v>AKCOVA</v>
      </c>
      <c r="N1085" s="19" t="str">
        <f>IF(M1085=M1084,"N","Y")</f>
        <v>Y</v>
      </c>
      <c r="O1085">
        <f>SUM(I1084:I1085)</f>
        <v>156</v>
      </c>
      <c r="P1085">
        <f t="shared" si="101"/>
        <v>107</v>
      </c>
    </row>
    <row r="1086" spans="1:16" hidden="1" x14ac:dyDescent="0.3">
      <c r="A1086" t="str">
        <f t="shared" si="100"/>
        <v>2020Charles4</v>
      </c>
      <c r="B1086">
        <f t="shared" si="96"/>
        <v>210</v>
      </c>
      <c r="C1086">
        <f t="shared" si="97"/>
        <v>714</v>
      </c>
      <c r="D1086" t="s">
        <v>48</v>
      </c>
      <c r="E1086" t="str">
        <f>D1087</f>
        <v>Watty</v>
      </c>
      <c r="F1086">
        <v>2020</v>
      </c>
      <c r="G1086">
        <v>4</v>
      </c>
      <c r="H1086">
        <v>5.0999999999999996</v>
      </c>
      <c r="I1086" s="14">
        <v>99</v>
      </c>
      <c r="J1086">
        <f>I1086-I1087</f>
        <v>38</v>
      </c>
      <c r="K1086" t="str">
        <f t="shared" si="98"/>
        <v>W</v>
      </c>
      <c r="L1086" t="str">
        <f t="shared" si="99"/>
        <v>Charles</v>
      </c>
      <c r="M1086" t="str">
        <f>VLOOKUP(L1086,References!$A$2:$B$16,2,FALSE)</f>
        <v>AKCOVA</v>
      </c>
      <c r="N1086" s="19" t="str">
        <f>IF(M1086=M1087,"N","Y")</f>
        <v>N</v>
      </c>
      <c r="O1086">
        <f>SUM(I1086:I1087)</f>
        <v>160</v>
      </c>
      <c r="P1086">
        <f t="shared" si="101"/>
        <v>61</v>
      </c>
    </row>
    <row r="1087" spans="1:16" hidden="1" x14ac:dyDescent="0.3">
      <c r="A1087" t="str">
        <f t="shared" si="100"/>
        <v>2020Watty4</v>
      </c>
      <c r="B1087">
        <f t="shared" si="96"/>
        <v>1869</v>
      </c>
      <c r="C1087">
        <f t="shared" si="97"/>
        <v>1927</v>
      </c>
      <c r="D1087" t="s">
        <v>24</v>
      </c>
      <c r="E1087" t="str">
        <f>D1086</f>
        <v>Charles</v>
      </c>
      <c r="F1087">
        <v>2020</v>
      </c>
      <c r="G1087">
        <v>4</v>
      </c>
      <c r="H1087">
        <v>5.2</v>
      </c>
      <c r="I1087" s="14">
        <v>61</v>
      </c>
      <c r="J1087">
        <f>I1087-I1086</f>
        <v>-38</v>
      </c>
      <c r="K1087" t="str">
        <f t="shared" si="98"/>
        <v>L</v>
      </c>
      <c r="L1087" t="str">
        <f t="shared" si="99"/>
        <v>Watty</v>
      </c>
      <c r="M1087" t="str">
        <f>VLOOKUP(L1087,References!$A$2:$B$16,2,FALSE)</f>
        <v>AKCOVA</v>
      </c>
      <c r="N1087" s="19" t="str">
        <f>IF(M1087=M1086,"N","Y")</f>
        <v>N</v>
      </c>
      <c r="O1087">
        <f>SUM(I1086:I1087)</f>
        <v>160</v>
      </c>
      <c r="P1087">
        <f t="shared" si="101"/>
        <v>99</v>
      </c>
    </row>
    <row r="1088" spans="1:16" hidden="1" x14ac:dyDescent="0.3">
      <c r="A1088" t="str">
        <f t="shared" si="100"/>
        <v>2020BR4</v>
      </c>
      <c r="B1088">
        <f t="shared" si="96"/>
        <v>1661</v>
      </c>
      <c r="C1088">
        <f t="shared" si="97"/>
        <v>1867</v>
      </c>
      <c r="D1088" t="s">
        <v>25</v>
      </c>
      <c r="E1088" t="str">
        <f>D1089</f>
        <v>Mark</v>
      </c>
      <c r="F1088">
        <v>2020</v>
      </c>
      <c r="G1088">
        <v>4</v>
      </c>
      <c r="H1088">
        <v>6.1</v>
      </c>
      <c r="I1088" s="14">
        <v>64</v>
      </c>
      <c r="J1088">
        <f>I1088-I1089</f>
        <v>-25</v>
      </c>
      <c r="K1088" t="str">
        <f t="shared" si="98"/>
        <v>L</v>
      </c>
      <c r="L1088" t="str">
        <f t="shared" si="99"/>
        <v>BR</v>
      </c>
      <c r="M1088" t="str">
        <f>VLOOKUP(L1088,References!$A$2:$B$16,2,FALSE)</f>
        <v>AKCOVA</v>
      </c>
      <c r="N1088" s="19" t="str">
        <f>IF(M1088=M1089,"N","Y")</f>
        <v>N</v>
      </c>
      <c r="O1088">
        <f>SUM(I1088:I1089)</f>
        <v>153</v>
      </c>
      <c r="P1088">
        <f t="shared" si="101"/>
        <v>89</v>
      </c>
    </row>
    <row r="1089" spans="1:16" hidden="1" x14ac:dyDescent="0.3">
      <c r="A1089" t="str">
        <f t="shared" si="100"/>
        <v>2020Mark4</v>
      </c>
      <c r="B1089">
        <f t="shared" si="96"/>
        <v>410</v>
      </c>
      <c r="C1089">
        <f t="shared" si="97"/>
        <v>1055</v>
      </c>
      <c r="D1089" t="s">
        <v>22</v>
      </c>
      <c r="E1089" t="str">
        <f>D1088</f>
        <v>BR</v>
      </c>
      <c r="F1089">
        <v>2020</v>
      </c>
      <c r="G1089">
        <v>4</v>
      </c>
      <c r="H1089">
        <v>6.2</v>
      </c>
      <c r="I1089" s="14">
        <v>89</v>
      </c>
      <c r="J1089">
        <f>I1089-I1088</f>
        <v>25</v>
      </c>
      <c r="K1089" t="str">
        <f t="shared" si="98"/>
        <v>W</v>
      </c>
      <c r="L1089" t="str">
        <f t="shared" si="99"/>
        <v>Mark</v>
      </c>
      <c r="M1089" t="str">
        <f>VLOOKUP(L1089,References!$A$2:$B$16,2,FALSE)</f>
        <v>AKCOVA</v>
      </c>
      <c r="N1089" s="19" t="str">
        <f>IF(M1089=M1088,"N","Y")</f>
        <v>N</v>
      </c>
      <c r="O1089">
        <f>SUM(I1088:I1089)</f>
        <v>153</v>
      </c>
      <c r="P1089">
        <f t="shared" si="101"/>
        <v>64</v>
      </c>
    </row>
    <row r="1090" spans="1:16" hidden="1" x14ac:dyDescent="0.3">
      <c r="A1090" t="str">
        <f t="shared" si="100"/>
        <v>2020Michael5</v>
      </c>
      <c r="B1090">
        <f t="shared" ref="B1090:B1153" si="102">RANK(J1090,diff)</f>
        <v>1625</v>
      </c>
      <c r="C1090">
        <f t="shared" ref="C1090:C1153" si="103">RANK(I1090,points)</f>
        <v>1738</v>
      </c>
      <c r="D1090" t="s">
        <v>23</v>
      </c>
      <c r="E1090" t="str">
        <f>D1091</f>
        <v>David</v>
      </c>
      <c r="F1090">
        <v>2020</v>
      </c>
      <c r="G1090">
        <v>5</v>
      </c>
      <c r="H1090">
        <v>1.1000000000000001</v>
      </c>
      <c r="I1090" s="14">
        <v>70</v>
      </c>
      <c r="J1090">
        <f>I1090-I1091</f>
        <v>-23</v>
      </c>
      <c r="K1090" t="str">
        <f t="shared" ref="K1090:K1153" si="104">IF(J1090&gt;0,"W",IF(J1090&lt;0,"L","T"))</f>
        <v>L</v>
      </c>
      <c r="L1090" t="str">
        <f t="shared" ref="L1090:L1153" si="105">D1090</f>
        <v>Michael</v>
      </c>
      <c r="M1090" t="str">
        <f>VLOOKUP(L1090,References!$A$2:$B$16,2,FALSE)</f>
        <v>AKCOVA</v>
      </c>
      <c r="N1090" s="19" t="str">
        <f>IF(M1090=M1091,"N","Y")</f>
        <v>Y</v>
      </c>
      <c r="O1090">
        <f>SUM(I1090:I1091)</f>
        <v>163</v>
      </c>
      <c r="P1090">
        <f t="shared" si="101"/>
        <v>93</v>
      </c>
    </row>
    <row r="1091" spans="1:16" hidden="1" x14ac:dyDescent="0.3">
      <c r="A1091" t="str">
        <f t="shared" ref="A1091:A1154" si="106">F1091&amp;D1091&amp;G1091</f>
        <v>2020David5</v>
      </c>
      <c r="B1091">
        <f t="shared" si="102"/>
        <v>450</v>
      </c>
      <c r="C1091">
        <f t="shared" si="103"/>
        <v>926</v>
      </c>
      <c r="D1091" t="s">
        <v>29</v>
      </c>
      <c r="E1091" t="str">
        <f>D1090</f>
        <v>Michael</v>
      </c>
      <c r="F1091">
        <v>2020</v>
      </c>
      <c r="G1091">
        <v>5</v>
      </c>
      <c r="H1091">
        <v>1.2</v>
      </c>
      <c r="I1091" s="14">
        <v>93</v>
      </c>
      <c r="J1091">
        <f>I1091-I1090</f>
        <v>23</v>
      </c>
      <c r="K1091" t="str">
        <f t="shared" si="104"/>
        <v>W</v>
      </c>
      <c r="L1091" t="str">
        <f t="shared" si="105"/>
        <v>David</v>
      </c>
      <c r="M1091" t="str">
        <f>VLOOKUP(L1091,References!$A$2:$B$16,2,FALSE)</f>
        <v>TEXAROK</v>
      </c>
      <c r="N1091" s="19" t="str">
        <f>IF(M1091=M1090,"N","Y")</f>
        <v>Y</v>
      </c>
      <c r="O1091">
        <f>SUM(I1090:I1091)</f>
        <v>163</v>
      </c>
      <c r="P1091">
        <f t="shared" ref="P1091:P1154" si="107">I1091-J1091</f>
        <v>70</v>
      </c>
    </row>
    <row r="1092" spans="1:16" hidden="1" x14ac:dyDescent="0.3">
      <c r="A1092" t="str">
        <f t="shared" si="106"/>
        <v>2020Matt5</v>
      </c>
      <c r="B1092">
        <f t="shared" si="102"/>
        <v>2071</v>
      </c>
      <c r="C1092">
        <f t="shared" si="103"/>
        <v>1910</v>
      </c>
      <c r="D1092" t="s">
        <v>30</v>
      </c>
      <c r="E1092" t="str">
        <f>D1093</f>
        <v>Russell</v>
      </c>
      <c r="F1092">
        <v>2020</v>
      </c>
      <c r="G1092">
        <v>5</v>
      </c>
      <c r="H1092">
        <v>2.1</v>
      </c>
      <c r="I1092" s="14">
        <v>62</v>
      </c>
      <c r="J1092">
        <f>I1092-I1093</f>
        <v>-71</v>
      </c>
      <c r="K1092" t="str">
        <f t="shared" si="104"/>
        <v>L</v>
      </c>
      <c r="L1092" t="str">
        <f t="shared" si="105"/>
        <v>Matt</v>
      </c>
      <c r="M1092" t="str">
        <f>VLOOKUP(L1092,References!$A$2:$B$16,2,FALSE)</f>
        <v>TEXAROK</v>
      </c>
      <c r="N1092" s="19" t="str">
        <f>IF(M1092=M1093,"N","Y")</f>
        <v>N</v>
      </c>
      <c r="O1092">
        <f>SUM(I1092:I1093)</f>
        <v>195</v>
      </c>
      <c r="P1092">
        <f t="shared" si="107"/>
        <v>133</v>
      </c>
    </row>
    <row r="1093" spans="1:16" hidden="1" x14ac:dyDescent="0.3">
      <c r="A1093" t="str">
        <f t="shared" si="106"/>
        <v>2020Russell5</v>
      </c>
      <c r="B1093">
        <f t="shared" si="102"/>
        <v>22</v>
      </c>
      <c r="C1093">
        <f t="shared" si="103"/>
        <v>89</v>
      </c>
      <c r="D1093" t="s">
        <v>28</v>
      </c>
      <c r="E1093" t="str">
        <f>D1092</f>
        <v>Matt</v>
      </c>
      <c r="F1093">
        <v>2020</v>
      </c>
      <c r="G1093">
        <v>5</v>
      </c>
      <c r="H1093">
        <v>2.2000000000000002</v>
      </c>
      <c r="I1093" s="14">
        <v>133</v>
      </c>
      <c r="J1093">
        <f>I1093-I1092</f>
        <v>71</v>
      </c>
      <c r="K1093" t="str">
        <f t="shared" si="104"/>
        <v>W</v>
      </c>
      <c r="L1093" t="str">
        <f t="shared" si="105"/>
        <v>Russell</v>
      </c>
      <c r="M1093" t="str">
        <f>VLOOKUP(L1093,References!$A$2:$B$16,2,FALSE)</f>
        <v>TEXAROK</v>
      </c>
      <c r="N1093" s="19" t="str">
        <f>IF(M1093=M1092,"N","Y")</f>
        <v>N</v>
      </c>
      <c r="O1093">
        <f>SUM(I1092:I1093)</f>
        <v>195</v>
      </c>
      <c r="P1093">
        <f t="shared" si="107"/>
        <v>62</v>
      </c>
    </row>
    <row r="1094" spans="1:16" hidden="1" x14ac:dyDescent="0.3">
      <c r="A1094" t="str">
        <f t="shared" si="106"/>
        <v>2020Emily5</v>
      </c>
      <c r="B1094">
        <f t="shared" si="102"/>
        <v>1312</v>
      </c>
      <c r="C1094">
        <f t="shared" si="103"/>
        <v>1684</v>
      </c>
      <c r="D1094" t="s">
        <v>43</v>
      </c>
      <c r="E1094" t="str">
        <f>D1095</f>
        <v>Brent</v>
      </c>
      <c r="F1094">
        <v>2020</v>
      </c>
      <c r="G1094">
        <v>5</v>
      </c>
      <c r="H1094">
        <v>3.1</v>
      </c>
      <c r="I1094" s="14">
        <v>72</v>
      </c>
      <c r="J1094">
        <f>I1094-I1095</f>
        <v>-10</v>
      </c>
      <c r="K1094" t="str">
        <f t="shared" si="104"/>
        <v>L</v>
      </c>
      <c r="L1094" t="str">
        <f t="shared" si="105"/>
        <v>Emily</v>
      </c>
      <c r="M1094" t="str">
        <f>VLOOKUP(L1094,References!$A$2:$B$16,2,FALSE)</f>
        <v>TEXAROK</v>
      </c>
      <c r="N1094" s="19" t="str">
        <f>IF(M1094=M1095,"N","Y")</f>
        <v>N</v>
      </c>
      <c r="O1094">
        <f>SUM(I1094:I1095)</f>
        <v>154</v>
      </c>
      <c r="P1094">
        <f t="shared" si="107"/>
        <v>82</v>
      </c>
    </row>
    <row r="1095" spans="1:16" hidden="1" x14ac:dyDescent="0.3">
      <c r="A1095" t="str">
        <f t="shared" si="106"/>
        <v>2020Brent5</v>
      </c>
      <c r="B1095">
        <f t="shared" si="102"/>
        <v>758</v>
      </c>
      <c r="C1095">
        <f t="shared" si="103"/>
        <v>1318</v>
      </c>
      <c r="D1095" t="s">
        <v>47</v>
      </c>
      <c r="E1095" t="str">
        <f>D1094</f>
        <v>Emily</v>
      </c>
      <c r="F1095">
        <v>2020</v>
      </c>
      <c r="G1095">
        <v>5</v>
      </c>
      <c r="H1095">
        <v>3.2</v>
      </c>
      <c r="I1095" s="14">
        <v>82</v>
      </c>
      <c r="J1095">
        <f>I1095-I1094</f>
        <v>10</v>
      </c>
      <c r="K1095" t="str">
        <f t="shared" si="104"/>
        <v>W</v>
      </c>
      <c r="L1095" t="str">
        <f t="shared" si="105"/>
        <v>Brent</v>
      </c>
      <c r="M1095" t="str">
        <f>VLOOKUP(L1095,References!$A$2:$B$16,2,FALSE)</f>
        <v>TEXAROK</v>
      </c>
      <c r="N1095" s="19" t="str">
        <f>IF(M1095=M1094,"N","Y")</f>
        <v>N</v>
      </c>
      <c r="O1095">
        <f>SUM(I1094:I1095)</f>
        <v>154</v>
      </c>
      <c r="P1095">
        <f t="shared" si="107"/>
        <v>72</v>
      </c>
    </row>
    <row r="1096" spans="1:16" hidden="1" x14ac:dyDescent="0.3">
      <c r="A1096" t="str">
        <f t="shared" si="106"/>
        <v>2020Abby5</v>
      </c>
      <c r="B1096">
        <f t="shared" si="102"/>
        <v>1605</v>
      </c>
      <c r="C1096">
        <f t="shared" si="103"/>
        <v>1815</v>
      </c>
      <c r="D1096" t="s">
        <v>27</v>
      </c>
      <c r="E1096" t="str">
        <f>D1097</f>
        <v>Watty</v>
      </c>
      <c r="F1096">
        <v>2020</v>
      </c>
      <c r="G1096">
        <v>5</v>
      </c>
      <c r="H1096">
        <v>4.0999999999999996</v>
      </c>
      <c r="I1096" s="14">
        <v>67</v>
      </c>
      <c r="J1096">
        <f>I1096-I1097</f>
        <v>-22</v>
      </c>
      <c r="K1096" t="str">
        <f t="shared" si="104"/>
        <v>L</v>
      </c>
      <c r="L1096" t="str">
        <f t="shared" si="105"/>
        <v>Abby</v>
      </c>
      <c r="M1096" t="str">
        <f>VLOOKUP(L1096,References!$A$2:$B$16,2,FALSE)</f>
        <v>AKCOVA</v>
      </c>
      <c r="N1096" s="19" t="str">
        <f>IF(M1096=M1097,"N","Y")</f>
        <v>N</v>
      </c>
      <c r="O1096">
        <f>SUM(I1096:I1097)</f>
        <v>156</v>
      </c>
      <c r="P1096">
        <f t="shared" si="107"/>
        <v>89</v>
      </c>
    </row>
    <row r="1097" spans="1:16" hidden="1" x14ac:dyDescent="0.3">
      <c r="A1097" t="str">
        <f t="shared" si="106"/>
        <v>2020Watty5</v>
      </c>
      <c r="B1097">
        <f t="shared" si="102"/>
        <v>469</v>
      </c>
      <c r="C1097">
        <f t="shared" si="103"/>
        <v>1055</v>
      </c>
      <c r="D1097" t="s">
        <v>24</v>
      </c>
      <c r="E1097" t="str">
        <f>D1096</f>
        <v>Abby</v>
      </c>
      <c r="F1097">
        <v>2020</v>
      </c>
      <c r="G1097">
        <v>5</v>
      </c>
      <c r="H1097">
        <v>4.2</v>
      </c>
      <c r="I1097" s="14">
        <v>89</v>
      </c>
      <c r="J1097">
        <f>I1097-I1096</f>
        <v>22</v>
      </c>
      <c r="K1097" t="str">
        <f t="shared" si="104"/>
        <v>W</v>
      </c>
      <c r="L1097" t="str">
        <f t="shared" si="105"/>
        <v>Watty</v>
      </c>
      <c r="M1097" t="str">
        <f>VLOOKUP(L1097,References!$A$2:$B$16,2,FALSE)</f>
        <v>AKCOVA</v>
      </c>
      <c r="N1097" s="19" t="str">
        <f>IF(M1097=M1096,"N","Y")</f>
        <v>N</v>
      </c>
      <c r="O1097">
        <f>SUM(I1096:I1097)</f>
        <v>156</v>
      </c>
      <c r="P1097">
        <f t="shared" si="107"/>
        <v>67</v>
      </c>
    </row>
    <row r="1098" spans="1:16" hidden="1" x14ac:dyDescent="0.3">
      <c r="A1098" t="str">
        <f t="shared" si="106"/>
        <v>2020Mark5</v>
      </c>
      <c r="B1098">
        <f t="shared" si="102"/>
        <v>1145</v>
      </c>
      <c r="C1098">
        <f t="shared" si="103"/>
        <v>714</v>
      </c>
      <c r="D1098" t="s">
        <v>22</v>
      </c>
      <c r="E1098" t="str">
        <f>D1099</f>
        <v>Brian</v>
      </c>
      <c r="F1098">
        <v>2020</v>
      </c>
      <c r="G1098">
        <v>5</v>
      </c>
      <c r="H1098">
        <v>5.0999999999999996</v>
      </c>
      <c r="I1098" s="14">
        <v>99</v>
      </c>
      <c r="J1098">
        <f>I1098-I1099</f>
        <v>-4</v>
      </c>
      <c r="K1098" t="str">
        <f t="shared" si="104"/>
        <v>L</v>
      </c>
      <c r="L1098" t="str">
        <f t="shared" si="105"/>
        <v>Mark</v>
      </c>
      <c r="M1098" t="str">
        <f>VLOOKUP(L1098,References!$A$2:$B$16,2,FALSE)</f>
        <v>AKCOVA</v>
      </c>
      <c r="N1098" s="19" t="str">
        <f>IF(M1098=M1099,"N","Y")</f>
        <v>Y</v>
      </c>
      <c r="O1098">
        <f>SUM(I1098:I1099)</f>
        <v>202</v>
      </c>
      <c r="P1098">
        <f t="shared" si="107"/>
        <v>103</v>
      </c>
    </row>
    <row r="1099" spans="1:16" hidden="1" x14ac:dyDescent="0.3">
      <c r="A1099" t="str">
        <f t="shared" si="106"/>
        <v>2020Brian5</v>
      </c>
      <c r="B1099">
        <f t="shared" si="102"/>
        <v>917</v>
      </c>
      <c r="C1099">
        <f t="shared" si="103"/>
        <v>603</v>
      </c>
      <c r="D1099" t="s">
        <v>26</v>
      </c>
      <c r="E1099" t="str">
        <f>D1098</f>
        <v>Mark</v>
      </c>
      <c r="F1099">
        <v>2020</v>
      </c>
      <c r="G1099">
        <v>5</v>
      </c>
      <c r="H1099">
        <v>5.2</v>
      </c>
      <c r="I1099" s="14">
        <v>103</v>
      </c>
      <c r="J1099">
        <f>I1099-I1098</f>
        <v>4</v>
      </c>
      <c r="K1099" t="str">
        <f t="shared" si="104"/>
        <v>W</v>
      </c>
      <c r="L1099" t="str">
        <f t="shared" si="105"/>
        <v>Brian</v>
      </c>
      <c r="M1099" t="str">
        <f>VLOOKUP(L1099,References!$A$2:$B$16,2,FALSE)</f>
        <v>TEXAROK</v>
      </c>
      <c r="N1099" s="19" t="str">
        <f>IF(M1099=M1098,"N","Y")</f>
        <v>Y</v>
      </c>
      <c r="O1099">
        <f>SUM(I1098:I1099)</f>
        <v>202</v>
      </c>
      <c r="P1099">
        <f t="shared" si="107"/>
        <v>99</v>
      </c>
    </row>
    <row r="1100" spans="1:16" hidden="1" x14ac:dyDescent="0.3">
      <c r="A1100" t="str">
        <f t="shared" si="106"/>
        <v>2020BR5</v>
      </c>
      <c r="B1100">
        <f t="shared" si="102"/>
        <v>1475</v>
      </c>
      <c r="C1100">
        <f t="shared" si="103"/>
        <v>1439</v>
      </c>
      <c r="D1100" t="s">
        <v>25</v>
      </c>
      <c r="E1100" t="str">
        <f>D1101</f>
        <v>Charles</v>
      </c>
      <c r="F1100">
        <v>2020</v>
      </c>
      <c r="G1100">
        <v>5</v>
      </c>
      <c r="H1100">
        <v>6.1</v>
      </c>
      <c r="I1100" s="14">
        <v>79</v>
      </c>
      <c r="J1100">
        <f>I1100-I1101</f>
        <v>-17</v>
      </c>
      <c r="K1100" t="str">
        <f t="shared" si="104"/>
        <v>L</v>
      </c>
      <c r="L1100" t="str">
        <f t="shared" si="105"/>
        <v>BR</v>
      </c>
      <c r="M1100" t="str">
        <f>VLOOKUP(L1100,References!$A$2:$B$16,2,FALSE)</f>
        <v>AKCOVA</v>
      </c>
      <c r="N1100" s="19" t="str">
        <f>IF(M1100=M1101,"N","Y")</f>
        <v>N</v>
      </c>
      <c r="O1100">
        <f>SUM(I1100:I1101)</f>
        <v>175</v>
      </c>
      <c r="P1100">
        <f t="shared" si="107"/>
        <v>96</v>
      </c>
    </row>
    <row r="1101" spans="1:16" hidden="1" x14ac:dyDescent="0.3">
      <c r="A1101" t="str">
        <f t="shared" si="106"/>
        <v>2020Charles5</v>
      </c>
      <c r="B1101">
        <f t="shared" si="102"/>
        <v>597</v>
      </c>
      <c r="C1101">
        <f t="shared" si="103"/>
        <v>822</v>
      </c>
      <c r="D1101" t="s">
        <v>48</v>
      </c>
      <c r="E1101" t="str">
        <f>D1100</f>
        <v>BR</v>
      </c>
      <c r="F1101">
        <v>2020</v>
      </c>
      <c r="G1101">
        <v>5</v>
      </c>
      <c r="H1101">
        <v>6.2</v>
      </c>
      <c r="I1101" s="14">
        <v>96</v>
      </c>
      <c r="J1101">
        <f>I1101-I1100</f>
        <v>17</v>
      </c>
      <c r="K1101" t="str">
        <f t="shared" si="104"/>
        <v>W</v>
      </c>
      <c r="L1101" t="str">
        <f t="shared" si="105"/>
        <v>Charles</v>
      </c>
      <c r="M1101" t="str">
        <f>VLOOKUP(L1101,References!$A$2:$B$16,2,FALSE)</f>
        <v>AKCOVA</v>
      </c>
      <c r="N1101" s="19" t="str">
        <f>IF(M1101=M1100,"N","Y")</f>
        <v>N</v>
      </c>
      <c r="O1101">
        <f>SUM(I1100:I1101)</f>
        <v>175</v>
      </c>
      <c r="P1101">
        <f t="shared" si="107"/>
        <v>79</v>
      </c>
    </row>
    <row r="1102" spans="1:16" hidden="1" x14ac:dyDescent="0.3">
      <c r="A1102" t="str">
        <f t="shared" si="106"/>
        <v>2020Abby6</v>
      </c>
      <c r="B1102">
        <f t="shared" si="102"/>
        <v>1869</v>
      </c>
      <c r="C1102">
        <f t="shared" si="103"/>
        <v>1143</v>
      </c>
      <c r="D1102" t="s">
        <v>27</v>
      </c>
      <c r="E1102" t="str">
        <f>D1103</f>
        <v>Michael</v>
      </c>
      <c r="F1102">
        <v>2020</v>
      </c>
      <c r="G1102">
        <v>6</v>
      </c>
      <c r="H1102">
        <v>1.1000000000000001</v>
      </c>
      <c r="I1102" s="14">
        <v>87</v>
      </c>
      <c r="J1102">
        <f>I1102-I1103</f>
        <v>-38</v>
      </c>
      <c r="K1102" t="str">
        <f t="shared" si="104"/>
        <v>L</v>
      </c>
      <c r="L1102" t="str">
        <f t="shared" si="105"/>
        <v>Abby</v>
      </c>
      <c r="M1102" t="str">
        <f>VLOOKUP(L1102,References!$A$2:$B$16,2,FALSE)</f>
        <v>AKCOVA</v>
      </c>
      <c r="N1102" s="19" t="str">
        <f>IF(M1102=M1103,"N","Y")</f>
        <v>N</v>
      </c>
      <c r="O1102">
        <f>SUM(I1102:I1103)</f>
        <v>212</v>
      </c>
      <c r="P1102">
        <f t="shared" si="107"/>
        <v>125</v>
      </c>
    </row>
    <row r="1103" spans="1:16" hidden="1" x14ac:dyDescent="0.3">
      <c r="A1103" t="str">
        <f t="shared" si="106"/>
        <v>2020Michael6</v>
      </c>
      <c r="B1103">
        <f t="shared" si="102"/>
        <v>210</v>
      </c>
      <c r="C1103">
        <f t="shared" si="103"/>
        <v>165</v>
      </c>
      <c r="D1103" t="s">
        <v>23</v>
      </c>
      <c r="E1103" t="str">
        <f>D1102</f>
        <v>Abby</v>
      </c>
      <c r="F1103">
        <v>2020</v>
      </c>
      <c r="G1103">
        <v>6</v>
      </c>
      <c r="H1103">
        <v>1.2</v>
      </c>
      <c r="I1103" s="14">
        <v>125</v>
      </c>
      <c r="J1103">
        <f>I1103-I1102</f>
        <v>38</v>
      </c>
      <c r="K1103" t="str">
        <f t="shared" si="104"/>
        <v>W</v>
      </c>
      <c r="L1103" t="str">
        <f t="shared" si="105"/>
        <v>Michael</v>
      </c>
      <c r="M1103" t="str">
        <f>VLOOKUP(L1103,References!$A$2:$B$16,2,FALSE)</f>
        <v>AKCOVA</v>
      </c>
      <c r="N1103" s="19" t="str">
        <f>IF(M1103=M1102,"N","Y")</f>
        <v>N</v>
      </c>
      <c r="O1103">
        <f>SUM(I1102:I1103)</f>
        <v>212</v>
      </c>
      <c r="P1103">
        <f t="shared" si="107"/>
        <v>87</v>
      </c>
    </row>
    <row r="1104" spans="1:16" hidden="1" x14ac:dyDescent="0.3">
      <c r="A1104" t="str">
        <f t="shared" si="106"/>
        <v>2020Mark6</v>
      </c>
      <c r="B1104">
        <f t="shared" si="102"/>
        <v>1753</v>
      </c>
      <c r="C1104">
        <f t="shared" si="103"/>
        <v>1406</v>
      </c>
      <c r="D1104" t="s">
        <v>22</v>
      </c>
      <c r="E1104" t="str">
        <f>D1105</f>
        <v>Matt</v>
      </c>
      <c r="F1104">
        <v>2020</v>
      </c>
      <c r="G1104">
        <v>6</v>
      </c>
      <c r="H1104">
        <v>2.1</v>
      </c>
      <c r="I1104" s="14">
        <v>80</v>
      </c>
      <c r="J1104">
        <f>I1104-I1105</f>
        <v>-30</v>
      </c>
      <c r="K1104" t="str">
        <f t="shared" si="104"/>
        <v>L</v>
      </c>
      <c r="L1104" t="str">
        <f t="shared" si="105"/>
        <v>Mark</v>
      </c>
      <c r="M1104" t="str">
        <f>VLOOKUP(L1104,References!$A$2:$B$16,2,FALSE)</f>
        <v>AKCOVA</v>
      </c>
      <c r="N1104" s="19" t="str">
        <f>IF(M1104=M1105,"N","Y")</f>
        <v>Y</v>
      </c>
      <c r="O1104">
        <f>SUM(I1104:I1105)</f>
        <v>190</v>
      </c>
      <c r="P1104">
        <f t="shared" si="107"/>
        <v>110</v>
      </c>
    </row>
    <row r="1105" spans="1:16" hidden="1" x14ac:dyDescent="0.3">
      <c r="A1105" t="str">
        <f t="shared" si="106"/>
        <v>2020Matt6</v>
      </c>
      <c r="B1105">
        <f t="shared" si="102"/>
        <v>319</v>
      </c>
      <c r="C1105">
        <f t="shared" si="103"/>
        <v>412</v>
      </c>
      <c r="D1105" t="s">
        <v>30</v>
      </c>
      <c r="E1105" t="str">
        <f>D1104</f>
        <v>Mark</v>
      </c>
      <c r="F1105">
        <v>2020</v>
      </c>
      <c r="G1105">
        <v>6</v>
      </c>
      <c r="H1105">
        <v>2.2000000000000002</v>
      </c>
      <c r="I1105" s="14">
        <v>110</v>
      </c>
      <c r="J1105">
        <f>I1105-I1104</f>
        <v>30</v>
      </c>
      <c r="K1105" t="str">
        <f t="shared" si="104"/>
        <v>W</v>
      </c>
      <c r="L1105" t="str">
        <f t="shared" si="105"/>
        <v>Matt</v>
      </c>
      <c r="M1105" t="str">
        <f>VLOOKUP(L1105,References!$A$2:$B$16,2,FALSE)</f>
        <v>TEXAROK</v>
      </c>
      <c r="N1105" s="19" t="str">
        <f>IF(M1105=M1104,"N","Y")</f>
        <v>Y</v>
      </c>
      <c r="O1105">
        <f>SUM(I1104:I1105)</f>
        <v>190</v>
      </c>
      <c r="P1105">
        <f t="shared" si="107"/>
        <v>80</v>
      </c>
    </row>
    <row r="1106" spans="1:16" hidden="1" x14ac:dyDescent="0.3">
      <c r="A1106" t="str">
        <f t="shared" si="106"/>
        <v>2020BR6</v>
      </c>
      <c r="B1106">
        <f t="shared" si="102"/>
        <v>199</v>
      </c>
      <c r="C1106">
        <f t="shared" si="103"/>
        <v>992</v>
      </c>
      <c r="D1106" t="s">
        <v>25</v>
      </c>
      <c r="E1106" t="str">
        <f>D1107</f>
        <v>Emily</v>
      </c>
      <c r="F1106">
        <v>2020</v>
      </c>
      <c r="G1106">
        <v>6</v>
      </c>
      <c r="H1106">
        <v>3.1</v>
      </c>
      <c r="I1106" s="14">
        <v>91</v>
      </c>
      <c r="J1106">
        <f>I1106-I1107</f>
        <v>39</v>
      </c>
      <c r="K1106" t="str">
        <f t="shared" si="104"/>
        <v>W</v>
      </c>
      <c r="L1106" t="str">
        <f t="shared" si="105"/>
        <v>BR</v>
      </c>
      <c r="M1106" t="str">
        <f>VLOOKUP(L1106,References!$A$2:$B$16,2,FALSE)</f>
        <v>AKCOVA</v>
      </c>
      <c r="N1106" s="19" t="str">
        <f>IF(M1106=M1107,"N","Y")</f>
        <v>Y</v>
      </c>
      <c r="O1106">
        <f>SUM(I1106:I1107)</f>
        <v>143</v>
      </c>
      <c r="P1106">
        <f t="shared" si="107"/>
        <v>52</v>
      </c>
    </row>
    <row r="1107" spans="1:16" hidden="1" x14ac:dyDescent="0.3">
      <c r="A1107" t="str">
        <f t="shared" si="106"/>
        <v>2020Emily6</v>
      </c>
      <c r="B1107">
        <f t="shared" si="102"/>
        <v>1884</v>
      </c>
      <c r="C1107">
        <f t="shared" si="103"/>
        <v>2034</v>
      </c>
      <c r="D1107" t="s">
        <v>43</v>
      </c>
      <c r="E1107" t="str">
        <f>D1106</f>
        <v>BR</v>
      </c>
      <c r="F1107">
        <v>2020</v>
      </c>
      <c r="G1107">
        <v>6</v>
      </c>
      <c r="H1107">
        <v>3.2</v>
      </c>
      <c r="I1107" s="14">
        <v>52</v>
      </c>
      <c r="J1107">
        <f>I1107-I1106</f>
        <v>-39</v>
      </c>
      <c r="K1107" t="str">
        <f t="shared" si="104"/>
        <v>L</v>
      </c>
      <c r="L1107" t="str">
        <f t="shared" si="105"/>
        <v>Emily</v>
      </c>
      <c r="M1107" t="str">
        <f>VLOOKUP(L1107,References!$A$2:$B$16,2,FALSE)</f>
        <v>TEXAROK</v>
      </c>
      <c r="N1107" s="19" t="str">
        <f>IF(M1107=M1106,"N","Y")</f>
        <v>Y</v>
      </c>
      <c r="O1107">
        <f>SUM(I1106:I1107)</f>
        <v>143</v>
      </c>
      <c r="P1107">
        <f t="shared" si="107"/>
        <v>91</v>
      </c>
    </row>
    <row r="1108" spans="1:16" hidden="1" x14ac:dyDescent="0.3">
      <c r="A1108" t="str">
        <f t="shared" si="106"/>
        <v>2020Charles6</v>
      </c>
      <c r="B1108">
        <f t="shared" si="102"/>
        <v>1840</v>
      </c>
      <c r="C1108">
        <f t="shared" si="103"/>
        <v>1549</v>
      </c>
      <c r="D1108" t="s">
        <v>48</v>
      </c>
      <c r="E1108" t="str">
        <f>D1109</f>
        <v>Brent</v>
      </c>
      <c r="F1108">
        <v>2020</v>
      </c>
      <c r="G1108">
        <v>6</v>
      </c>
      <c r="H1108">
        <v>4.0999999999999996</v>
      </c>
      <c r="I1108" s="14">
        <v>76</v>
      </c>
      <c r="J1108">
        <f>I1108-I1109</f>
        <v>-36</v>
      </c>
      <c r="K1108" t="str">
        <f t="shared" si="104"/>
        <v>L</v>
      </c>
      <c r="L1108" t="str">
        <f t="shared" si="105"/>
        <v>Charles</v>
      </c>
      <c r="M1108" t="str">
        <f>VLOOKUP(L1108,References!$A$2:$B$16,2,FALSE)</f>
        <v>AKCOVA</v>
      </c>
      <c r="N1108" s="19" t="str">
        <f>IF(M1108=M1109,"N","Y")</f>
        <v>Y</v>
      </c>
      <c r="O1108">
        <f>SUM(I1108:I1109)</f>
        <v>188</v>
      </c>
      <c r="P1108">
        <f t="shared" si="107"/>
        <v>112</v>
      </c>
    </row>
    <row r="1109" spans="1:16" hidden="1" x14ac:dyDescent="0.3">
      <c r="A1109" t="str">
        <f t="shared" si="106"/>
        <v>2020Brent6</v>
      </c>
      <c r="B1109">
        <f t="shared" si="102"/>
        <v>238</v>
      </c>
      <c r="C1109">
        <f t="shared" si="103"/>
        <v>364</v>
      </c>
      <c r="D1109" t="s">
        <v>47</v>
      </c>
      <c r="E1109" t="str">
        <f>D1108</f>
        <v>Charles</v>
      </c>
      <c r="F1109">
        <v>2020</v>
      </c>
      <c r="G1109">
        <v>6</v>
      </c>
      <c r="H1109">
        <v>4.2</v>
      </c>
      <c r="I1109" s="14">
        <v>112</v>
      </c>
      <c r="J1109">
        <f>I1109-I1108</f>
        <v>36</v>
      </c>
      <c r="K1109" t="str">
        <f t="shared" si="104"/>
        <v>W</v>
      </c>
      <c r="L1109" t="str">
        <f t="shared" si="105"/>
        <v>Brent</v>
      </c>
      <c r="M1109" t="str">
        <f>VLOOKUP(L1109,References!$A$2:$B$16,2,FALSE)</f>
        <v>TEXAROK</v>
      </c>
      <c r="N1109" s="19" t="str">
        <f>IF(M1109=M1108,"N","Y")</f>
        <v>Y</v>
      </c>
      <c r="O1109">
        <f>SUM(I1108:I1109)</f>
        <v>188</v>
      </c>
      <c r="P1109">
        <f t="shared" si="107"/>
        <v>76</v>
      </c>
    </row>
    <row r="1110" spans="1:16" hidden="1" x14ac:dyDescent="0.3">
      <c r="A1110" t="str">
        <f t="shared" si="106"/>
        <v>2020Brian6</v>
      </c>
      <c r="B1110">
        <f t="shared" si="102"/>
        <v>469</v>
      </c>
      <c r="C1110">
        <f t="shared" si="103"/>
        <v>486</v>
      </c>
      <c r="D1110" t="s">
        <v>26</v>
      </c>
      <c r="E1110" t="str">
        <f>D1111</f>
        <v>Russell</v>
      </c>
      <c r="F1110">
        <v>2020</v>
      </c>
      <c r="G1110">
        <v>6</v>
      </c>
      <c r="H1110">
        <v>5.0999999999999996</v>
      </c>
      <c r="I1110" s="14">
        <v>107</v>
      </c>
      <c r="J1110">
        <f>I1110-I1111</f>
        <v>22</v>
      </c>
      <c r="K1110" t="str">
        <f t="shared" si="104"/>
        <v>W</v>
      </c>
      <c r="L1110" t="str">
        <f t="shared" si="105"/>
        <v>Brian</v>
      </c>
      <c r="M1110" t="str">
        <f>VLOOKUP(L1110,References!$A$2:$B$16,2,FALSE)</f>
        <v>TEXAROK</v>
      </c>
      <c r="N1110" s="19" t="str">
        <f>IF(M1110=M1111,"N","Y")</f>
        <v>N</v>
      </c>
      <c r="O1110">
        <f>SUM(I1110:I1111)</f>
        <v>192</v>
      </c>
      <c r="P1110">
        <f t="shared" si="107"/>
        <v>85</v>
      </c>
    </row>
    <row r="1111" spans="1:16" hidden="1" x14ac:dyDescent="0.3">
      <c r="A1111" t="str">
        <f t="shared" si="106"/>
        <v>2020Russell6</v>
      </c>
      <c r="B1111">
        <f t="shared" si="102"/>
        <v>1605</v>
      </c>
      <c r="C1111">
        <f t="shared" si="103"/>
        <v>1210</v>
      </c>
      <c r="D1111" t="s">
        <v>28</v>
      </c>
      <c r="E1111" t="str">
        <f>D1110</f>
        <v>Brian</v>
      </c>
      <c r="F1111">
        <v>2020</v>
      </c>
      <c r="G1111">
        <v>6</v>
      </c>
      <c r="H1111">
        <v>5.2</v>
      </c>
      <c r="I1111" s="14">
        <v>85</v>
      </c>
      <c r="J1111">
        <f>I1111-I1110</f>
        <v>-22</v>
      </c>
      <c r="K1111" t="str">
        <f t="shared" si="104"/>
        <v>L</v>
      </c>
      <c r="L1111" t="str">
        <f t="shared" si="105"/>
        <v>Russell</v>
      </c>
      <c r="M1111" t="str">
        <f>VLOOKUP(L1111,References!$A$2:$B$16,2,FALSE)</f>
        <v>TEXAROK</v>
      </c>
      <c r="N1111" s="19" t="str">
        <f>IF(M1111=M1110,"N","Y")</f>
        <v>N</v>
      </c>
      <c r="O1111">
        <f>SUM(I1110:I1111)</f>
        <v>192</v>
      </c>
      <c r="P1111">
        <f t="shared" si="107"/>
        <v>107</v>
      </c>
    </row>
    <row r="1112" spans="1:16" hidden="1" x14ac:dyDescent="0.3">
      <c r="A1112" t="str">
        <f t="shared" si="106"/>
        <v>2020Watty6</v>
      </c>
      <c r="B1112">
        <f t="shared" si="102"/>
        <v>1312</v>
      </c>
      <c r="C1112">
        <f t="shared" si="103"/>
        <v>1853</v>
      </c>
      <c r="D1112" t="s">
        <v>24</v>
      </c>
      <c r="E1112" t="str">
        <f>D1113</f>
        <v>David</v>
      </c>
      <c r="F1112">
        <v>2020</v>
      </c>
      <c r="G1112">
        <v>6</v>
      </c>
      <c r="H1112">
        <v>6.1</v>
      </c>
      <c r="I1112" s="14">
        <v>65</v>
      </c>
      <c r="J1112">
        <f>I1112-I1113</f>
        <v>-10</v>
      </c>
      <c r="K1112" t="str">
        <f t="shared" si="104"/>
        <v>L</v>
      </c>
      <c r="L1112" t="str">
        <f t="shared" si="105"/>
        <v>Watty</v>
      </c>
      <c r="M1112" t="str">
        <f>VLOOKUP(L1112,References!$A$2:$B$16,2,FALSE)</f>
        <v>AKCOVA</v>
      </c>
      <c r="N1112" s="19" t="str">
        <f>IF(M1112=M1113,"N","Y")</f>
        <v>Y</v>
      </c>
      <c r="O1112">
        <f>SUM(I1112:I1113)</f>
        <v>140</v>
      </c>
      <c r="P1112">
        <f t="shared" si="107"/>
        <v>75</v>
      </c>
    </row>
    <row r="1113" spans="1:16" hidden="1" x14ac:dyDescent="0.3">
      <c r="A1113" t="str">
        <f t="shared" si="106"/>
        <v>2020David6</v>
      </c>
      <c r="B1113">
        <f t="shared" si="102"/>
        <v>758</v>
      </c>
      <c r="C1113">
        <f t="shared" si="103"/>
        <v>1595</v>
      </c>
      <c r="D1113" t="s">
        <v>29</v>
      </c>
      <c r="E1113" t="str">
        <f>D1112</f>
        <v>Watty</v>
      </c>
      <c r="F1113">
        <v>2020</v>
      </c>
      <c r="G1113">
        <v>6</v>
      </c>
      <c r="H1113">
        <v>6.2</v>
      </c>
      <c r="I1113" s="14">
        <v>75</v>
      </c>
      <c r="J1113">
        <f>I1113-I1112</f>
        <v>10</v>
      </c>
      <c r="K1113" t="str">
        <f t="shared" si="104"/>
        <v>W</v>
      </c>
      <c r="L1113" t="str">
        <f t="shared" si="105"/>
        <v>David</v>
      </c>
      <c r="M1113" t="str">
        <f>VLOOKUP(L1113,References!$A$2:$B$16,2,FALSE)</f>
        <v>TEXAROK</v>
      </c>
      <c r="N1113" s="19" t="str">
        <f>IF(M1113=M1112,"N","Y")</f>
        <v>Y</v>
      </c>
      <c r="O1113">
        <f>SUM(I1112:I1113)</f>
        <v>140</v>
      </c>
      <c r="P1113">
        <f t="shared" si="107"/>
        <v>65</v>
      </c>
    </row>
    <row r="1114" spans="1:16" hidden="1" x14ac:dyDescent="0.3">
      <c r="A1114" t="str">
        <f t="shared" si="106"/>
        <v>2020Michael7</v>
      </c>
      <c r="B1114">
        <f t="shared" si="102"/>
        <v>917</v>
      </c>
      <c r="C1114">
        <f t="shared" si="103"/>
        <v>1318</v>
      </c>
      <c r="D1114" t="s">
        <v>23</v>
      </c>
      <c r="E1114" t="str">
        <f>D1115</f>
        <v>Watty</v>
      </c>
      <c r="F1114">
        <v>2020</v>
      </c>
      <c r="G1114">
        <v>7</v>
      </c>
      <c r="H1114">
        <v>1.1000000000000001</v>
      </c>
      <c r="I1114" s="14">
        <v>82</v>
      </c>
      <c r="J1114">
        <f>I1114-I1115</f>
        <v>4</v>
      </c>
      <c r="K1114" t="str">
        <f t="shared" si="104"/>
        <v>W</v>
      </c>
      <c r="L1114" t="str">
        <f t="shared" si="105"/>
        <v>Michael</v>
      </c>
      <c r="M1114" t="str">
        <f>VLOOKUP(L1114,References!$A$2:$B$16,2,FALSE)</f>
        <v>AKCOVA</v>
      </c>
      <c r="N1114" s="19" t="str">
        <f>IF(M1114=M1115,"N","Y")</f>
        <v>N</v>
      </c>
      <c r="O1114">
        <f>SUM(I1114:I1115)</f>
        <v>160</v>
      </c>
      <c r="P1114">
        <f t="shared" si="107"/>
        <v>78</v>
      </c>
    </row>
    <row r="1115" spans="1:16" hidden="1" x14ac:dyDescent="0.3">
      <c r="A1115" t="str">
        <f t="shared" si="106"/>
        <v>2020Watty7</v>
      </c>
      <c r="B1115">
        <f t="shared" si="102"/>
        <v>1145</v>
      </c>
      <c r="C1115">
        <f t="shared" si="103"/>
        <v>1468</v>
      </c>
      <c r="D1115" t="s">
        <v>24</v>
      </c>
      <c r="E1115" t="str">
        <f>D1114</f>
        <v>Michael</v>
      </c>
      <c r="F1115">
        <v>2020</v>
      </c>
      <c r="G1115">
        <v>7</v>
      </c>
      <c r="H1115">
        <v>1.2</v>
      </c>
      <c r="I1115" s="14">
        <v>78</v>
      </c>
      <c r="J1115">
        <f>I1115-I1114</f>
        <v>-4</v>
      </c>
      <c r="K1115" t="str">
        <f t="shared" si="104"/>
        <v>L</v>
      </c>
      <c r="L1115" t="str">
        <f t="shared" si="105"/>
        <v>Watty</v>
      </c>
      <c r="M1115" t="str">
        <f>VLOOKUP(L1115,References!$A$2:$B$16,2,FALSE)</f>
        <v>AKCOVA</v>
      </c>
      <c r="N1115" s="19" t="str">
        <f>IF(M1115=M1114,"N","Y")</f>
        <v>N</v>
      </c>
      <c r="O1115">
        <f>SUM(I1114:I1115)</f>
        <v>160</v>
      </c>
      <c r="P1115">
        <f t="shared" si="107"/>
        <v>82</v>
      </c>
    </row>
    <row r="1116" spans="1:16" hidden="1" x14ac:dyDescent="0.3">
      <c r="A1116" t="str">
        <f t="shared" si="106"/>
        <v>2020Matt7</v>
      </c>
      <c r="B1116">
        <f t="shared" si="102"/>
        <v>1145</v>
      </c>
      <c r="C1116">
        <f t="shared" si="103"/>
        <v>1055</v>
      </c>
      <c r="D1116" t="s">
        <v>30</v>
      </c>
      <c r="E1116" t="str">
        <f>D1117</f>
        <v>Abby</v>
      </c>
      <c r="F1116">
        <v>2020</v>
      </c>
      <c r="G1116">
        <v>7</v>
      </c>
      <c r="H1116">
        <v>2.1</v>
      </c>
      <c r="I1116" s="14">
        <v>89</v>
      </c>
      <c r="J1116">
        <f>I1116-I1117</f>
        <v>-4</v>
      </c>
      <c r="K1116" t="str">
        <f t="shared" si="104"/>
        <v>L</v>
      </c>
      <c r="L1116" t="str">
        <f t="shared" si="105"/>
        <v>Matt</v>
      </c>
      <c r="M1116" t="str">
        <f>VLOOKUP(L1116,References!$A$2:$B$16,2,FALSE)</f>
        <v>TEXAROK</v>
      </c>
      <c r="N1116" s="19" t="str">
        <f>IF(M1116=M1117,"N","Y")</f>
        <v>Y</v>
      </c>
      <c r="O1116">
        <f>SUM(I1116:I1117)</f>
        <v>182</v>
      </c>
      <c r="P1116">
        <f t="shared" si="107"/>
        <v>93</v>
      </c>
    </row>
    <row r="1117" spans="1:16" hidden="1" x14ac:dyDescent="0.3">
      <c r="A1117" t="str">
        <f t="shared" si="106"/>
        <v>2020Abby7</v>
      </c>
      <c r="B1117">
        <f t="shared" si="102"/>
        <v>917</v>
      </c>
      <c r="C1117">
        <f t="shared" si="103"/>
        <v>926</v>
      </c>
      <c r="D1117" t="s">
        <v>27</v>
      </c>
      <c r="E1117" t="str">
        <f>D1116</f>
        <v>Matt</v>
      </c>
      <c r="F1117">
        <v>2020</v>
      </c>
      <c r="G1117">
        <v>7</v>
      </c>
      <c r="H1117">
        <v>2.2000000000000002</v>
      </c>
      <c r="I1117" s="14">
        <v>93</v>
      </c>
      <c r="J1117">
        <f>I1117-I1116</f>
        <v>4</v>
      </c>
      <c r="K1117" t="str">
        <f t="shared" si="104"/>
        <v>W</v>
      </c>
      <c r="L1117" t="str">
        <f t="shared" si="105"/>
        <v>Abby</v>
      </c>
      <c r="M1117" t="str">
        <f>VLOOKUP(L1117,References!$A$2:$B$16,2,FALSE)</f>
        <v>AKCOVA</v>
      </c>
      <c r="N1117" s="19" t="str">
        <f>IF(M1117=M1116,"N","Y")</f>
        <v>Y</v>
      </c>
      <c r="O1117">
        <f>SUM(I1116:I1117)</f>
        <v>182</v>
      </c>
      <c r="P1117">
        <f t="shared" si="107"/>
        <v>89</v>
      </c>
    </row>
    <row r="1118" spans="1:16" hidden="1" x14ac:dyDescent="0.3">
      <c r="A1118" t="str">
        <f t="shared" si="106"/>
        <v>2020Emily7</v>
      </c>
      <c r="B1118">
        <f t="shared" si="102"/>
        <v>49</v>
      </c>
      <c r="C1118">
        <f t="shared" si="103"/>
        <v>275</v>
      </c>
      <c r="D1118" t="s">
        <v>43</v>
      </c>
      <c r="E1118" t="str">
        <f>D1119</f>
        <v>Mark</v>
      </c>
      <c r="F1118">
        <v>2020</v>
      </c>
      <c r="G1118">
        <v>7</v>
      </c>
      <c r="H1118">
        <v>3.1</v>
      </c>
      <c r="I1118" s="14">
        <v>117</v>
      </c>
      <c r="J1118">
        <f>I1118-I1119</f>
        <v>61</v>
      </c>
      <c r="K1118" t="str">
        <f t="shared" si="104"/>
        <v>W</v>
      </c>
      <c r="L1118" t="str">
        <f t="shared" si="105"/>
        <v>Emily</v>
      </c>
      <c r="M1118" t="str">
        <f>VLOOKUP(L1118,References!$A$2:$B$16,2,FALSE)</f>
        <v>TEXAROK</v>
      </c>
      <c r="N1118" s="19" t="str">
        <f>IF(M1118=M1119,"N","Y")</f>
        <v>Y</v>
      </c>
      <c r="O1118">
        <f>SUM(I1118:I1119)</f>
        <v>173</v>
      </c>
      <c r="P1118">
        <f t="shared" si="107"/>
        <v>56</v>
      </c>
    </row>
    <row r="1119" spans="1:16" hidden="1" x14ac:dyDescent="0.3">
      <c r="A1119" t="str">
        <f t="shared" si="106"/>
        <v>2020Mark7</v>
      </c>
      <c r="B1119">
        <f t="shared" si="102"/>
        <v>2042</v>
      </c>
      <c r="C1119">
        <f t="shared" si="103"/>
        <v>2001</v>
      </c>
      <c r="D1119" t="s">
        <v>22</v>
      </c>
      <c r="E1119" t="str">
        <f>D1118</f>
        <v>Emily</v>
      </c>
      <c r="F1119">
        <v>2020</v>
      </c>
      <c r="G1119">
        <v>7</v>
      </c>
      <c r="H1119">
        <v>3.2</v>
      </c>
      <c r="I1119" s="14">
        <v>56</v>
      </c>
      <c r="J1119">
        <f>I1119-I1118</f>
        <v>-61</v>
      </c>
      <c r="K1119" t="str">
        <f t="shared" si="104"/>
        <v>L</v>
      </c>
      <c r="L1119" t="str">
        <f t="shared" si="105"/>
        <v>Mark</v>
      </c>
      <c r="M1119" t="str">
        <f>VLOOKUP(L1119,References!$A$2:$B$16,2,FALSE)</f>
        <v>AKCOVA</v>
      </c>
      <c r="N1119" s="19" t="str">
        <f>IF(M1119=M1118,"N","Y")</f>
        <v>Y</v>
      </c>
      <c r="O1119">
        <f>SUM(I1118:I1119)</f>
        <v>173</v>
      </c>
      <c r="P1119">
        <f t="shared" si="107"/>
        <v>117</v>
      </c>
    </row>
    <row r="1120" spans="1:16" hidden="1" x14ac:dyDescent="0.3">
      <c r="A1120" t="str">
        <f t="shared" si="106"/>
        <v>2020Brent7</v>
      </c>
      <c r="B1120">
        <f t="shared" si="102"/>
        <v>410</v>
      </c>
      <c r="C1120">
        <f t="shared" si="103"/>
        <v>1100</v>
      </c>
      <c r="D1120" t="s">
        <v>47</v>
      </c>
      <c r="E1120" t="str">
        <f>D1121</f>
        <v>BR</v>
      </c>
      <c r="F1120">
        <v>2020</v>
      </c>
      <c r="G1120">
        <v>7</v>
      </c>
      <c r="H1120">
        <v>4.0999999999999996</v>
      </c>
      <c r="I1120" s="14">
        <v>88</v>
      </c>
      <c r="J1120">
        <f>I1120-I1121</f>
        <v>25</v>
      </c>
      <c r="K1120" t="str">
        <f t="shared" si="104"/>
        <v>W</v>
      </c>
      <c r="L1120" t="str">
        <f t="shared" si="105"/>
        <v>Brent</v>
      </c>
      <c r="M1120" t="str">
        <f>VLOOKUP(L1120,References!$A$2:$B$16,2,FALSE)</f>
        <v>TEXAROK</v>
      </c>
      <c r="N1120" s="19" t="str">
        <f>IF(M1120=M1121,"N","Y")</f>
        <v>Y</v>
      </c>
      <c r="O1120">
        <f>SUM(I1120:I1121)</f>
        <v>151</v>
      </c>
      <c r="P1120">
        <f t="shared" si="107"/>
        <v>63</v>
      </c>
    </row>
    <row r="1121" spans="1:16" hidden="1" x14ac:dyDescent="0.3">
      <c r="A1121" t="str">
        <f t="shared" si="106"/>
        <v>2020BR7</v>
      </c>
      <c r="B1121">
        <f t="shared" si="102"/>
        <v>1661</v>
      </c>
      <c r="C1121">
        <f t="shared" si="103"/>
        <v>1885</v>
      </c>
      <c r="D1121" t="s">
        <v>25</v>
      </c>
      <c r="E1121" t="str">
        <f>D1120</f>
        <v>Brent</v>
      </c>
      <c r="F1121">
        <v>2020</v>
      </c>
      <c r="G1121">
        <v>7</v>
      </c>
      <c r="H1121">
        <v>4.2</v>
      </c>
      <c r="I1121" s="14">
        <v>63</v>
      </c>
      <c r="J1121">
        <f>I1121-I1120</f>
        <v>-25</v>
      </c>
      <c r="K1121" t="str">
        <f t="shared" si="104"/>
        <v>L</v>
      </c>
      <c r="L1121" t="str">
        <f t="shared" si="105"/>
        <v>BR</v>
      </c>
      <c r="M1121" t="str">
        <f>VLOOKUP(L1121,References!$A$2:$B$16,2,FALSE)</f>
        <v>AKCOVA</v>
      </c>
      <c r="N1121" s="19" t="str">
        <f>IF(M1121=M1120,"N","Y")</f>
        <v>Y</v>
      </c>
      <c r="O1121">
        <f>SUM(I1120:I1121)</f>
        <v>151</v>
      </c>
      <c r="P1121">
        <f t="shared" si="107"/>
        <v>88</v>
      </c>
    </row>
    <row r="1122" spans="1:16" hidden="1" x14ac:dyDescent="0.3">
      <c r="A1122" t="str">
        <f t="shared" si="106"/>
        <v>2020Russell7</v>
      </c>
      <c r="B1122">
        <f t="shared" si="102"/>
        <v>1702</v>
      </c>
      <c r="C1122">
        <f t="shared" si="103"/>
        <v>486</v>
      </c>
      <c r="D1122" t="s">
        <v>28</v>
      </c>
      <c r="E1122" t="str">
        <f>D1123</f>
        <v>Charles</v>
      </c>
      <c r="F1122">
        <v>2020</v>
      </c>
      <c r="G1122">
        <v>7</v>
      </c>
      <c r="H1122">
        <v>5.0999999999999996</v>
      </c>
      <c r="I1122" s="14">
        <v>107</v>
      </c>
      <c r="J1122">
        <f>I1122-I1123</f>
        <v>-27</v>
      </c>
      <c r="K1122" t="str">
        <f t="shared" si="104"/>
        <v>L</v>
      </c>
      <c r="L1122" t="str">
        <f t="shared" si="105"/>
        <v>Russell</v>
      </c>
      <c r="M1122" t="str">
        <f>VLOOKUP(L1122,References!$A$2:$B$16,2,FALSE)</f>
        <v>TEXAROK</v>
      </c>
      <c r="N1122" s="19" t="str">
        <f>IF(M1122=M1123,"N","Y")</f>
        <v>Y</v>
      </c>
      <c r="O1122">
        <f>SUM(I1122:I1123)</f>
        <v>241</v>
      </c>
      <c r="P1122">
        <f t="shared" si="107"/>
        <v>134</v>
      </c>
    </row>
    <row r="1123" spans="1:16" hidden="1" x14ac:dyDescent="0.3">
      <c r="A1123" t="str">
        <f t="shared" si="106"/>
        <v>2020Charles7</v>
      </c>
      <c r="B1123">
        <f t="shared" si="102"/>
        <v>371</v>
      </c>
      <c r="C1123">
        <f t="shared" si="103"/>
        <v>83</v>
      </c>
      <c r="D1123" t="s">
        <v>48</v>
      </c>
      <c r="E1123" t="str">
        <f>D1122</f>
        <v>Russell</v>
      </c>
      <c r="F1123">
        <v>2020</v>
      </c>
      <c r="G1123">
        <v>7</v>
      </c>
      <c r="H1123">
        <v>5.2</v>
      </c>
      <c r="I1123" s="14">
        <v>134</v>
      </c>
      <c r="J1123">
        <f>I1123-I1122</f>
        <v>27</v>
      </c>
      <c r="K1123" t="str">
        <f t="shared" si="104"/>
        <v>W</v>
      </c>
      <c r="L1123" t="str">
        <f t="shared" si="105"/>
        <v>Charles</v>
      </c>
      <c r="M1123" t="str">
        <f>VLOOKUP(L1123,References!$A$2:$B$16,2,FALSE)</f>
        <v>AKCOVA</v>
      </c>
      <c r="N1123" s="19" t="str">
        <f>IF(M1123=M1122,"N","Y")</f>
        <v>Y</v>
      </c>
      <c r="O1123">
        <f>SUM(I1122:I1123)</f>
        <v>241</v>
      </c>
      <c r="P1123">
        <f t="shared" si="107"/>
        <v>107</v>
      </c>
    </row>
    <row r="1124" spans="1:16" hidden="1" x14ac:dyDescent="0.3">
      <c r="A1124" t="str">
        <f t="shared" si="106"/>
        <v>2020David7</v>
      </c>
      <c r="B1124">
        <f t="shared" si="102"/>
        <v>1738</v>
      </c>
      <c r="C1124">
        <f t="shared" si="103"/>
        <v>1927</v>
      </c>
      <c r="D1124" t="s">
        <v>29</v>
      </c>
      <c r="E1124" t="str">
        <f>D1125</f>
        <v>Brian</v>
      </c>
      <c r="F1124">
        <v>2020</v>
      </c>
      <c r="G1124">
        <v>7</v>
      </c>
      <c r="H1124">
        <v>6.1</v>
      </c>
      <c r="I1124" s="14">
        <v>61</v>
      </c>
      <c r="J1124">
        <f>I1124-I1125</f>
        <v>-29</v>
      </c>
      <c r="K1124" t="str">
        <f t="shared" si="104"/>
        <v>L</v>
      </c>
      <c r="L1124" t="str">
        <f t="shared" si="105"/>
        <v>David</v>
      </c>
      <c r="M1124" t="str">
        <f>VLOOKUP(L1124,References!$A$2:$B$16,2,FALSE)</f>
        <v>TEXAROK</v>
      </c>
      <c r="N1124" s="19" t="str">
        <f>IF(M1124=M1125,"N","Y")</f>
        <v>N</v>
      </c>
      <c r="O1124">
        <f>SUM(I1124:I1125)</f>
        <v>151</v>
      </c>
      <c r="P1124">
        <f t="shared" si="107"/>
        <v>90</v>
      </c>
    </row>
    <row r="1125" spans="1:16" hidden="1" x14ac:dyDescent="0.3">
      <c r="A1125" t="str">
        <f t="shared" si="106"/>
        <v>2020Brian7</v>
      </c>
      <c r="B1125">
        <f t="shared" si="102"/>
        <v>341</v>
      </c>
      <c r="C1125">
        <f t="shared" si="103"/>
        <v>1027</v>
      </c>
      <c r="D1125" t="s">
        <v>26</v>
      </c>
      <c r="E1125" t="str">
        <f>D1124</f>
        <v>David</v>
      </c>
      <c r="F1125">
        <v>2020</v>
      </c>
      <c r="G1125">
        <v>7</v>
      </c>
      <c r="H1125">
        <v>6.2</v>
      </c>
      <c r="I1125" s="14">
        <v>90</v>
      </c>
      <c r="J1125">
        <f>I1125-I1124</f>
        <v>29</v>
      </c>
      <c r="K1125" t="str">
        <f t="shared" si="104"/>
        <v>W</v>
      </c>
      <c r="L1125" t="str">
        <f t="shared" si="105"/>
        <v>Brian</v>
      </c>
      <c r="M1125" t="str">
        <f>VLOOKUP(L1125,References!$A$2:$B$16,2,FALSE)</f>
        <v>TEXAROK</v>
      </c>
      <c r="N1125" s="19" t="str">
        <f>IF(M1125=M1124,"N","Y")</f>
        <v>N</v>
      </c>
      <c r="O1125">
        <f>SUM(I1124:I1125)</f>
        <v>151</v>
      </c>
      <c r="P1125">
        <f t="shared" si="107"/>
        <v>61</v>
      </c>
    </row>
    <row r="1126" spans="1:16" hidden="1" x14ac:dyDescent="0.3">
      <c r="A1126" t="str">
        <f t="shared" si="106"/>
        <v>2020Brian8</v>
      </c>
      <c r="B1126">
        <f t="shared" si="102"/>
        <v>1004</v>
      </c>
      <c r="C1126">
        <f t="shared" si="103"/>
        <v>1988</v>
      </c>
      <c r="D1126" t="s">
        <v>26</v>
      </c>
      <c r="E1126" t="str">
        <f>D1127</f>
        <v>Michael</v>
      </c>
      <c r="F1126">
        <v>2020</v>
      </c>
      <c r="G1126">
        <v>8</v>
      </c>
      <c r="H1126">
        <v>1.1000000000000001</v>
      </c>
      <c r="I1126" s="14">
        <v>57</v>
      </c>
      <c r="J1126">
        <f>I1126-I1127</f>
        <v>1</v>
      </c>
      <c r="K1126" t="str">
        <f t="shared" si="104"/>
        <v>W</v>
      </c>
      <c r="L1126" t="str">
        <f t="shared" si="105"/>
        <v>Brian</v>
      </c>
      <c r="M1126" t="str">
        <f>VLOOKUP(L1126,References!$A$2:$B$16,2,FALSE)</f>
        <v>TEXAROK</v>
      </c>
      <c r="N1126" s="19" t="str">
        <f>IF(M1126=M1127,"N","Y")</f>
        <v>Y</v>
      </c>
      <c r="O1126">
        <f>SUM(I1126:I1127)</f>
        <v>113</v>
      </c>
      <c r="P1126">
        <f t="shared" si="107"/>
        <v>56</v>
      </c>
    </row>
    <row r="1127" spans="1:16" hidden="1" x14ac:dyDescent="0.3">
      <c r="A1127" t="str">
        <f t="shared" si="106"/>
        <v>2020Michael8</v>
      </c>
      <c r="B1127">
        <f t="shared" si="102"/>
        <v>1055</v>
      </c>
      <c r="C1127">
        <f t="shared" si="103"/>
        <v>2001</v>
      </c>
      <c r="D1127" t="s">
        <v>23</v>
      </c>
      <c r="E1127" t="str">
        <f>D1126</f>
        <v>Brian</v>
      </c>
      <c r="F1127">
        <v>2020</v>
      </c>
      <c r="G1127">
        <v>8</v>
      </c>
      <c r="H1127">
        <v>1.2</v>
      </c>
      <c r="I1127" s="14">
        <v>56</v>
      </c>
      <c r="J1127">
        <f>I1127-I1126</f>
        <v>-1</v>
      </c>
      <c r="K1127" t="str">
        <f t="shared" si="104"/>
        <v>L</v>
      </c>
      <c r="L1127" t="str">
        <f t="shared" si="105"/>
        <v>Michael</v>
      </c>
      <c r="M1127" t="str">
        <f>VLOOKUP(L1127,References!$A$2:$B$16,2,FALSE)</f>
        <v>AKCOVA</v>
      </c>
      <c r="N1127" s="19" t="str">
        <f>IF(M1127=M1126,"N","Y")</f>
        <v>Y</v>
      </c>
      <c r="O1127">
        <f>SUM(I1126:I1127)</f>
        <v>113</v>
      </c>
      <c r="P1127">
        <f t="shared" si="107"/>
        <v>57</v>
      </c>
    </row>
    <row r="1128" spans="1:16" hidden="1" x14ac:dyDescent="0.3">
      <c r="A1128" t="str">
        <f t="shared" si="106"/>
        <v>2020Abby8</v>
      </c>
      <c r="B1128">
        <f t="shared" si="102"/>
        <v>2079</v>
      </c>
      <c r="C1128">
        <f t="shared" si="103"/>
        <v>1974</v>
      </c>
      <c r="D1128" t="s">
        <v>27</v>
      </c>
      <c r="E1128" t="str">
        <f>D1129</f>
        <v>Emily</v>
      </c>
      <c r="F1128">
        <v>2020</v>
      </c>
      <c r="G1128">
        <v>8</v>
      </c>
      <c r="H1128">
        <v>2.1</v>
      </c>
      <c r="I1128" s="14">
        <v>58</v>
      </c>
      <c r="J1128">
        <f>I1128-I1129</f>
        <v>-76</v>
      </c>
      <c r="K1128" t="str">
        <f t="shared" si="104"/>
        <v>L</v>
      </c>
      <c r="L1128" t="str">
        <f t="shared" si="105"/>
        <v>Abby</v>
      </c>
      <c r="M1128" t="str">
        <f>VLOOKUP(L1128,References!$A$2:$B$16,2,FALSE)</f>
        <v>AKCOVA</v>
      </c>
      <c r="N1128" s="19" t="str">
        <f>IF(M1128=M1129,"N","Y")</f>
        <v>Y</v>
      </c>
      <c r="O1128">
        <f>SUM(I1128:I1129)</f>
        <v>192</v>
      </c>
      <c r="P1128">
        <f t="shared" si="107"/>
        <v>134</v>
      </c>
    </row>
    <row r="1129" spans="1:16" hidden="1" x14ac:dyDescent="0.3">
      <c r="A1129" t="str">
        <f t="shared" si="106"/>
        <v>2020Emily8</v>
      </c>
      <c r="B1129">
        <f t="shared" si="102"/>
        <v>12</v>
      </c>
      <c r="C1129">
        <f t="shared" si="103"/>
        <v>83</v>
      </c>
      <c r="D1129" t="s">
        <v>43</v>
      </c>
      <c r="E1129" t="str">
        <f>D1128</f>
        <v>Abby</v>
      </c>
      <c r="F1129">
        <v>2020</v>
      </c>
      <c r="G1129">
        <v>8</v>
      </c>
      <c r="H1129">
        <v>2.2000000000000002</v>
      </c>
      <c r="I1129" s="14">
        <v>134</v>
      </c>
      <c r="J1129">
        <f>I1129-I1128</f>
        <v>76</v>
      </c>
      <c r="K1129" t="str">
        <f t="shared" si="104"/>
        <v>W</v>
      </c>
      <c r="L1129" t="str">
        <f t="shared" si="105"/>
        <v>Emily</v>
      </c>
      <c r="M1129" t="str">
        <f>VLOOKUP(L1129,References!$A$2:$B$16,2,FALSE)</f>
        <v>TEXAROK</v>
      </c>
      <c r="N1129" s="19" t="str">
        <f>IF(M1129=M1128,"N","Y")</f>
        <v>Y</v>
      </c>
      <c r="O1129">
        <f>SUM(I1128:I1129)</f>
        <v>192</v>
      </c>
      <c r="P1129">
        <f t="shared" si="107"/>
        <v>58</v>
      </c>
    </row>
    <row r="1130" spans="1:16" hidden="1" x14ac:dyDescent="0.3">
      <c r="A1130" t="str">
        <f t="shared" si="106"/>
        <v>2020Mark8</v>
      </c>
      <c r="B1130">
        <f t="shared" si="102"/>
        <v>1434</v>
      </c>
      <c r="C1130">
        <f t="shared" si="103"/>
        <v>1055</v>
      </c>
      <c r="D1130" t="s">
        <v>22</v>
      </c>
      <c r="E1130" t="str">
        <f>D1131</f>
        <v>Brent</v>
      </c>
      <c r="F1130">
        <v>2020</v>
      </c>
      <c r="G1130">
        <v>8</v>
      </c>
      <c r="H1130">
        <v>3.1</v>
      </c>
      <c r="I1130" s="14">
        <v>89</v>
      </c>
      <c r="J1130">
        <f>I1130-I1131</f>
        <v>-15</v>
      </c>
      <c r="K1130" t="str">
        <f t="shared" si="104"/>
        <v>L</v>
      </c>
      <c r="L1130" t="str">
        <f t="shared" si="105"/>
        <v>Mark</v>
      </c>
      <c r="M1130" t="str">
        <f>VLOOKUP(L1130,References!$A$2:$B$16,2,FALSE)</f>
        <v>AKCOVA</v>
      </c>
      <c r="N1130" s="19" t="str">
        <f>IF(M1130=M1131,"N","Y")</f>
        <v>Y</v>
      </c>
      <c r="O1130">
        <f>SUM(I1130:I1131)</f>
        <v>193</v>
      </c>
      <c r="P1130">
        <f t="shared" si="107"/>
        <v>104</v>
      </c>
    </row>
    <row r="1131" spans="1:16" hidden="1" x14ac:dyDescent="0.3">
      <c r="A1131" t="str">
        <f t="shared" si="106"/>
        <v>2020Brent8</v>
      </c>
      <c r="B1131">
        <f t="shared" si="102"/>
        <v>639</v>
      </c>
      <c r="C1131">
        <f t="shared" si="103"/>
        <v>566</v>
      </c>
      <c r="D1131" t="s">
        <v>47</v>
      </c>
      <c r="E1131" t="str">
        <f>D1130</f>
        <v>Mark</v>
      </c>
      <c r="F1131">
        <v>2020</v>
      </c>
      <c r="G1131">
        <v>8</v>
      </c>
      <c r="H1131">
        <v>3.2</v>
      </c>
      <c r="I1131" s="14">
        <v>104</v>
      </c>
      <c r="J1131">
        <f>I1131-I1130</f>
        <v>15</v>
      </c>
      <c r="K1131" t="str">
        <f t="shared" si="104"/>
        <v>W</v>
      </c>
      <c r="L1131" t="str">
        <f t="shared" si="105"/>
        <v>Brent</v>
      </c>
      <c r="M1131" t="str">
        <f>VLOOKUP(L1131,References!$A$2:$B$16,2,FALSE)</f>
        <v>TEXAROK</v>
      </c>
      <c r="N1131" s="19" t="str">
        <f>IF(M1131=M1130,"N","Y")</f>
        <v>Y</v>
      </c>
      <c r="O1131">
        <f>SUM(I1130:I1131)</f>
        <v>193</v>
      </c>
      <c r="P1131">
        <f t="shared" si="107"/>
        <v>89</v>
      </c>
    </row>
    <row r="1132" spans="1:16" hidden="1" x14ac:dyDescent="0.3">
      <c r="A1132" t="str">
        <f t="shared" si="106"/>
        <v>2020BR8</v>
      </c>
      <c r="B1132">
        <f t="shared" si="102"/>
        <v>1577</v>
      </c>
      <c r="C1132">
        <f t="shared" si="103"/>
        <v>1549</v>
      </c>
      <c r="D1132" t="s">
        <v>25</v>
      </c>
      <c r="E1132" t="str">
        <f>D1133</f>
        <v>Russell</v>
      </c>
      <c r="F1132">
        <v>2020</v>
      </c>
      <c r="G1132">
        <v>8</v>
      </c>
      <c r="H1132">
        <v>4.0999999999999996</v>
      </c>
      <c r="I1132" s="14">
        <v>76</v>
      </c>
      <c r="J1132">
        <f>I1132-I1133</f>
        <v>-21</v>
      </c>
      <c r="K1132" t="str">
        <f t="shared" si="104"/>
        <v>L</v>
      </c>
      <c r="L1132" t="str">
        <f t="shared" si="105"/>
        <v>BR</v>
      </c>
      <c r="M1132" t="str">
        <f>VLOOKUP(L1132,References!$A$2:$B$16,2,FALSE)</f>
        <v>AKCOVA</v>
      </c>
      <c r="N1132" s="19" t="str">
        <f>IF(M1132=M1133,"N","Y")</f>
        <v>Y</v>
      </c>
      <c r="O1132">
        <f>SUM(I1132:I1133)</f>
        <v>173</v>
      </c>
      <c r="P1132">
        <f t="shared" si="107"/>
        <v>97</v>
      </c>
    </row>
    <row r="1133" spans="1:16" hidden="1" x14ac:dyDescent="0.3">
      <c r="A1133" t="str">
        <f t="shared" si="106"/>
        <v>2020Russell8</v>
      </c>
      <c r="B1133">
        <f t="shared" si="102"/>
        <v>489</v>
      </c>
      <c r="C1133">
        <f t="shared" si="103"/>
        <v>777</v>
      </c>
      <c r="D1133" t="s">
        <v>28</v>
      </c>
      <c r="E1133" t="str">
        <f>D1132</f>
        <v>BR</v>
      </c>
      <c r="F1133">
        <v>2020</v>
      </c>
      <c r="G1133">
        <v>8</v>
      </c>
      <c r="H1133">
        <v>4.2</v>
      </c>
      <c r="I1133" s="14">
        <v>97</v>
      </c>
      <c r="J1133">
        <f>I1133-I1132</f>
        <v>21</v>
      </c>
      <c r="K1133" t="str">
        <f t="shared" si="104"/>
        <v>W</v>
      </c>
      <c r="L1133" t="str">
        <f t="shared" si="105"/>
        <v>Russell</v>
      </c>
      <c r="M1133" t="str">
        <f>VLOOKUP(L1133,References!$A$2:$B$16,2,FALSE)</f>
        <v>TEXAROK</v>
      </c>
      <c r="N1133" s="19" t="str">
        <f>IF(M1133=M1132,"N","Y")</f>
        <v>Y</v>
      </c>
      <c r="O1133">
        <f>SUM(I1132:I1133)</f>
        <v>173</v>
      </c>
      <c r="P1133">
        <f t="shared" si="107"/>
        <v>76</v>
      </c>
    </row>
    <row r="1134" spans="1:16" hidden="1" x14ac:dyDescent="0.3">
      <c r="A1134" t="str">
        <f t="shared" si="106"/>
        <v>2020Charles8</v>
      </c>
      <c r="B1134">
        <f t="shared" si="102"/>
        <v>116</v>
      </c>
      <c r="C1134">
        <f t="shared" si="103"/>
        <v>603</v>
      </c>
      <c r="D1134" t="s">
        <v>48</v>
      </c>
      <c r="E1134" t="str">
        <f>D1135</f>
        <v>David</v>
      </c>
      <c r="F1134">
        <v>2020</v>
      </c>
      <c r="G1134">
        <v>8</v>
      </c>
      <c r="H1134">
        <v>5.0999999999999996</v>
      </c>
      <c r="I1134" s="14">
        <v>103</v>
      </c>
      <c r="J1134">
        <f>I1134-I1135</f>
        <v>49</v>
      </c>
      <c r="K1134" t="str">
        <f t="shared" si="104"/>
        <v>W</v>
      </c>
      <c r="L1134" t="str">
        <f t="shared" si="105"/>
        <v>Charles</v>
      </c>
      <c r="M1134" t="str">
        <f>VLOOKUP(L1134,References!$A$2:$B$16,2,FALSE)</f>
        <v>AKCOVA</v>
      </c>
      <c r="N1134" s="19" t="str">
        <f>IF(M1134=M1135,"N","Y")</f>
        <v>Y</v>
      </c>
      <c r="O1134">
        <f>SUM(I1134:I1135)</f>
        <v>157</v>
      </c>
      <c r="P1134">
        <f t="shared" si="107"/>
        <v>54</v>
      </c>
    </row>
    <row r="1135" spans="1:16" hidden="1" x14ac:dyDescent="0.3">
      <c r="A1135" t="str">
        <f t="shared" si="106"/>
        <v>2020David8</v>
      </c>
      <c r="B1135">
        <f t="shared" si="102"/>
        <v>1975</v>
      </c>
      <c r="C1135">
        <f t="shared" si="103"/>
        <v>2017</v>
      </c>
      <c r="D1135" t="s">
        <v>29</v>
      </c>
      <c r="E1135" t="str">
        <f>D1134</f>
        <v>Charles</v>
      </c>
      <c r="F1135">
        <v>2020</v>
      </c>
      <c r="G1135">
        <v>8</v>
      </c>
      <c r="H1135">
        <v>5.2</v>
      </c>
      <c r="I1135" s="14">
        <v>54</v>
      </c>
      <c r="J1135">
        <f>I1135-I1134</f>
        <v>-49</v>
      </c>
      <c r="K1135" t="str">
        <f t="shared" si="104"/>
        <v>L</v>
      </c>
      <c r="L1135" t="str">
        <f t="shared" si="105"/>
        <v>David</v>
      </c>
      <c r="M1135" t="str">
        <f>VLOOKUP(L1135,References!$A$2:$B$16,2,FALSE)</f>
        <v>TEXAROK</v>
      </c>
      <c r="N1135" s="19" t="str">
        <f>IF(M1135=M1134,"N","Y")</f>
        <v>Y</v>
      </c>
      <c r="O1135">
        <f>SUM(I1134:I1135)</f>
        <v>157</v>
      </c>
      <c r="P1135">
        <f t="shared" si="107"/>
        <v>103</v>
      </c>
    </row>
    <row r="1136" spans="1:16" hidden="1" x14ac:dyDescent="0.3">
      <c r="A1136" t="str">
        <f t="shared" si="106"/>
        <v>2020Watty8</v>
      </c>
      <c r="B1136">
        <f t="shared" si="102"/>
        <v>356</v>
      </c>
      <c r="C1136">
        <f t="shared" si="103"/>
        <v>958</v>
      </c>
      <c r="D1136" t="s">
        <v>24</v>
      </c>
      <c r="E1136" t="str">
        <f>D1137</f>
        <v>Matt</v>
      </c>
      <c r="F1136">
        <v>2020</v>
      </c>
      <c r="G1136">
        <v>8</v>
      </c>
      <c r="H1136">
        <v>6.1</v>
      </c>
      <c r="I1136" s="14">
        <v>92</v>
      </c>
      <c r="J1136">
        <f>I1136-I1137</f>
        <v>28</v>
      </c>
      <c r="K1136" t="str">
        <f t="shared" si="104"/>
        <v>W</v>
      </c>
      <c r="L1136" t="str">
        <f t="shared" si="105"/>
        <v>Watty</v>
      </c>
      <c r="M1136" t="str">
        <f>VLOOKUP(L1136,References!$A$2:$B$16,2,FALSE)</f>
        <v>AKCOVA</v>
      </c>
      <c r="N1136" s="19" t="str">
        <f>IF(M1136=M1137,"N","Y")</f>
        <v>Y</v>
      </c>
      <c r="O1136">
        <f>SUM(I1136:I1137)</f>
        <v>156</v>
      </c>
      <c r="P1136">
        <f t="shared" si="107"/>
        <v>64</v>
      </c>
    </row>
    <row r="1137" spans="1:16" hidden="1" x14ac:dyDescent="0.3">
      <c r="A1137" t="str">
        <f t="shared" si="106"/>
        <v>2020Matt8</v>
      </c>
      <c r="B1137">
        <f t="shared" si="102"/>
        <v>1723</v>
      </c>
      <c r="C1137">
        <f t="shared" si="103"/>
        <v>1867</v>
      </c>
      <c r="D1137" t="s">
        <v>30</v>
      </c>
      <c r="E1137" t="str">
        <f>D1136</f>
        <v>Watty</v>
      </c>
      <c r="F1137">
        <v>2020</v>
      </c>
      <c r="G1137">
        <v>8</v>
      </c>
      <c r="H1137">
        <v>6.2</v>
      </c>
      <c r="I1137" s="14">
        <v>64</v>
      </c>
      <c r="J1137">
        <f>I1137-I1136</f>
        <v>-28</v>
      </c>
      <c r="K1137" t="str">
        <f t="shared" si="104"/>
        <v>L</v>
      </c>
      <c r="L1137" t="str">
        <f t="shared" si="105"/>
        <v>Matt</v>
      </c>
      <c r="M1137" t="str">
        <f>VLOOKUP(L1137,References!$A$2:$B$16,2,FALSE)</f>
        <v>TEXAROK</v>
      </c>
      <c r="N1137" s="19" t="str">
        <f>IF(M1137=M1136,"N","Y")</f>
        <v>Y</v>
      </c>
      <c r="O1137">
        <f>SUM(I1136:I1137)</f>
        <v>156</v>
      </c>
      <c r="P1137">
        <f t="shared" si="107"/>
        <v>92</v>
      </c>
    </row>
    <row r="1138" spans="1:16" hidden="1" x14ac:dyDescent="0.3">
      <c r="A1138" t="str">
        <f t="shared" si="106"/>
        <v>2020Abby9</v>
      </c>
      <c r="B1138">
        <f t="shared" si="102"/>
        <v>1145</v>
      </c>
      <c r="C1138">
        <f t="shared" si="103"/>
        <v>1210</v>
      </c>
      <c r="D1138" t="s">
        <v>27</v>
      </c>
      <c r="E1138" t="str">
        <f>D1139</f>
        <v>Brent</v>
      </c>
      <c r="F1138">
        <v>2020</v>
      </c>
      <c r="G1138">
        <v>9</v>
      </c>
      <c r="H1138">
        <v>1.1000000000000001</v>
      </c>
      <c r="I1138" s="14">
        <v>85</v>
      </c>
      <c r="J1138">
        <f>I1138-I1139</f>
        <v>-4</v>
      </c>
      <c r="K1138" t="str">
        <f t="shared" si="104"/>
        <v>L</v>
      </c>
      <c r="L1138" t="str">
        <f t="shared" si="105"/>
        <v>Abby</v>
      </c>
      <c r="M1138" t="str">
        <f>VLOOKUP(L1138,References!$A$2:$B$16,2,FALSE)</f>
        <v>AKCOVA</v>
      </c>
      <c r="N1138" s="19" t="str">
        <f>IF(M1138=M1139,"N","Y")</f>
        <v>Y</v>
      </c>
      <c r="O1138">
        <f>SUM(I1138:I1139)</f>
        <v>174</v>
      </c>
      <c r="P1138">
        <f t="shared" si="107"/>
        <v>89</v>
      </c>
    </row>
    <row r="1139" spans="1:16" hidden="1" x14ac:dyDescent="0.3">
      <c r="A1139" t="str">
        <f t="shared" si="106"/>
        <v>2020Brent9</v>
      </c>
      <c r="B1139">
        <f t="shared" si="102"/>
        <v>917</v>
      </c>
      <c r="C1139">
        <f t="shared" si="103"/>
        <v>1055</v>
      </c>
      <c r="D1139" t="s">
        <v>47</v>
      </c>
      <c r="E1139" t="str">
        <f>D1138</f>
        <v>Abby</v>
      </c>
      <c r="F1139">
        <v>2020</v>
      </c>
      <c r="G1139">
        <v>9</v>
      </c>
      <c r="H1139">
        <v>1.2</v>
      </c>
      <c r="I1139" s="14">
        <v>89</v>
      </c>
      <c r="J1139">
        <f>I1139-I1138</f>
        <v>4</v>
      </c>
      <c r="K1139" t="str">
        <f t="shared" si="104"/>
        <v>W</v>
      </c>
      <c r="L1139" t="str">
        <f t="shared" si="105"/>
        <v>Brent</v>
      </c>
      <c r="M1139" t="str">
        <f>VLOOKUP(L1139,References!$A$2:$B$16,2,FALSE)</f>
        <v>TEXAROK</v>
      </c>
      <c r="N1139" s="19" t="str">
        <f>IF(M1139=M1138,"N","Y")</f>
        <v>Y</v>
      </c>
      <c r="O1139">
        <f>SUM(I1138:I1139)</f>
        <v>174</v>
      </c>
      <c r="P1139">
        <f t="shared" si="107"/>
        <v>85</v>
      </c>
    </row>
    <row r="1140" spans="1:16" hidden="1" x14ac:dyDescent="0.3">
      <c r="A1140" t="str">
        <f t="shared" si="106"/>
        <v>2020Mark9</v>
      </c>
      <c r="B1140">
        <f t="shared" si="102"/>
        <v>1797</v>
      </c>
      <c r="C1140">
        <f t="shared" si="103"/>
        <v>1173</v>
      </c>
      <c r="D1140" t="s">
        <v>22</v>
      </c>
      <c r="E1140" t="str">
        <f>D1141</f>
        <v>Russell</v>
      </c>
      <c r="F1140">
        <v>2020</v>
      </c>
      <c r="G1140">
        <v>9</v>
      </c>
      <c r="H1140">
        <v>2.1</v>
      </c>
      <c r="I1140" s="14">
        <v>86</v>
      </c>
      <c r="J1140">
        <f>I1140-I1141</f>
        <v>-32</v>
      </c>
      <c r="K1140" t="str">
        <f t="shared" si="104"/>
        <v>L</v>
      </c>
      <c r="L1140" t="str">
        <f t="shared" si="105"/>
        <v>Mark</v>
      </c>
      <c r="M1140" t="str">
        <f>VLOOKUP(L1140,References!$A$2:$B$16,2,FALSE)</f>
        <v>AKCOVA</v>
      </c>
      <c r="N1140" s="19" t="str">
        <f>IF(M1140=M1141,"N","Y")</f>
        <v>Y</v>
      </c>
      <c r="O1140">
        <f>SUM(I1140:I1141)</f>
        <v>204</v>
      </c>
      <c r="P1140">
        <f t="shared" si="107"/>
        <v>118</v>
      </c>
    </row>
    <row r="1141" spans="1:16" hidden="1" x14ac:dyDescent="0.3">
      <c r="A1141" t="str">
        <f t="shared" si="106"/>
        <v>2020Russell9</v>
      </c>
      <c r="B1141">
        <f t="shared" si="102"/>
        <v>284</v>
      </c>
      <c r="C1141">
        <f t="shared" si="103"/>
        <v>267</v>
      </c>
      <c r="D1141" t="s">
        <v>28</v>
      </c>
      <c r="E1141" t="str">
        <f>D1140</f>
        <v>Mark</v>
      </c>
      <c r="F1141">
        <v>2020</v>
      </c>
      <c r="G1141">
        <v>9</v>
      </c>
      <c r="H1141">
        <v>2.2000000000000002</v>
      </c>
      <c r="I1141" s="14">
        <v>118</v>
      </c>
      <c r="J1141">
        <f>I1141-I1140</f>
        <v>32</v>
      </c>
      <c r="K1141" t="str">
        <f t="shared" si="104"/>
        <v>W</v>
      </c>
      <c r="L1141" t="str">
        <f t="shared" si="105"/>
        <v>Russell</v>
      </c>
      <c r="M1141" t="str">
        <f>VLOOKUP(L1141,References!$A$2:$B$16,2,FALSE)</f>
        <v>TEXAROK</v>
      </c>
      <c r="N1141" s="19" t="str">
        <f>IF(M1141=M1140,"N","Y")</f>
        <v>Y</v>
      </c>
      <c r="O1141">
        <f>SUM(I1140:I1141)</f>
        <v>204</v>
      </c>
      <c r="P1141">
        <f t="shared" si="107"/>
        <v>86</v>
      </c>
    </row>
    <row r="1142" spans="1:16" hidden="1" x14ac:dyDescent="0.3">
      <c r="A1142" t="str">
        <f t="shared" si="106"/>
        <v>2020BR9</v>
      </c>
      <c r="B1142">
        <f t="shared" si="102"/>
        <v>1775</v>
      </c>
      <c r="C1142">
        <f t="shared" si="103"/>
        <v>1974</v>
      </c>
      <c r="D1142" t="s">
        <v>25</v>
      </c>
      <c r="E1142" t="str">
        <f>D1143</f>
        <v>David</v>
      </c>
      <c r="F1142">
        <v>2020</v>
      </c>
      <c r="G1142">
        <v>9</v>
      </c>
      <c r="H1142">
        <v>3.1</v>
      </c>
      <c r="I1142" s="14">
        <v>58</v>
      </c>
      <c r="J1142">
        <f>I1142-I1143</f>
        <v>-31</v>
      </c>
      <c r="K1142" t="str">
        <f t="shared" si="104"/>
        <v>L</v>
      </c>
      <c r="L1142" t="str">
        <f t="shared" si="105"/>
        <v>BR</v>
      </c>
      <c r="M1142" t="str">
        <f>VLOOKUP(L1142,References!$A$2:$B$16,2,FALSE)</f>
        <v>AKCOVA</v>
      </c>
      <c r="N1142" s="19" t="str">
        <f>IF(M1142=M1143,"N","Y")</f>
        <v>Y</v>
      </c>
      <c r="O1142">
        <f>SUM(I1142:I1143)</f>
        <v>147</v>
      </c>
      <c r="P1142">
        <f t="shared" si="107"/>
        <v>89</v>
      </c>
    </row>
    <row r="1143" spans="1:16" hidden="1" x14ac:dyDescent="0.3">
      <c r="A1143" t="str">
        <f t="shared" si="106"/>
        <v>2020David9</v>
      </c>
      <c r="B1143">
        <f t="shared" si="102"/>
        <v>297</v>
      </c>
      <c r="C1143">
        <f t="shared" si="103"/>
        <v>1055</v>
      </c>
      <c r="D1143" t="s">
        <v>29</v>
      </c>
      <c r="E1143" t="str">
        <f>D1142</f>
        <v>BR</v>
      </c>
      <c r="F1143">
        <v>2020</v>
      </c>
      <c r="G1143">
        <v>9</v>
      </c>
      <c r="H1143">
        <v>3.2</v>
      </c>
      <c r="I1143" s="14">
        <v>89</v>
      </c>
      <c r="J1143">
        <f>I1143-I1142</f>
        <v>31</v>
      </c>
      <c r="K1143" t="str">
        <f t="shared" si="104"/>
        <v>W</v>
      </c>
      <c r="L1143" t="str">
        <f t="shared" si="105"/>
        <v>David</v>
      </c>
      <c r="M1143" t="str">
        <f>VLOOKUP(L1143,References!$A$2:$B$16,2,FALSE)</f>
        <v>TEXAROK</v>
      </c>
      <c r="N1143" s="19" t="str">
        <f>IF(M1143=M1142,"N","Y")</f>
        <v>Y</v>
      </c>
      <c r="O1143">
        <f>SUM(I1142:I1143)</f>
        <v>147</v>
      </c>
      <c r="P1143">
        <f t="shared" si="107"/>
        <v>58</v>
      </c>
    </row>
    <row r="1144" spans="1:16" hidden="1" x14ac:dyDescent="0.3">
      <c r="A1144" t="str">
        <f t="shared" si="106"/>
        <v>2020Charles9</v>
      </c>
      <c r="B1144">
        <f t="shared" si="102"/>
        <v>433</v>
      </c>
      <c r="C1144">
        <f t="shared" si="103"/>
        <v>926</v>
      </c>
      <c r="D1144" t="s">
        <v>48</v>
      </c>
      <c r="E1144" t="str">
        <f>D1145</f>
        <v>Michael</v>
      </c>
      <c r="F1144">
        <v>2020</v>
      </c>
      <c r="G1144">
        <v>9</v>
      </c>
      <c r="H1144">
        <v>4.0999999999999996</v>
      </c>
      <c r="I1144" s="14">
        <v>93</v>
      </c>
      <c r="J1144">
        <f>I1144-I1145</f>
        <v>24</v>
      </c>
      <c r="K1144" t="str">
        <f t="shared" si="104"/>
        <v>W</v>
      </c>
      <c r="L1144" t="str">
        <f t="shared" si="105"/>
        <v>Charles</v>
      </c>
      <c r="M1144" t="str">
        <f>VLOOKUP(L1144,References!$A$2:$B$16,2,FALSE)</f>
        <v>AKCOVA</v>
      </c>
      <c r="N1144" s="19" t="str">
        <f>IF(M1144=M1145,"N","Y")</f>
        <v>N</v>
      </c>
      <c r="O1144">
        <f>SUM(I1144:I1145)</f>
        <v>162</v>
      </c>
      <c r="P1144">
        <f t="shared" si="107"/>
        <v>69</v>
      </c>
    </row>
    <row r="1145" spans="1:16" hidden="1" x14ac:dyDescent="0.3">
      <c r="A1145" t="str">
        <f t="shared" si="106"/>
        <v>2020Michael9</v>
      </c>
      <c r="B1145">
        <f t="shared" si="102"/>
        <v>1644</v>
      </c>
      <c r="C1145">
        <f t="shared" si="103"/>
        <v>1767</v>
      </c>
      <c r="D1145" t="s">
        <v>23</v>
      </c>
      <c r="E1145" t="str">
        <f>D1144</f>
        <v>Charles</v>
      </c>
      <c r="F1145">
        <v>2020</v>
      </c>
      <c r="G1145">
        <v>9</v>
      </c>
      <c r="H1145">
        <v>4.2</v>
      </c>
      <c r="I1145" s="14">
        <v>69</v>
      </c>
      <c r="J1145">
        <f>I1145-I1144</f>
        <v>-24</v>
      </c>
      <c r="K1145" t="str">
        <f t="shared" si="104"/>
        <v>L</v>
      </c>
      <c r="L1145" t="str">
        <f t="shared" si="105"/>
        <v>Michael</v>
      </c>
      <c r="M1145" t="str">
        <f>VLOOKUP(L1145,References!$A$2:$B$16,2,FALSE)</f>
        <v>AKCOVA</v>
      </c>
      <c r="N1145" s="19" t="str">
        <f>IF(M1145=M1144,"N","Y")</f>
        <v>N</v>
      </c>
      <c r="O1145">
        <f>SUM(I1144:I1145)</f>
        <v>162</v>
      </c>
      <c r="P1145">
        <f t="shared" si="107"/>
        <v>93</v>
      </c>
    </row>
    <row r="1146" spans="1:16" hidden="1" x14ac:dyDescent="0.3">
      <c r="A1146" t="str">
        <f t="shared" si="106"/>
        <v>2020Brian9</v>
      </c>
      <c r="B1146">
        <f t="shared" si="102"/>
        <v>782</v>
      </c>
      <c r="C1146">
        <f t="shared" si="103"/>
        <v>1684</v>
      </c>
      <c r="D1146" t="s">
        <v>26</v>
      </c>
      <c r="E1146" t="str">
        <f>D1147</f>
        <v>Matt</v>
      </c>
      <c r="F1146">
        <v>2020</v>
      </c>
      <c r="G1146">
        <v>9</v>
      </c>
      <c r="H1146">
        <v>5.0999999999999996</v>
      </c>
      <c r="I1146" s="14">
        <v>72</v>
      </c>
      <c r="J1146">
        <f>I1146-I1147</f>
        <v>9</v>
      </c>
      <c r="K1146" t="str">
        <f t="shared" si="104"/>
        <v>W</v>
      </c>
      <c r="L1146" t="str">
        <f t="shared" si="105"/>
        <v>Brian</v>
      </c>
      <c r="M1146" t="str">
        <f>VLOOKUP(L1146,References!$A$2:$B$16,2,FALSE)</f>
        <v>TEXAROK</v>
      </c>
      <c r="N1146" s="19" t="str">
        <f>IF(M1146=M1147,"N","Y")</f>
        <v>N</v>
      </c>
      <c r="O1146">
        <f>SUM(I1146:I1147)</f>
        <v>135</v>
      </c>
      <c r="P1146">
        <f t="shared" si="107"/>
        <v>63</v>
      </c>
    </row>
    <row r="1147" spans="1:16" hidden="1" x14ac:dyDescent="0.3">
      <c r="A1147" t="str">
        <f t="shared" si="106"/>
        <v>2020Matt9</v>
      </c>
      <c r="B1147">
        <f t="shared" si="102"/>
        <v>1291</v>
      </c>
      <c r="C1147">
        <f t="shared" si="103"/>
        <v>1885</v>
      </c>
      <c r="D1147" t="s">
        <v>30</v>
      </c>
      <c r="E1147" t="str">
        <f>D1146</f>
        <v>Brian</v>
      </c>
      <c r="F1147">
        <v>2020</v>
      </c>
      <c r="G1147">
        <v>9</v>
      </c>
      <c r="H1147">
        <v>5.2</v>
      </c>
      <c r="I1147" s="14">
        <v>63</v>
      </c>
      <c r="J1147">
        <f>I1147-I1146</f>
        <v>-9</v>
      </c>
      <c r="K1147" t="str">
        <f t="shared" si="104"/>
        <v>L</v>
      </c>
      <c r="L1147" t="str">
        <f t="shared" si="105"/>
        <v>Matt</v>
      </c>
      <c r="M1147" t="str">
        <f>VLOOKUP(L1147,References!$A$2:$B$16,2,FALSE)</f>
        <v>TEXAROK</v>
      </c>
      <c r="N1147" s="19" t="str">
        <f>IF(M1147=M1146,"N","Y")</f>
        <v>N</v>
      </c>
      <c r="O1147">
        <f>SUM(I1146:I1147)</f>
        <v>135</v>
      </c>
      <c r="P1147">
        <f t="shared" si="107"/>
        <v>72</v>
      </c>
    </row>
    <row r="1148" spans="1:16" hidden="1" x14ac:dyDescent="0.3">
      <c r="A1148" t="str">
        <f t="shared" si="106"/>
        <v>2020Watty9</v>
      </c>
      <c r="B1148">
        <f t="shared" si="102"/>
        <v>1117</v>
      </c>
      <c r="C1148">
        <f t="shared" si="103"/>
        <v>652</v>
      </c>
      <c r="D1148" t="s">
        <v>24</v>
      </c>
      <c r="E1148" t="str">
        <f>D1149</f>
        <v>Emily</v>
      </c>
      <c r="F1148">
        <v>2020</v>
      </c>
      <c r="G1148">
        <v>9</v>
      </c>
      <c r="H1148">
        <v>6.1</v>
      </c>
      <c r="I1148" s="14">
        <v>101</v>
      </c>
      <c r="J1148">
        <f>I1148-I1149</f>
        <v>-3</v>
      </c>
      <c r="K1148" t="str">
        <f t="shared" si="104"/>
        <v>L</v>
      </c>
      <c r="L1148" t="str">
        <f t="shared" si="105"/>
        <v>Watty</v>
      </c>
      <c r="M1148" t="str">
        <f>VLOOKUP(L1148,References!$A$2:$B$16,2,FALSE)</f>
        <v>AKCOVA</v>
      </c>
      <c r="N1148" s="19" t="str">
        <f>IF(M1148=M1149,"N","Y")</f>
        <v>Y</v>
      </c>
      <c r="O1148">
        <f>SUM(I1148:I1149)</f>
        <v>205</v>
      </c>
      <c r="P1148">
        <f t="shared" si="107"/>
        <v>104</v>
      </c>
    </row>
    <row r="1149" spans="1:16" hidden="1" x14ac:dyDescent="0.3">
      <c r="A1149" t="str">
        <f t="shared" si="106"/>
        <v>2020Emily9</v>
      </c>
      <c r="B1149">
        <f t="shared" si="102"/>
        <v>949</v>
      </c>
      <c r="C1149">
        <f t="shared" si="103"/>
        <v>566</v>
      </c>
      <c r="D1149" t="s">
        <v>43</v>
      </c>
      <c r="E1149" t="str">
        <f>D1148</f>
        <v>Watty</v>
      </c>
      <c r="F1149">
        <v>2020</v>
      </c>
      <c r="G1149">
        <v>9</v>
      </c>
      <c r="H1149">
        <v>6.2</v>
      </c>
      <c r="I1149" s="14">
        <v>104</v>
      </c>
      <c r="J1149">
        <f>I1149-I1148</f>
        <v>3</v>
      </c>
      <c r="K1149" t="str">
        <f t="shared" si="104"/>
        <v>W</v>
      </c>
      <c r="L1149" t="str">
        <f t="shared" si="105"/>
        <v>Emily</v>
      </c>
      <c r="M1149" t="str">
        <f>VLOOKUP(L1149,References!$A$2:$B$16,2,FALSE)</f>
        <v>TEXAROK</v>
      </c>
      <c r="N1149" s="19" t="str">
        <f>IF(M1149=M1148,"N","Y")</f>
        <v>Y</v>
      </c>
      <c r="O1149">
        <f>SUM(I1148:I1149)</f>
        <v>205</v>
      </c>
      <c r="P1149">
        <f t="shared" si="107"/>
        <v>101</v>
      </c>
    </row>
    <row r="1150" spans="1:16" hidden="1" x14ac:dyDescent="0.3">
      <c r="A1150" t="str">
        <f t="shared" si="106"/>
        <v>2020Russell10</v>
      </c>
      <c r="B1150">
        <f t="shared" si="102"/>
        <v>571</v>
      </c>
      <c r="C1150">
        <f t="shared" si="103"/>
        <v>893</v>
      </c>
      <c r="D1150" t="s">
        <v>28</v>
      </c>
      <c r="E1150" t="str">
        <f>D1151</f>
        <v>Abby</v>
      </c>
      <c r="F1150">
        <v>2020</v>
      </c>
      <c r="G1150">
        <v>10</v>
      </c>
      <c r="H1150">
        <v>1.1000000000000001</v>
      </c>
      <c r="I1150" s="14">
        <v>94</v>
      </c>
      <c r="J1150">
        <f>I1150-I1151</f>
        <v>18</v>
      </c>
      <c r="K1150" t="str">
        <f t="shared" si="104"/>
        <v>W</v>
      </c>
      <c r="L1150" t="str">
        <f t="shared" si="105"/>
        <v>Russell</v>
      </c>
      <c r="M1150" t="str">
        <f>VLOOKUP(L1150,References!$A$2:$B$16,2,FALSE)</f>
        <v>TEXAROK</v>
      </c>
      <c r="N1150" s="19" t="str">
        <f>IF(M1150=M1151,"N","Y")</f>
        <v>Y</v>
      </c>
      <c r="O1150">
        <f>SUM(I1150:I1151)</f>
        <v>170</v>
      </c>
      <c r="P1150">
        <f t="shared" si="107"/>
        <v>76</v>
      </c>
    </row>
    <row r="1151" spans="1:16" hidden="1" x14ac:dyDescent="0.3">
      <c r="A1151" t="str">
        <f t="shared" si="106"/>
        <v>2020Abby10</v>
      </c>
      <c r="B1151">
        <f t="shared" si="102"/>
        <v>1497</v>
      </c>
      <c r="C1151">
        <f t="shared" si="103"/>
        <v>1549</v>
      </c>
      <c r="D1151" t="s">
        <v>27</v>
      </c>
      <c r="E1151" t="str">
        <f>D1150</f>
        <v>Russell</v>
      </c>
      <c r="F1151">
        <v>2020</v>
      </c>
      <c r="G1151">
        <v>10</v>
      </c>
      <c r="H1151">
        <v>1.2</v>
      </c>
      <c r="I1151" s="14">
        <v>76</v>
      </c>
      <c r="J1151">
        <f>I1151-I1150</f>
        <v>-18</v>
      </c>
      <c r="K1151" t="str">
        <f t="shared" si="104"/>
        <v>L</v>
      </c>
      <c r="L1151" t="str">
        <f t="shared" si="105"/>
        <v>Abby</v>
      </c>
      <c r="M1151" t="str">
        <f>VLOOKUP(L1151,References!$A$2:$B$16,2,FALSE)</f>
        <v>AKCOVA</v>
      </c>
      <c r="N1151" s="19" t="str">
        <f>IF(M1151=M1150,"N","Y")</f>
        <v>Y</v>
      </c>
      <c r="O1151">
        <f>SUM(I1150:I1151)</f>
        <v>170</v>
      </c>
      <c r="P1151">
        <f t="shared" si="107"/>
        <v>94</v>
      </c>
    </row>
    <row r="1152" spans="1:16" hidden="1" x14ac:dyDescent="0.3">
      <c r="A1152" t="str">
        <f t="shared" si="106"/>
        <v>2020David10</v>
      </c>
      <c r="B1152">
        <f t="shared" si="102"/>
        <v>2042</v>
      </c>
      <c r="C1152">
        <f t="shared" si="103"/>
        <v>2085</v>
      </c>
      <c r="D1152" t="s">
        <v>29</v>
      </c>
      <c r="E1152" t="str">
        <f>D1153</f>
        <v>Mark</v>
      </c>
      <c r="F1152">
        <v>2020</v>
      </c>
      <c r="G1152">
        <v>10</v>
      </c>
      <c r="H1152">
        <v>2.1</v>
      </c>
      <c r="I1152" s="14">
        <v>40</v>
      </c>
      <c r="J1152">
        <f>I1152-I1153</f>
        <v>-61</v>
      </c>
      <c r="K1152" t="str">
        <f t="shared" si="104"/>
        <v>L</v>
      </c>
      <c r="L1152" t="str">
        <f t="shared" si="105"/>
        <v>David</v>
      </c>
      <c r="M1152" t="str">
        <f>VLOOKUP(L1152,References!$A$2:$B$16,2,FALSE)</f>
        <v>TEXAROK</v>
      </c>
      <c r="N1152" s="19" t="str">
        <f>IF(M1152=M1153,"N","Y")</f>
        <v>Y</v>
      </c>
      <c r="O1152">
        <f>SUM(I1152:I1153)</f>
        <v>141</v>
      </c>
      <c r="P1152">
        <f t="shared" si="107"/>
        <v>101</v>
      </c>
    </row>
    <row r="1153" spans="1:16" hidden="1" x14ac:dyDescent="0.3">
      <c r="A1153" t="str">
        <f t="shared" si="106"/>
        <v>2020Mark10</v>
      </c>
      <c r="B1153">
        <f t="shared" si="102"/>
        <v>49</v>
      </c>
      <c r="C1153">
        <f t="shared" si="103"/>
        <v>652</v>
      </c>
      <c r="D1153" t="s">
        <v>22</v>
      </c>
      <c r="E1153" t="str">
        <f>D1152</f>
        <v>David</v>
      </c>
      <c r="F1153">
        <v>2020</v>
      </c>
      <c r="G1153">
        <v>10</v>
      </c>
      <c r="H1153">
        <v>2.2000000000000002</v>
      </c>
      <c r="I1153" s="14">
        <v>101</v>
      </c>
      <c r="J1153">
        <f>I1153-I1152</f>
        <v>61</v>
      </c>
      <c r="K1153" t="str">
        <f t="shared" si="104"/>
        <v>W</v>
      </c>
      <c r="L1153" t="str">
        <f t="shared" si="105"/>
        <v>Mark</v>
      </c>
      <c r="M1153" t="str">
        <f>VLOOKUP(L1153,References!$A$2:$B$16,2,FALSE)</f>
        <v>AKCOVA</v>
      </c>
      <c r="N1153" s="19" t="str">
        <f>IF(M1153=M1152,"N","Y")</f>
        <v>Y</v>
      </c>
      <c r="O1153">
        <f>SUM(I1152:I1153)</f>
        <v>141</v>
      </c>
      <c r="P1153">
        <f t="shared" si="107"/>
        <v>40</v>
      </c>
    </row>
    <row r="1154" spans="1:16" hidden="1" x14ac:dyDescent="0.3">
      <c r="A1154" t="str">
        <f t="shared" si="106"/>
        <v>2020Michael10</v>
      </c>
      <c r="B1154">
        <f t="shared" ref="B1154:B1217" si="108">RANK(J1154,diff)</f>
        <v>619</v>
      </c>
      <c r="C1154">
        <f t="shared" ref="C1154:C1217" si="109">RANK(I1154,points)</f>
        <v>227</v>
      </c>
      <c r="D1154" t="s">
        <v>23</v>
      </c>
      <c r="E1154" t="str">
        <f>D1155</f>
        <v>BR</v>
      </c>
      <c r="F1154">
        <v>2020</v>
      </c>
      <c r="G1154">
        <v>10</v>
      </c>
      <c r="H1154">
        <v>3.1</v>
      </c>
      <c r="I1154" s="14">
        <v>120</v>
      </c>
      <c r="J1154">
        <f>I1154-I1155</f>
        <v>16</v>
      </c>
      <c r="K1154" t="str">
        <f>IF(J1154&gt;0,"W",IF(J1154&lt;0,"L","T"))</f>
        <v>W</v>
      </c>
      <c r="L1154" t="str">
        <f t="shared" ref="L1154:L1217" si="110">D1154</f>
        <v>Michael</v>
      </c>
      <c r="M1154" t="str">
        <f>VLOOKUP(L1154,References!$A$2:$B$16,2,FALSE)</f>
        <v>AKCOVA</v>
      </c>
      <c r="N1154" s="19" t="str">
        <f>IF(M1154=M1155,"N","Y")</f>
        <v>N</v>
      </c>
      <c r="O1154">
        <f>SUM(I1154:I1155)</f>
        <v>224</v>
      </c>
      <c r="P1154">
        <f t="shared" si="107"/>
        <v>104</v>
      </c>
    </row>
    <row r="1155" spans="1:16" hidden="1" x14ac:dyDescent="0.3">
      <c r="A1155" t="str">
        <f t="shared" ref="A1155:A1218" si="111">F1155&amp;D1155&amp;G1155</f>
        <v>2020BR10</v>
      </c>
      <c r="B1155">
        <f t="shared" si="108"/>
        <v>1455</v>
      </c>
      <c r="C1155">
        <f t="shared" si="109"/>
        <v>566</v>
      </c>
      <c r="D1155" t="s">
        <v>25</v>
      </c>
      <c r="E1155" t="str">
        <f>D1154</f>
        <v>Michael</v>
      </c>
      <c r="F1155">
        <v>2020</v>
      </c>
      <c r="G1155">
        <v>10</v>
      </c>
      <c r="H1155">
        <v>3.2</v>
      </c>
      <c r="I1155" s="14">
        <v>104</v>
      </c>
      <c r="J1155">
        <f>I1155-I1154</f>
        <v>-16</v>
      </c>
      <c r="K1155" t="str">
        <f>IF(J1155&gt;0,"W",IF(J1155&lt;0,"L","T"))</f>
        <v>L</v>
      </c>
      <c r="L1155" t="str">
        <f t="shared" si="110"/>
        <v>BR</v>
      </c>
      <c r="M1155" t="str">
        <f>VLOOKUP(L1155,References!$A$2:$B$16,2,FALSE)</f>
        <v>AKCOVA</v>
      </c>
      <c r="N1155" s="19" t="str">
        <f>IF(M1155=M1154,"N","Y")</f>
        <v>N</v>
      </c>
      <c r="O1155">
        <f>SUM(I1154:I1155)</f>
        <v>224</v>
      </c>
      <c r="P1155">
        <f t="shared" ref="P1155:P1218" si="112">I1155-J1155</f>
        <v>120</v>
      </c>
    </row>
    <row r="1156" spans="1:16" hidden="1" x14ac:dyDescent="0.3">
      <c r="A1156" t="str">
        <f t="shared" si="111"/>
        <v>2020Matt10</v>
      </c>
      <c r="B1156">
        <f t="shared" si="108"/>
        <v>1040</v>
      </c>
      <c r="C1156">
        <f t="shared" si="109"/>
        <v>893</v>
      </c>
      <c r="D1156" t="s">
        <v>30</v>
      </c>
      <c r="E1156" t="str">
        <f>D1157</f>
        <v>Charles</v>
      </c>
      <c r="F1156">
        <v>2020</v>
      </c>
      <c r="G1156">
        <v>10</v>
      </c>
      <c r="H1156">
        <v>4.0999999999999996</v>
      </c>
      <c r="I1156" s="14">
        <v>94</v>
      </c>
      <c r="J1156">
        <f>I1156-I1157</f>
        <v>0</v>
      </c>
      <c r="K1156" t="s">
        <v>1</v>
      </c>
      <c r="L1156" t="str">
        <f t="shared" si="110"/>
        <v>Matt</v>
      </c>
      <c r="M1156" t="str">
        <f>VLOOKUP(L1156,References!$A$2:$B$16,2,FALSE)</f>
        <v>TEXAROK</v>
      </c>
      <c r="N1156" s="19" t="str">
        <f>IF(M1156=M1157,"N","Y")</f>
        <v>Y</v>
      </c>
      <c r="O1156">
        <f>SUM(I1156:I1157)</f>
        <v>188</v>
      </c>
      <c r="P1156">
        <f t="shared" si="112"/>
        <v>94</v>
      </c>
    </row>
    <row r="1157" spans="1:16" hidden="1" x14ac:dyDescent="0.3">
      <c r="A1157" t="str">
        <f t="shared" si="111"/>
        <v>2020Charles10</v>
      </c>
      <c r="B1157">
        <f t="shared" si="108"/>
        <v>1040</v>
      </c>
      <c r="C1157">
        <f t="shared" si="109"/>
        <v>893</v>
      </c>
      <c r="D1157" t="s">
        <v>48</v>
      </c>
      <c r="E1157" t="str">
        <f>D1156</f>
        <v>Matt</v>
      </c>
      <c r="F1157">
        <v>2020</v>
      </c>
      <c r="G1157">
        <v>10</v>
      </c>
      <c r="H1157">
        <v>4.2</v>
      </c>
      <c r="I1157" s="14">
        <v>94</v>
      </c>
      <c r="J1157">
        <f>I1157-I1156</f>
        <v>0</v>
      </c>
      <c r="K1157" t="s">
        <v>2</v>
      </c>
      <c r="L1157" t="str">
        <f t="shared" si="110"/>
        <v>Charles</v>
      </c>
      <c r="M1157" t="str">
        <f>VLOOKUP(L1157,References!$A$2:$B$16,2,FALSE)</f>
        <v>AKCOVA</v>
      </c>
      <c r="N1157" s="19" t="str">
        <f>IF(M1157=M1156,"N","Y")</f>
        <v>Y</v>
      </c>
      <c r="O1157">
        <f>SUM(I1156:I1157)</f>
        <v>188</v>
      </c>
      <c r="P1157">
        <f t="shared" si="112"/>
        <v>94</v>
      </c>
    </row>
    <row r="1158" spans="1:16" hidden="1" x14ac:dyDescent="0.3">
      <c r="A1158" t="str">
        <f t="shared" si="111"/>
        <v>2020Emily10</v>
      </c>
      <c r="B1158">
        <f t="shared" si="108"/>
        <v>1797</v>
      </c>
      <c r="C1158">
        <f t="shared" si="109"/>
        <v>1815</v>
      </c>
      <c r="D1158" t="s">
        <v>43</v>
      </c>
      <c r="E1158" t="str">
        <f>D1159</f>
        <v>Brian</v>
      </c>
      <c r="F1158">
        <v>2020</v>
      </c>
      <c r="G1158">
        <v>10</v>
      </c>
      <c r="H1158">
        <v>5.0999999999999996</v>
      </c>
      <c r="I1158" s="14">
        <v>67</v>
      </c>
      <c r="J1158">
        <f>I1158-I1159</f>
        <v>-32</v>
      </c>
      <c r="K1158" t="str">
        <f t="shared" ref="K1158:K1221" si="113">IF(J1158&gt;0,"W",IF(J1158&lt;0,"L","T"))</f>
        <v>L</v>
      </c>
      <c r="L1158" t="str">
        <f t="shared" si="110"/>
        <v>Emily</v>
      </c>
      <c r="M1158" t="str">
        <f>VLOOKUP(L1158,References!$A$2:$B$16,2,FALSE)</f>
        <v>TEXAROK</v>
      </c>
      <c r="N1158" s="19" t="str">
        <f>IF(M1158=M1159,"N","Y")</f>
        <v>N</v>
      </c>
      <c r="O1158">
        <f>SUM(I1158:I1159)</f>
        <v>166</v>
      </c>
      <c r="P1158">
        <f t="shared" si="112"/>
        <v>99</v>
      </c>
    </row>
    <row r="1159" spans="1:16" hidden="1" x14ac:dyDescent="0.3">
      <c r="A1159" t="str">
        <f t="shared" si="111"/>
        <v>2020Brian10</v>
      </c>
      <c r="B1159">
        <f t="shared" si="108"/>
        <v>284</v>
      </c>
      <c r="C1159">
        <f t="shared" si="109"/>
        <v>714</v>
      </c>
      <c r="D1159" t="s">
        <v>26</v>
      </c>
      <c r="E1159" t="str">
        <f>D1158</f>
        <v>Emily</v>
      </c>
      <c r="F1159">
        <v>2020</v>
      </c>
      <c r="G1159">
        <v>10</v>
      </c>
      <c r="H1159">
        <v>5.2</v>
      </c>
      <c r="I1159" s="14">
        <v>99</v>
      </c>
      <c r="J1159">
        <f>I1159-I1158</f>
        <v>32</v>
      </c>
      <c r="K1159" t="str">
        <f t="shared" si="113"/>
        <v>W</v>
      </c>
      <c r="L1159" t="str">
        <f t="shared" si="110"/>
        <v>Brian</v>
      </c>
      <c r="M1159" t="str">
        <f>VLOOKUP(L1159,References!$A$2:$B$16,2,FALSE)</f>
        <v>TEXAROK</v>
      </c>
      <c r="N1159" s="19" t="str">
        <f>IF(M1159=M1158,"N","Y")</f>
        <v>N</v>
      </c>
      <c r="O1159">
        <f>SUM(I1158:I1159)</f>
        <v>166</v>
      </c>
      <c r="P1159">
        <f t="shared" si="112"/>
        <v>67</v>
      </c>
    </row>
    <row r="1160" spans="1:16" hidden="1" x14ac:dyDescent="0.3">
      <c r="A1160" t="str">
        <f t="shared" si="111"/>
        <v>2020Brent10</v>
      </c>
      <c r="B1160">
        <f t="shared" si="108"/>
        <v>782</v>
      </c>
      <c r="C1160">
        <f t="shared" si="109"/>
        <v>1618</v>
      </c>
      <c r="D1160" t="s">
        <v>47</v>
      </c>
      <c r="E1160" t="str">
        <f>D1161</f>
        <v>Watty</v>
      </c>
      <c r="F1160">
        <v>2020</v>
      </c>
      <c r="G1160">
        <v>10</v>
      </c>
      <c r="H1160">
        <v>6.1</v>
      </c>
      <c r="I1160" s="14">
        <v>74</v>
      </c>
      <c r="J1160">
        <f>I1160-I1161</f>
        <v>9</v>
      </c>
      <c r="K1160" t="str">
        <f t="shared" si="113"/>
        <v>W</v>
      </c>
      <c r="L1160" t="str">
        <f t="shared" si="110"/>
        <v>Brent</v>
      </c>
      <c r="M1160" t="str">
        <f>VLOOKUP(L1160,References!$A$2:$B$16,2,FALSE)</f>
        <v>TEXAROK</v>
      </c>
      <c r="N1160" s="19" t="str">
        <f>IF(M1160=M1161,"N","Y")</f>
        <v>Y</v>
      </c>
      <c r="O1160">
        <f>SUM(I1160:I1161)</f>
        <v>139</v>
      </c>
      <c r="P1160">
        <f t="shared" si="112"/>
        <v>65</v>
      </c>
    </row>
    <row r="1161" spans="1:16" hidden="1" x14ac:dyDescent="0.3">
      <c r="A1161" t="str">
        <f t="shared" si="111"/>
        <v>2020Watty10</v>
      </c>
      <c r="B1161">
        <f t="shared" si="108"/>
        <v>1291</v>
      </c>
      <c r="C1161">
        <f t="shared" si="109"/>
        <v>1853</v>
      </c>
      <c r="D1161" t="s">
        <v>24</v>
      </c>
      <c r="E1161" t="str">
        <f>D1160</f>
        <v>Brent</v>
      </c>
      <c r="F1161">
        <v>2020</v>
      </c>
      <c r="G1161">
        <v>10</v>
      </c>
      <c r="H1161">
        <v>6.2</v>
      </c>
      <c r="I1161" s="14">
        <v>65</v>
      </c>
      <c r="J1161">
        <f>I1161-I1160</f>
        <v>-9</v>
      </c>
      <c r="K1161" t="str">
        <f t="shared" si="113"/>
        <v>L</v>
      </c>
      <c r="L1161" t="str">
        <f t="shared" si="110"/>
        <v>Watty</v>
      </c>
      <c r="M1161" t="str">
        <f>VLOOKUP(L1161,References!$A$2:$B$16,2,FALSE)</f>
        <v>AKCOVA</v>
      </c>
      <c r="N1161" s="19" t="str">
        <f>IF(M1161=M1160,"N","Y")</f>
        <v>Y</v>
      </c>
      <c r="O1161">
        <f>SUM(I1160:I1161)</f>
        <v>139</v>
      </c>
      <c r="P1161">
        <f t="shared" si="112"/>
        <v>74</v>
      </c>
    </row>
    <row r="1162" spans="1:16" hidden="1" x14ac:dyDescent="0.3">
      <c r="A1162" t="str">
        <f t="shared" si="111"/>
        <v>2020Abby11</v>
      </c>
      <c r="B1162">
        <f t="shared" si="108"/>
        <v>1004</v>
      </c>
      <c r="C1162">
        <f t="shared" si="109"/>
        <v>1951</v>
      </c>
      <c r="D1162" t="s">
        <v>27</v>
      </c>
      <c r="E1162" t="str">
        <f>D1163</f>
        <v>David</v>
      </c>
      <c r="F1162">
        <v>2020</v>
      </c>
      <c r="G1162">
        <v>11</v>
      </c>
      <c r="H1162">
        <v>1.1000000000000001</v>
      </c>
      <c r="I1162" s="14">
        <v>59</v>
      </c>
      <c r="J1162">
        <f>I1162-I1163</f>
        <v>1</v>
      </c>
      <c r="K1162" t="str">
        <f t="shared" si="113"/>
        <v>W</v>
      </c>
      <c r="L1162" t="str">
        <f t="shared" si="110"/>
        <v>Abby</v>
      </c>
      <c r="M1162" t="str">
        <f>VLOOKUP(L1162,References!$A$2:$B$16,2,FALSE)</f>
        <v>AKCOVA</v>
      </c>
      <c r="N1162" s="19" t="str">
        <f>IF(M1162=M1163,"N","Y")</f>
        <v>Y</v>
      </c>
      <c r="O1162">
        <f>SUM(I1162:I1163)</f>
        <v>117</v>
      </c>
      <c r="P1162">
        <f t="shared" si="112"/>
        <v>58</v>
      </c>
    </row>
    <row r="1163" spans="1:16" hidden="1" x14ac:dyDescent="0.3">
      <c r="A1163" t="str">
        <f t="shared" si="111"/>
        <v>2020David11</v>
      </c>
      <c r="B1163">
        <f t="shared" si="108"/>
        <v>1055</v>
      </c>
      <c r="C1163">
        <f t="shared" si="109"/>
        <v>1974</v>
      </c>
      <c r="D1163" t="s">
        <v>29</v>
      </c>
      <c r="E1163" t="str">
        <f>D1162</f>
        <v>Abby</v>
      </c>
      <c r="F1163">
        <v>2020</v>
      </c>
      <c r="G1163">
        <v>11</v>
      </c>
      <c r="H1163">
        <v>1.2</v>
      </c>
      <c r="I1163" s="14">
        <v>58</v>
      </c>
      <c r="J1163">
        <f>I1163-I1162</f>
        <v>-1</v>
      </c>
      <c r="K1163" t="str">
        <f t="shared" si="113"/>
        <v>L</v>
      </c>
      <c r="L1163" t="str">
        <f t="shared" si="110"/>
        <v>David</v>
      </c>
      <c r="M1163" t="str">
        <f>VLOOKUP(L1163,References!$A$2:$B$16,2,FALSE)</f>
        <v>TEXAROK</v>
      </c>
      <c r="N1163" s="19" t="str">
        <f>IF(M1163=M1162,"N","Y")</f>
        <v>Y</v>
      </c>
      <c r="O1163">
        <f>SUM(I1162:I1163)</f>
        <v>117</v>
      </c>
      <c r="P1163">
        <f t="shared" si="112"/>
        <v>59</v>
      </c>
    </row>
    <row r="1164" spans="1:16" hidden="1" x14ac:dyDescent="0.3">
      <c r="A1164" t="str">
        <f t="shared" si="111"/>
        <v>2020Mark11</v>
      </c>
      <c r="B1164">
        <f t="shared" si="108"/>
        <v>1723</v>
      </c>
      <c r="C1164">
        <f t="shared" si="109"/>
        <v>958</v>
      </c>
      <c r="D1164" t="s">
        <v>22</v>
      </c>
      <c r="E1164" t="str">
        <f>D1165</f>
        <v>Michael</v>
      </c>
      <c r="F1164">
        <v>2020</v>
      </c>
      <c r="G1164">
        <v>11</v>
      </c>
      <c r="H1164">
        <v>2.1</v>
      </c>
      <c r="I1164" s="14">
        <v>92</v>
      </c>
      <c r="J1164">
        <f>I1164-I1165</f>
        <v>-28</v>
      </c>
      <c r="K1164" t="str">
        <f t="shared" si="113"/>
        <v>L</v>
      </c>
      <c r="L1164" t="str">
        <f t="shared" si="110"/>
        <v>Mark</v>
      </c>
      <c r="M1164" t="str">
        <f>VLOOKUP(L1164,References!$A$2:$B$16,2,FALSE)</f>
        <v>AKCOVA</v>
      </c>
      <c r="N1164" s="19" t="str">
        <f>IF(M1164=M1165,"N","Y")</f>
        <v>N</v>
      </c>
      <c r="O1164">
        <f>SUM(I1164:I1165)</f>
        <v>212</v>
      </c>
      <c r="P1164">
        <f t="shared" si="112"/>
        <v>120</v>
      </c>
    </row>
    <row r="1165" spans="1:16" hidden="1" x14ac:dyDescent="0.3">
      <c r="A1165" t="str">
        <f t="shared" si="111"/>
        <v>2020Michael11</v>
      </c>
      <c r="B1165">
        <f t="shared" si="108"/>
        <v>356</v>
      </c>
      <c r="C1165">
        <f t="shared" si="109"/>
        <v>227</v>
      </c>
      <c r="D1165" t="s">
        <v>23</v>
      </c>
      <c r="E1165" t="str">
        <f>D1164</f>
        <v>Mark</v>
      </c>
      <c r="F1165">
        <v>2020</v>
      </c>
      <c r="G1165">
        <v>11</v>
      </c>
      <c r="H1165">
        <v>2.2000000000000002</v>
      </c>
      <c r="I1165" s="14">
        <v>120</v>
      </c>
      <c r="J1165">
        <f>I1165-I1164</f>
        <v>28</v>
      </c>
      <c r="K1165" t="str">
        <f t="shared" si="113"/>
        <v>W</v>
      </c>
      <c r="L1165" t="str">
        <f t="shared" si="110"/>
        <v>Michael</v>
      </c>
      <c r="M1165" t="str">
        <f>VLOOKUP(L1165,References!$A$2:$B$16,2,FALSE)</f>
        <v>AKCOVA</v>
      </c>
      <c r="N1165" s="19" t="str">
        <f>IF(M1165=M1164,"N","Y")</f>
        <v>N</v>
      </c>
      <c r="O1165">
        <f>SUM(I1164:I1165)</f>
        <v>212</v>
      </c>
      <c r="P1165">
        <f t="shared" si="112"/>
        <v>92</v>
      </c>
    </row>
    <row r="1166" spans="1:16" hidden="1" x14ac:dyDescent="0.3">
      <c r="A1166" t="str">
        <f t="shared" si="111"/>
        <v>2020BR11</v>
      </c>
      <c r="B1166">
        <f t="shared" si="108"/>
        <v>2018</v>
      </c>
      <c r="C1166">
        <f t="shared" si="109"/>
        <v>2060</v>
      </c>
      <c r="D1166" t="s">
        <v>25</v>
      </c>
      <c r="E1166" t="str">
        <f>D1167</f>
        <v>Matt</v>
      </c>
      <c r="F1166">
        <v>2020</v>
      </c>
      <c r="G1166">
        <v>11</v>
      </c>
      <c r="H1166">
        <v>3.1</v>
      </c>
      <c r="I1166" s="14">
        <v>48</v>
      </c>
      <c r="J1166">
        <f>I1166-I1167</f>
        <v>-57</v>
      </c>
      <c r="K1166" t="str">
        <f t="shared" si="113"/>
        <v>L</v>
      </c>
      <c r="L1166" t="str">
        <f t="shared" si="110"/>
        <v>BR</v>
      </c>
      <c r="M1166" t="str">
        <f>VLOOKUP(L1166,References!$A$2:$B$16,2,FALSE)</f>
        <v>AKCOVA</v>
      </c>
      <c r="N1166" s="19" t="str">
        <f>IF(M1166=M1167,"N","Y")</f>
        <v>Y</v>
      </c>
      <c r="O1166">
        <f>SUM(I1166:I1167)</f>
        <v>153</v>
      </c>
      <c r="P1166">
        <f t="shared" si="112"/>
        <v>105</v>
      </c>
    </row>
    <row r="1167" spans="1:16" hidden="1" x14ac:dyDescent="0.3">
      <c r="A1167" t="str">
        <f t="shared" si="111"/>
        <v>2020Matt11</v>
      </c>
      <c r="B1167">
        <f t="shared" si="108"/>
        <v>70</v>
      </c>
      <c r="C1167">
        <f t="shared" si="109"/>
        <v>540</v>
      </c>
      <c r="D1167" t="s">
        <v>30</v>
      </c>
      <c r="E1167" t="str">
        <f>D1166</f>
        <v>BR</v>
      </c>
      <c r="F1167">
        <v>2020</v>
      </c>
      <c r="G1167">
        <v>11</v>
      </c>
      <c r="H1167">
        <v>3.2</v>
      </c>
      <c r="I1167" s="14">
        <v>105</v>
      </c>
      <c r="J1167">
        <f>I1167-I1166</f>
        <v>57</v>
      </c>
      <c r="K1167" t="str">
        <f t="shared" si="113"/>
        <v>W</v>
      </c>
      <c r="L1167" t="str">
        <f t="shared" si="110"/>
        <v>Matt</v>
      </c>
      <c r="M1167" t="str">
        <f>VLOOKUP(L1167,References!$A$2:$B$16,2,FALSE)</f>
        <v>TEXAROK</v>
      </c>
      <c r="N1167" s="19" t="str">
        <f>IF(M1167=M1166,"N","Y")</f>
        <v>Y</v>
      </c>
      <c r="O1167">
        <f>SUM(I1166:I1167)</f>
        <v>153</v>
      </c>
      <c r="P1167">
        <f t="shared" si="112"/>
        <v>48</v>
      </c>
    </row>
    <row r="1168" spans="1:16" hidden="1" x14ac:dyDescent="0.3">
      <c r="A1168" t="str">
        <f t="shared" si="111"/>
        <v>2020Charles11</v>
      </c>
      <c r="B1168">
        <f t="shared" si="108"/>
        <v>297</v>
      </c>
      <c r="C1168">
        <f t="shared" si="109"/>
        <v>248</v>
      </c>
      <c r="D1168" t="s">
        <v>48</v>
      </c>
      <c r="E1168" t="str">
        <f>D1169</f>
        <v>Emily</v>
      </c>
      <c r="F1168">
        <v>2020</v>
      </c>
      <c r="G1168">
        <v>11</v>
      </c>
      <c r="H1168">
        <v>4.0999999999999996</v>
      </c>
      <c r="I1168" s="14">
        <v>119</v>
      </c>
      <c r="J1168">
        <f>I1168-I1169</f>
        <v>31</v>
      </c>
      <c r="K1168" t="str">
        <f t="shared" si="113"/>
        <v>W</v>
      </c>
      <c r="L1168" t="str">
        <f t="shared" si="110"/>
        <v>Charles</v>
      </c>
      <c r="M1168" t="str">
        <f>VLOOKUP(L1168,References!$A$2:$B$16,2,FALSE)</f>
        <v>AKCOVA</v>
      </c>
      <c r="N1168" s="19" t="str">
        <f>IF(M1168=M1169,"N","Y")</f>
        <v>Y</v>
      </c>
      <c r="O1168">
        <f>SUM(I1168:I1169)</f>
        <v>207</v>
      </c>
      <c r="P1168">
        <f t="shared" si="112"/>
        <v>88</v>
      </c>
    </row>
    <row r="1169" spans="1:16" hidden="1" x14ac:dyDescent="0.3">
      <c r="A1169" t="str">
        <f t="shared" si="111"/>
        <v>2020Emily11</v>
      </c>
      <c r="B1169">
        <f t="shared" si="108"/>
        <v>1775</v>
      </c>
      <c r="C1169">
        <f t="shared" si="109"/>
        <v>1100</v>
      </c>
      <c r="D1169" t="s">
        <v>43</v>
      </c>
      <c r="E1169" t="str">
        <f>D1168</f>
        <v>Charles</v>
      </c>
      <c r="F1169">
        <v>2020</v>
      </c>
      <c r="G1169">
        <v>11</v>
      </c>
      <c r="H1169">
        <v>4.2</v>
      </c>
      <c r="I1169" s="14">
        <v>88</v>
      </c>
      <c r="J1169">
        <f>I1169-I1168</f>
        <v>-31</v>
      </c>
      <c r="K1169" t="str">
        <f t="shared" si="113"/>
        <v>L</v>
      </c>
      <c r="L1169" t="str">
        <f t="shared" si="110"/>
        <v>Emily</v>
      </c>
      <c r="M1169" t="str">
        <f>VLOOKUP(L1169,References!$A$2:$B$16,2,FALSE)</f>
        <v>TEXAROK</v>
      </c>
      <c r="N1169" s="19" t="str">
        <f>IF(M1169=M1168,"N","Y")</f>
        <v>Y</v>
      </c>
      <c r="O1169">
        <f>SUM(I1168:I1169)</f>
        <v>207</v>
      </c>
      <c r="P1169">
        <f t="shared" si="112"/>
        <v>119</v>
      </c>
    </row>
    <row r="1170" spans="1:16" hidden="1" x14ac:dyDescent="0.3">
      <c r="A1170" t="str">
        <f t="shared" si="111"/>
        <v>2020Brian11</v>
      </c>
      <c r="B1170">
        <f t="shared" si="108"/>
        <v>450</v>
      </c>
      <c r="C1170">
        <f t="shared" si="109"/>
        <v>1210</v>
      </c>
      <c r="D1170" t="s">
        <v>26</v>
      </c>
      <c r="E1170" t="str">
        <f>D1171</f>
        <v>Brent</v>
      </c>
      <c r="F1170">
        <v>2020</v>
      </c>
      <c r="G1170">
        <v>11</v>
      </c>
      <c r="H1170">
        <v>5.0999999999999996</v>
      </c>
      <c r="I1170" s="14">
        <v>85</v>
      </c>
      <c r="J1170">
        <f>I1170-I1171</f>
        <v>23</v>
      </c>
      <c r="K1170" t="str">
        <f t="shared" si="113"/>
        <v>W</v>
      </c>
      <c r="L1170" t="str">
        <f t="shared" si="110"/>
        <v>Brian</v>
      </c>
      <c r="M1170" t="str">
        <f>VLOOKUP(L1170,References!$A$2:$B$16,2,FALSE)</f>
        <v>TEXAROK</v>
      </c>
      <c r="N1170" s="19" t="str">
        <f>IF(M1170=M1171,"N","Y")</f>
        <v>N</v>
      </c>
      <c r="O1170">
        <f>SUM(I1170:I1171)</f>
        <v>147</v>
      </c>
      <c r="P1170">
        <f t="shared" si="112"/>
        <v>62</v>
      </c>
    </row>
    <row r="1171" spans="1:16" hidden="1" x14ac:dyDescent="0.3">
      <c r="A1171" t="str">
        <f t="shared" si="111"/>
        <v>2020Brent11</v>
      </c>
      <c r="B1171">
        <f t="shared" si="108"/>
        <v>1625</v>
      </c>
      <c r="C1171">
        <f t="shared" si="109"/>
        <v>1910</v>
      </c>
      <c r="D1171" t="s">
        <v>47</v>
      </c>
      <c r="E1171" t="str">
        <f>D1170</f>
        <v>Brian</v>
      </c>
      <c r="F1171">
        <v>2020</v>
      </c>
      <c r="G1171">
        <v>11</v>
      </c>
      <c r="H1171">
        <v>5.2</v>
      </c>
      <c r="I1171" s="14">
        <v>62</v>
      </c>
      <c r="J1171">
        <f>I1171-I1170</f>
        <v>-23</v>
      </c>
      <c r="K1171" t="str">
        <f t="shared" si="113"/>
        <v>L</v>
      </c>
      <c r="L1171" t="str">
        <f t="shared" si="110"/>
        <v>Brent</v>
      </c>
      <c r="M1171" t="str">
        <f>VLOOKUP(L1171,References!$A$2:$B$16,2,FALSE)</f>
        <v>TEXAROK</v>
      </c>
      <c r="N1171" s="19" t="str">
        <f>IF(M1171=M1170,"N","Y")</f>
        <v>N</v>
      </c>
      <c r="O1171">
        <f>SUM(I1170:I1171)</f>
        <v>147</v>
      </c>
      <c r="P1171">
        <f t="shared" si="112"/>
        <v>85</v>
      </c>
    </row>
    <row r="1172" spans="1:16" hidden="1" x14ac:dyDescent="0.3">
      <c r="A1172" t="str">
        <f t="shared" si="111"/>
        <v>2020Watty11</v>
      </c>
      <c r="B1172">
        <f t="shared" si="108"/>
        <v>639</v>
      </c>
      <c r="C1172">
        <f t="shared" si="109"/>
        <v>509</v>
      </c>
      <c r="D1172" t="s">
        <v>24</v>
      </c>
      <c r="E1172" t="str">
        <f>D1173</f>
        <v>Russell</v>
      </c>
      <c r="F1172">
        <v>2020</v>
      </c>
      <c r="G1172">
        <v>11</v>
      </c>
      <c r="H1172">
        <v>6.1</v>
      </c>
      <c r="I1172" s="14">
        <v>106</v>
      </c>
      <c r="J1172">
        <f>I1172-I1173</f>
        <v>15</v>
      </c>
      <c r="K1172" t="str">
        <f t="shared" si="113"/>
        <v>W</v>
      </c>
      <c r="L1172" t="str">
        <f t="shared" si="110"/>
        <v>Watty</v>
      </c>
      <c r="M1172" t="str">
        <f>VLOOKUP(L1172,References!$A$2:$B$16,2,FALSE)</f>
        <v>AKCOVA</v>
      </c>
      <c r="N1172" s="19" t="str">
        <f>IF(M1172=M1173,"N","Y")</f>
        <v>Y</v>
      </c>
      <c r="O1172">
        <f>SUM(I1172:I1173)</f>
        <v>197</v>
      </c>
      <c r="P1172">
        <f t="shared" si="112"/>
        <v>91</v>
      </c>
    </row>
    <row r="1173" spans="1:16" hidden="1" x14ac:dyDescent="0.3">
      <c r="A1173" t="str">
        <f t="shared" si="111"/>
        <v>2020Russell11</v>
      </c>
      <c r="B1173">
        <f t="shared" si="108"/>
        <v>1434</v>
      </c>
      <c r="C1173">
        <f t="shared" si="109"/>
        <v>992</v>
      </c>
      <c r="D1173" t="s">
        <v>28</v>
      </c>
      <c r="E1173" t="str">
        <f>D1172</f>
        <v>Watty</v>
      </c>
      <c r="F1173">
        <v>2020</v>
      </c>
      <c r="G1173">
        <v>11</v>
      </c>
      <c r="H1173">
        <v>6.2</v>
      </c>
      <c r="I1173" s="14">
        <v>91</v>
      </c>
      <c r="J1173">
        <f>I1173-I1172</f>
        <v>-15</v>
      </c>
      <c r="K1173" t="str">
        <f t="shared" si="113"/>
        <v>L</v>
      </c>
      <c r="L1173" t="str">
        <f t="shared" si="110"/>
        <v>Russell</v>
      </c>
      <c r="M1173" t="str">
        <f>VLOOKUP(L1173,References!$A$2:$B$16,2,FALSE)</f>
        <v>TEXAROK</v>
      </c>
      <c r="N1173" s="19" t="str">
        <f>IF(M1173=M1172,"N","Y")</f>
        <v>Y</v>
      </c>
      <c r="O1173">
        <f>SUM(I1172:I1173)</f>
        <v>197</v>
      </c>
      <c r="P1173">
        <f t="shared" si="112"/>
        <v>106</v>
      </c>
    </row>
    <row r="1174" spans="1:16" hidden="1" x14ac:dyDescent="0.3">
      <c r="A1174" t="str">
        <f t="shared" si="111"/>
        <v>2020Charles12</v>
      </c>
      <c r="B1174">
        <f t="shared" si="108"/>
        <v>469</v>
      </c>
      <c r="C1174">
        <f t="shared" si="109"/>
        <v>893</v>
      </c>
      <c r="D1174" t="s">
        <v>48</v>
      </c>
      <c r="E1174" t="str">
        <f>D1175</f>
        <v>BR</v>
      </c>
      <c r="F1174">
        <v>2020</v>
      </c>
      <c r="G1174">
        <v>12</v>
      </c>
      <c r="H1174">
        <v>1.1000000000000001</v>
      </c>
      <c r="I1174" s="14">
        <v>94</v>
      </c>
      <c r="J1174">
        <f>I1174-I1175</f>
        <v>22</v>
      </c>
      <c r="K1174" t="str">
        <f t="shared" si="113"/>
        <v>W</v>
      </c>
      <c r="L1174" t="str">
        <f t="shared" si="110"/>
        <v>Charles</v>
      </c>
      <c r="M1174" t="str">
        <f>VLOOKUP(L1174,References!$A$2:$B$16,2,FALSE)</f>
        <v>AKCOVA</v>
      </c>
      <c r="N1174" s="19" t="str">
        <f>IF(M1174=M1175,"N","Y")</f>
        <v>N</v>
      </c>
      <c r="O1174">
        <f>SUM(I1174:I1175)</f>
        <v>166</v>
      </c>
      <c r="P1174">
        <f t="shared" si="112"/>
        <v>72</v>
      </c>
    </row>
    <row r="1175" spans="1:16" hidden="1" x14ac:dyDescent="0.3">
      <c r="A1175" t="str">
        <f t="shared" si="111"/>
        <v>2020BR12</v>
      </c>
      <c r="B1175">
        <f t="shared" si="108"/>
        <v>1605</v>
      </c>
      <c r="C1175">
        <f t="shared" si="109"/>
        <v>1684</v>
      </c>
      <c r="D1175" t="s">
        <v>25</v>
      </c>
      <c r="E1175" t="str">
        <f>D1174</f>
        <v>Charles</v>
      </c>
      <c r="F1175">
        <v>2020</v>
      </c>
      <c r="G1175">
        <v>12</v>
      </c>
      <c r="H1175">
        <v>1.2</v>
      </c>
      <c r="I1175" s="14">
        <v>72</v>
      </c>
      <c r="J1175">
        <f>I1175-I1174</f>
        <v>-22</v>
      </c>
      <c r="K1175" t="str">
        <f t="shared" si="113"/>
        <v>L</v>
      </c>
      <c r="L1175" t="str">
        <f t="shared" si="110"/>
        <v>BR</v>
      </c>
      <c r="M1175" t="str">
        <f>VLOOKUP(L1175,References!$A$2:$B$16,2,FALSE)</f>
        <v>AKCOVA</v>
      </c>
      <c r="N1175" s="19" t="str">
        <f>IF(M1175=M1174,"N","Y")</f>
        <v>N</v>
      </c>
      <c r="O1175">
        <f>SUM(I1174:I1175)</f>
        <v>166</v>
      </c>
      <c r="P1175">
        <f t="shared" si="112"/>
        <v>94</v>
      </c>
    </row>
    <row r="1176" spans="1:16" hidden="1" x14ac:dyDescent="0.3">
      <c r="A1176" t="str">
        <f t="shared" si="111"/>
        <v>2020Abby12</v>
      </c>
      <c r="B1176">
        <f t="shared" si="108"/>
        <v>2018</v>
      </c>
      <c r="C1176">
        <f t="shared" si="109"/>
        <v>1100</v>
      </c>
      <c r="D1176" t="s">
        <v>27</v>
      </c>
      <c r="E1176" t="str">
        <f>D1177</f>
        <v>Watty</v>
      </c>
      <c r="F1176">
        <v>2020</v>
      </c>
      <c r="G1176">
        <v>12</v>
      </c>
      <c r="H1176">
        <v>2.1</v>
      </c>
      <c r="I1176" s="14">
        <v>88</v>
      </c>
      <c r="J1176">
        <f>I1176-I1177</f>
        <v>-57</v>
      </c>
      <c r="K1176" t="str">
        <f t="shared" si="113"/>
        <v>L</v>
      </c>
      <c r="L1176" t="str">
        <f t="shared" si="110"/>
        <v>Abby</v>
      </c>
      <c r="M1176" t="str">
        <f>VLOOKUP(L1176,References!$A$2:$B$16,2,FALSE)</f>
        <v>AKCOVA</v>
      </c>
      <c r="N1176" s="19" t="str">
        <f>IF(M1176=M1177,"N","Y")</f>
        <v>N</v>
      </c>
      <c r="O1176">
        <f>SUM(I1176:I1177)</f>
        <v>233</v>
      </c>
      <c r="P1176">
        <f t="shared" si="112"/>
        <v>145</v>
      </c>
    </row>
    <row r="1177" spans="1:16" hidden="1" x14ac:dyDescent="0.3">
      <c r="A1177" t="str">
        <f t="shared" si="111"/>
        <v>2020Watty12</v>
      </c>
      <c r="B1177">
        <f t="shared" si="108"/>
        <v>70</v>
      </c>
      <c r="C1177">
        <f t="shared" si="109"/>
        <v>36</v>
      </c>
      <c r="D1177" t="s">
        <v>24</v>
      </c>
      <c r="E1177" t="str">
        <f>D1176</f>
        <v>Abby</v>
      </c>
      <c r="F1177">
        <v>2020</v>
      </c>
      <c r="G1177">
        <v>12</v>
      </c>
      <c r="H1177">
        <v>2.2000000000000002</v>
      </c>
      <c r="I1177" s="14">
        <v>145</v>
      </c>
      <c r="J1177">
        <f>I1177-I1176</f>
        <v>57</v>
      </c>
      <c r="K1177" t="str">
        <f t="shared" si="113"/>
        <v>W</v>
      </c>
      <c r="L1177" t="str">
        <f t="shared" si="110"/>
        <v>Watty</v>
      </c>
      <c r="M1177" t="str">
        <f>VLOOKUP(L1177,References!$A$2:$B$16,2,FALSE)</f>
        <v>AKCOVA</v>
      </c>
      <c r="N1177" s="19" t="str">
        <f>IF(M1177=M1176,"N","Y")</f>
        <v>N</v>
      </c>
      <c r="O1177">
        <f>SUM(I1176:I1177)</f>
        <v>233</v>
      </c>
      <c r="P1177">
        <f t="shared" si="112"/>
        <v>88</v>
      </c>
    </row>
    <row r="1178" spans="1:16" hidden="1" x14ac:dyDescent="0.3">
      <c r="A1178" t="str">
        <f t="shared" si="111"/>
        <v>2020Mark12</v>
      </c>
      <c r="B1178">
        <f t="shared" si="108"/>
        <v>489</v>
      </c>
      <c r="C1178">
        <f t="shared" si="109"/>
        <v>486</v>
      </c>
      <c r="D1178" t="s">
        <v>22</v>
      </c>
      <c r="E1178" t="str">
        <f>D1179</f>
        <v>Michael</v>
      </c>
      <c r="F1178">
        <v>2020</v>
      </c>
      <c r="G1178">
        <v>12</v>
      </c>
      <c r="H1178">
        <v>3.1</v>
      </c>
      <c r="I1178" s="14">
        <v>107</v>
      </c>
      <c r="J1178">
        <f>I1178-I1179</f>
        <v>21</v>
      </c>
      <c r="K1178" t="str">
        <f t="shared" si="113"/>
        <v>W</v>
      </c>
      <c r="L1178" t="str">
        <f t="shared" si="110"/>
        <v>Mark</v>
      </c>
      <c r="M1178" t="str">
        <f>VLOOKUP(L1178,References!$A$2:$B$16,2,FALSE)</f>
        <v>AKCOVA</v>
      </c>
      <c r="N1178" s="19" t="str">
        <f>IF(M1178=M1179,"N","Y")</f>
        <v>N</v>
      </c>
      <c r="O1178">
        <f>SUM(I1178:I1179)</f>
        <v>193</v>
      </c>
      <c r="P1178">
        <f t="shared" si="112"/>
        <v>86</v>
      </c>
    </row>
    <row r="1179" spans="1:16" hidden="1" x14ac:dyDescent="0.3">
      <c r="A1179" t="str">
        <f t="shared" si="111"/>
        <v>2020Michael12</v>
      </c>
      <c r="B1179">
        <f t="shared" si="108"/>
        <v>1577</v>
      </c>
      <c r="C1179">
        <f t="shared" si="109"/>
        <v>1173</v>
      </c>
      <c r="D1179" t="s">
        <v>23</v>
      </c>
      <c r="E1179" t="str">
        <f>D1178</f>
        <v>Mark</v>
      </c>
      <c r="F1179">
        <v>2020</v>
      </c>
      <c r="G1179">
        <v>12</v>
      </c>
      <c r="H1179">
        <v>3.2</v>
      </c>
      <c r="I1179" s="14">
        <v>86</v>
      </c>
      <c r="J1179">
        <f>I1179-I1178</f>
        <v>-21</v>
      </c>
      <c r="K1179" t="str">
        <f t="shared" si="113"/>
        <v>L</v>
      </c>
      <c r="L1179" t="str">
        <f t="shared" si="110"/>
        <v>Michael</v>
      </c>
      <c r="M1179" t="str">
        <f>VLOOKUP(L1179,References!$A$2:$B$16,2,FALSE)</f>
        <v>AKCOVA</v>
      </c>
      <c r="N1179" s="19" t="str">
        <f>IF(M1179=M1178,"N","Y")</f>
        <v>N</v>
      </c>
      <c r="O1179">
        <f>SUM(I1178:I1179)</f>
        <v>193</v>
      </c>
      <c r="P1179">
        <f t="shared" si="112"/>
        <v>107</v>
      </c>
    </row>
    <row r="1180" spans="1:16" hidden="1" x14ac:dyDescent="0.3">
      <c r="A1180" t="str">
        <f t="shared" si="111"/>
        <v>2020Brent12</v>
      </c>
      <c r="B1180">
        <f t="shared" si="108"/>
        <v>1546</v>
      </c>
      <c r="C1180">
        <f t="shared" si="109"/>
        <v>1365</v>
      </c>
      <c r="D1180" t="s">
        <v>47</v>
      </c>
      <c r="E1180" t="str">
        <f>D1181</f>
        <v>Matt</v>
      </c>
      <c r="F1180">
        <v>2020</v>
      </c>
      <c r="G1180">
        <v>12</v>
      </c>
      <c r="H1180">
        <v>4.0999999999999996</v>
      </c>
      <c r="I1180" s="14">
        <v>81</v>
      </c>
      <c r="J1180">
        <f>I1180-I1181</f>
        <v>-20</v>
      </c>
      <c r="K1180" t="str">
        <f t="shared" si="113"/>
        <v>L</v>
      </c>
      <c r="L1180" t="str">
        <f t="shared" si="110"/>
        <v>Brent</v>
      </c>
      <c r="M1180" t="str">
        <f>VLOOKUP(L1180,References!$A$2:$B$16,2,FALSE)</f>
        <v>TEXAROK</v>
      </c>
      <c r="N1180" s="19" t="str">
        <f>IF(M1180=M1181,"N","Y")</f>
        <v>N</v>
      </c>
      <c r="O1180">
        <f>SUM(I1180:I1181)</f>
        <v>182</v>
      </c>
      <c r="P1180">
        <f t="shared" si="112"/>
        <v>101</v>
      </c>
    </row>
    <row r="1181" spans="1:16" hidden="1" x14ac:dyDescent="0.3">
      <c r="A1181" t="str">
        <f t="shared" si="111"/>
        <v>2020Matt12</v>
      </c>
      <c r="B1181">
        <f t="shared" si="108"/>
        <v>517</v>
      </c>
      <c r="C1181">
        <f t="shared" si="109"/>
        <v>652</v>
      </c>
      <c r="D1181" t="s">
        <v>30</v>
      </c>
      <c r="E1181" t="str">
        <f>D1180</f>
        <v>Brent</v>
      </c>
      <c r="F1181">
        <v>2020</v>
      </c>
      <c r="G1181">
        <v>12</v>
      </c>
      <c r="H1181">
        <v>4.2</v>
      </c>
      <c r="I1181" s="14">
        <v>101</v>
      </c>
      <c r="J1181">
        <f>I1181-I1180</f>
        <v>20</v>
      </c>
      <c r="K1181" t="str">
        <f t="shared" si="113"/>
        <v>W</v>
      </c>
      <c r="L1181" t="str">
        <f t="shared" si="110"/>
        <v>Matt</v>
      </c>
      <c r="M1181" t="str">
        <f>VLOOKUP(L1181,References!$A$2:$B$16,2,FALSE)</f>
        <v>TEXAROK</v>
      </c>
      <c r="N1181" s="19" t="str">
        <f>IF(M1181=M1180,"N","Y")</f>
        <v>N</v>
      </c>
      <c r="O1181">
        <f>SUM(I1180:I1181)</f>
        <v>182</v>
      </c>
      <c r="P1181">
        <f t="shared" si="112"/>
        <v>81</v>
      </c>
    </row>
    <row r="1182" spans="1:16" hidden="1" x14ac:dyDescent="0.3">
      <c r="A1182" t="str">
        <f t="shared" si="111"/>
        <v>2020Brian12</v>
      </c>
      <c r="B1182">
        <f t="shared" si="108"/>
        <v>685</v>
      </c>
      <c r="C1182">
        <f t="shared" si="109"/>
        <v>1717</v>
      </c>
      <c r="D1182" t="s">
        <v>26</v>
      </c>
      <c r="E1182" t="str">
        <f>D1183</f>
        <v>David</v>
      </c>
      <c r="F1182">
        <v>2020</v>
      </c>
      <c r="G1182">
        <v>12</v>
      </c>
      <c r="H1182">
        <v>5.0999999999999996</v>
      </c>
      <c r="I1182" s="14">
        <v>71</v>
      </c>
      <c r="J1182">
        <f>I1182-I1183</f>
        <v>13</v>
      </c>
      <c r="K1182" t="str">
        <f t="shared" si="113"/>
        <v>W</v>
      </c>
      <c r="L1182" t="str">
        <f t="shared" si="110"/>
        <v>Brian</v>
      </c>
      <c r="M1182" t="str">
        <f>VLOOKUP(L1182,References!$A$2:$B$16,2,FALSE)</f>
        <v>TEXAROK</v>
      </c>
      <c r="N1182" s="19" t="str">
        <f>IF(M1182=M1183,"N","Y")</f>
        <v>N</v>
      </c>
      <c r="O1182">
        <f>SUM(I1182:I1183)</f>
        <v>129</v>
      </c>
      <c r="P1182">
        <f t="shared" si="112"/>
        <v>58</v>
      </c>
    </row>
    <row r="1183" spans="1:16" hidden="1" x14ac:dyDescent="0.3">
      <c r="A1183" t="str">
        <f t="shared" si="111"/>
        <v>2020David12</v>
      </c>
      <c r="B1183">
        <f t="shared" si="108"/>
        <v>1381</v>
      </c>
      <c r="C1183">
        <f t="shared" si="109"/>
        <v>1974</v>
      </c>
      <c r="D1183" t="s">
        <v>29</v>
      </c>
      <c r="E1183" t="str">
        <f>D1182</f>
        <v>Brian</v>
      </c>
      <c r="F1183">
        <v>2020</v>
      </c>
      <c r="G1183">
        <v>12</v>
      </c>
      <c r="H1183">
        <v>5.2</v>
      </c>
      <c r="I1183" s="14">
        <v>58</v>
      </c>
      <c r="J1183">
        <f>I1183-I1182</f>
        <v>-13</v>
      </c>
      <c r="K1183" t="str">
        <f t="shared" si="113"/>
        <v>L</v>
      </c>
      <c r="L1183" t="str">
        <f t="shared" si="110"/>
        <v>David</v>
      </c>
      <c r="M1183" t="str">
        <f>VLOOKUP(L1183,References!$A$2:$B$16,2,FALSE)</f>
        <v>TEXAROK</v>
      </c>
      <c r="N1183" s="19" t="str">
        <f>IF(M1183=M1182,"N","Y")</f>
        <v>N</v>
      </c>
      <c r="O1183">
        <f>SUM(I1182:I1183)</f>
        <v>129</v>
      </c>
      <c r="P1183">
        <f t="shared" si="112"/>
        <v>71</v>
      </c>
    </row>
    <row r="1184" spans="1:16" hidden="1" x14ac:dyDescent="0.3">
      <c r="A1184" t="str">
        <f t="shared" si="111"/>
        <v>2020Emily12</v>
      </c>
      <c r="B1184">
        <f t="shared" si="108"/>
        <v>1684</v>
      </c>
      <c r="C1184">
        <f t="shared" si="109"/>
        <v>1618</v>
      </c>
      <c r="D1184" t="s">
        <v>43</v>
      </c>
      <c r="E1184" t="str">
        <f>D1185</f>
        <v>Russell</v>
      </c>
      <c r="F1184">
        <v>2020</v>
      </c>
      <c r="G1184">
        <v>12</v>
      </c>
      <c r="H1184">
        <v>6.1</v>
      </c>
      <c r="I1184" s="14">
        <v>74</v>
      </c>
      <c r="J1184">
        <f>I1184-I1185</f>
        <v>-26</v>
      </c>
      <c r="K1184" t="str">
        <f t="shared" si="113"/>
        <v>L</v>
      </c>
      <c r="L1184" t="str">
        <f t="shared" si="110"/>
        <v>Emily</v>
      </c>
      <c r="M1184" t="str">
        <f>VLOOKUP(L1184,References!$A$2:$B$16,2,FALSE)</f>
        <v>TEXAROK</v>
      </c>
      <c r="N1184" s="19" t="str">
        <f>IF(M1184=M1185,"N","Y")</f>
        <v>N</v>
      </c>
      <c r="O1184">
        <f>SUM(I1184:I1185)</f>
        <v>174</v>
      </c>
      <c r="P1184">
        <f t="shared" si="112"/>
        <v>100</v>
      </c>
    </row>
    <row r="1185" spans="1:16" hidden="1" x14ac:dyDescent="0.3">
      <c r="A1185" t="str">
        <f t="shared" si="111"/>
        <v>2020Russell12</v>
      </c>
      <c r="B1185">
        <f t="shared" si="108"/>
        <v>392</v>
      </c>
      <c r="C1185">
        <f t="shared" si="109"/>
        <v>678</v>
      </c>
      <c r="D1185" t="s">
        <v>28</v>
      </c>
      <c r="E1185" t="str">
        <f>D1184</f>
        <v>Emily</v>
      </c>
      <c r="F1185">
        <v>2020</v>
      </c>
      <c r="G1185">
        <v>12</v>
      </c>
      <c r="H1185">
        <v>6.2</v>
      </c>
      <c r="I1185" s="14">
        <v>100</v>
      </c>
      <c r="J1185">
        <f>I1185-I1184</f>
        <v>26</v>
      </c>
      <c r="K1185" t="str">
        <f t="shared" si="113"/>
        <v>W</v>
      </c>
      <c r="L1185" t="str">
        <f t="shared" si="110"/>
        <v>Russell</v>
      </c>
      <c r="M1185" t="str">
        <f>VLOOKUP(L1185,References!$A$2:$B$16,2,FALSE)</f>
        <v>TEXAROK</v>
      </c>
      <c r="N1185" s="19" t="str">
        <f>IF(M1185=M1184,"N","Y")</f>
        <v>N</v>
      </c>
      <c r="O1185">
        <f>SUM(I1184:I1185)</f>
        <v>174</v>
      </c>
      <c r="P1185">
        <f t="shared" si="112"/>
        <v>74</v>
      </c>
    </row>
    <row r="1186" spans="1:16" hidden="1" x14ac:dyDescent="0.3">
      <c r="A1186" t="str">
        <f t="shared" si="111"/>
        <v>2020Watty13</v>
      </c>
      <c r="B1186">
        <f t="shared" si="108"/>
        <v>660</v>
      </c>
      <c r="C1186">
        <f t="shared" si="109"/>
        <v>1173</v>
      </c>
      <c r="D1186" t="s">
        <v>24</v>
      </c>
      <c r="E1186" t="str">
        <f>D1187</f>
        <v>BR</v>
      </c>
      <c r="F1186">
        <v>2020</v>
      </c>
      <c r="G1186">
        <v>13</v>
      </c>
      <c r="H1186">
        <v>1.1000000000000001</v>
      </c>
      <c r="I1186" s="14">
        <v>86</v>
      </c>
      <c r="J1186">
        <f>I1186-I1187</f>
        <v>14</v>
      </c>
      <c r="K1186" t="str">
        <f t="shared" si="113"/>
        <v>W</v>
      </c>
      <c r="L1186" t="str">
        <f t="shared" si="110"/>
        <v>Watty</v>
      </c>
      <c r="M1186" t="str">
        <f>VLOOKUP(L1186,References!$A$2:$B$16,2,FALSE)</f>
        <v>AKCOVA</v>
      </c>
      <c r="N1186" s="19" t="str">
        <f>IF(M1186=M1187,"N","Y")</f>
        <v>N</v>
      </c>
      <c r="O1186">
        <f>SUM(I1186:I1187)</f>
        <v>158</v>
      </c>
      <c r="P1186">
        <f t="shared" si="112"/>
        <v>72</v>
      </c>
    </row>
    <row r="1187" spans="1:16" hidden="1" x14ac:dyDescent="0.3">
      <c r="A1187" t="str">
        <f t="shared" si="111"/>
        <v>2020BR13</v>
      </c>
      <c r="B1187">
        <f t="shared" si="108"/>
        <v>1409</v>
      </c>
      <c r="C1187">
        <f t="shared" si="109"/>
        <v>1684</v>
      </c>
      <c r="D1187" t="s">
        <v>25</v>
      </c>
      <c r="E1187" t="str">
        <f>D1186</f>
        <v>Watty</v>
      </c>
      <c r="F1187">
        <v>2020</v>
      </c>
      <c r="G1187">
        <v>13</v>
      </c>
      <c r="H1187">
        <v>1.2</v>
      </c>
      <c r="I1187" s="14">
        <v>72</v>
      </c>
      <c r="J1187">
        <f>I1187-I1186</f>
        <v>-14</v>
      </c>
      <c r="K1187" t="str">
        <f t="shared" si="113"/>
        <v>L</v>
      </c>
      <c r="L1187" t="str">
        <f t="shared" si="110"/>
        <v>BR</v>
      </c>
      <c r="M1187" t="str">
        <f>VLOOKUP(L1187,References!$A$2:$B$16,2,FALSE)</f>
        <v>AKCOVA</v>
      </c>
      <c r="N1187" s="19" t="str">
        <f>IF(M1187=M1186,"N","Y")</f>
        <v>N</v>
      </c>
      <c r="O1187">
        <f>SUM(I1186:I1187)</f>
        <v>158</v>
      </c>
      <c r="P1187">
        <f t="shared" si="112"/>
        <v>86</v>
      </c>
    </row>
    <row r="1188" spans="1:16" hidden="1" x14ac:dyDescent="0.3">
      <c r="A1188" t="str">
        <f t="shared" si="111"/>
        <v>2020Mark13</v>
      </c>
      <c r="B1188">
        <f t="shared" si="108"/>
        <v>1884</v>
      </c>
      <c r="C1188">
        <f t="shared" si="109"/>
        <v>1282</v>
      </c>
      <c r="D1188" t="s">
        <v>22</v>
      </c>
      <c r="E1188" t="str">
        <f>D1189</f>
        <v>Abby</v>
      </c>
      <c r="F1188">
        <v>2020</v>
      </c>
      <c r="G1188">
        <v>13</v>
      </c>
      <c r="H1188">
        <v>2.1</v>
      </c>
      <c r="I1188" s="14">
        <v>83</v>
      </c>
      <c r="J1188">
        <f>I1188-I1189</f>
        <v>-39</v>
      </c>
      <c r="K1188" t="str">
        <f t="shared" si="113"/>
        <v>L</v>
      </c>
      <c r="L1188" t="str">
        <f t="shared" si="110"/>
        <v>Mark</v>
      </c>
      <c r="M1188" t="str">
        <f>VLOOKUP(L1188,References!$A$2:$B$16,2,FALSE)</f>
        <v>AKCOVA</v>
      </c>
      <c r="N1188" s="19" t="str">
        <f>IF(M1188=M1189,"N","Y")</f>
        <v>N</v>
      </c>
      <c r="O1188">
        <f>SUM(I1188:I1189)</f>
        <v>205</v>
      </c>
      <c r="P1188">
        <f t="shared" si="112"/>
        <v>122</v>
      </c>
    </row>
    <row r="1189" spans="1:16" hidden="1" x14ac:dyDescent="0.3">
      <c r="A1189" t="str">
        <f t="shared" si="111"/>
        <v>2020Abby13</v>
      </c>
      <c r="B1189">
        <f t="shared" si="108"/>
        <v>199</v>
      </c>
      <c r="C1189">
        <f t="shared" si="109"/>
        <v>197</v>
      </c>
      <c r="D1189" t="s">
        <v>27</v>
      </c>
      <c r="E1189" t="str">
        <f>D1188</f>
        <v>Mark</v>
      </c>
      <c r="F1189">
        <v>2020</v>
      </c>
      <c r="G1189">
        <v>13</v>
      </c>
      <c r="H1189">
        <v>2.2000000000000002</v>
      </c>
      <c r="I1189" s="14">
        <v>122</v>
      </c>
      <c r="J1189">
        <f>I1189-I1188</f>
        <v>39</v>
      </c>
      <c r="K1189" t="str">
        <f t="shared" si="113"/>
        <v>W</v>
      </c>
      <c r="L1189" t="str">
        <f t="shared" si="110"/>
        <v>Abby</v>
      </c>
      <c r="M1189" t="str">
        <f>VLOOKUP(L1189,References!$A$2:$B$16,2,FALSE)</f>
        <v>AKCOVA</v>
      </c>
      <c r="N1189" s="19" t="str">
        <f>IF(M1189=M1188,"N","Y")</f>
        <v>N</v>
      </c>
      <c r="O1189">
        <f>SUM(I1188:I1189)</f>
        <v>205</v>
      </c>
      <c r="P1189">
        <f t="shared" si="112"/>
        <v>83</v>
      </c>
    </row>
    <row r="1190" spans="1:16" hidden="1" x14ac:dyDescent="0.3">
      <c r="A1190" t="str">
        <f t="shared" si="111"/>
        <v>2020Charles13</v>
      </c>
      <c r="B1190">
        <f t="shared" si="108"/>
        <v>1409</v>
      </c>
      <c r="C1190">
        <f t="shared" si="109"/>
        <v>857</v>
      </c>
      <c r="D1190" t="s">
        <v>48</v>
      </c>
      <c r="E1190" t="str">
        <f>D1191</f>
        <v>Michael</v>
      </c>
      <c r="F1190">
        <v>2020</v>
      </c>
      <c r="G1190">
        <v>13</v>
      </c>
      <c r="H1190">
        <v>3.1</v>
      </c>
      <c r="I1190" s="14">
        <v>95</v>
      </c>
      <c r="J1190">
        <f>I1190-I1191</f>
        <v>-14</v>
      </c>
      <c r="K1190" t="str">
        <f t="shared" si="113"/>
        <v>L</v>
      </c>
      <c r="L1190" t="str">
        <f t="shared" si="110"/>
        <v>Charles</v>
      </c>
      <c r="M1190" t="str">
        <f>VLOOKUP(L1190,References!$A$2:$B$16,2,FALSE)</f>
        <v>AKCOVA</v>
      </c>
      <c r="N1190" s="19" t="str">
        <f>IF(M1190=M1191,"N","Y")</f>
        <v>N</v>
      </c>
      <c r="O1190">
        <f>SUM(I1190:I1191)</f>
        <v>204</v>
      </c>
      <c r="P1190">
        <f t="shared" si="112"/>
        <v>109</v>
      </c>
    </row>
    <row r="1191" spans="1:16" hidden="1" x14ac:dyDescent="0.3">
      <c r="A1191" t="str">
        <f t="shared" si="111"/>
        <v>2020Michael13</v>
      </c>
      <c r="B1191">
        <f t="shared" si="108"/>
        <v>660</v>
      </c>
      <c r="C1191">
        <f t="shared" si="109"/>
        <v>435</v>
      </c>
      <c r="D1191" t="s">
        <v>23</v>
      </c>
      <c r="E1191" t="str">
        <f>D1190</f>
        <v>Charles</v>
      </c>
      <c r="F1191">
        <v>2020</v>
      </c>
      <c r="G1191">
        <v>13</v>
      </c>
      <c r="H1191">
        <v>3.2</v>
      </c>
      <c r="I1191" s="14">
        <v>109</v>
      </c>
      <c r="J1191">
        <f>I1191-I1190</f>
        <v>14</v>
      </c>
      <c r="K1191" t="str">
        <f t="shared" si="113"/>
        <v>W</v>
      </c>
      <c r="L1191" t="str">
        <f t="shared" si="110"/>
        <v>Michael</v>
      </c>
      <c r="M1191" t="str">
        <f>VLOOKUP(L1191,References!$A$2:$B$16,2,FALSE)</f>
        <v>AKCOVA</v>
      </c>
      <c r="N1191" s="19" t="str">
        <f>IF(M1191=M1190,"N","Y")</f>
        <v>N</v>
      </c>
      <c r="O1191">
        <f>SUM(I1190:I1191)</f>
        <v>204</v>
      </c>
      <c r="P1191">
        <f t="shared" si="112"/>
        <v>95</v>
      </c>
    </row>
    <row r="1192" spans="1:16" hidden="1" x14ac:dyDescent="0.3">
      <c r="A1192" t="str">
        <f t="shared" si="111"/>
        <v>2020Brian13</v>
      </c>
      <c r="B1192">
        <f t="shared" si="108"/>
        <v>977</v>
      </c>
      <c r="C1192">
        <f t="shared" si="109"/>
        <v>1951</v>
      </c>
      <c r="D1192" t="s">
        <v>26</v>
      </c>
      <c r="E1192" t="str">
        <f>D1193</f>
        <v>Brent</v>
      </c>
      <c r="F1192">
        <v>2020</v>
      </c>
      <c r="G1192">
        <v>13</v>
      </c>
      <c r="H1192">
        <v>4.0999999999999996</v>
      </c>
      <c r="I1192" s="14">
        <v>59</v>
      </c>
      <c r="J1192">
        <f>I1192-I1193</f>
        <v>2</v>
      </c>
      <c r="K1192" t="str">
        <f t="shared" si="113"/>
        <v>W</v>
      </c>
      <c r="L1192" t="str">
        <f t="shared" si="110"/>
        <v>Brian</v>
      </c>
      <c r="M1192" t="str">
        <f>VLOOKUP(L1192,References!$A$2:$B$16,2,FALSE)</f>
        <v>TEXAROK</v>
      </c>
      <c r="N1192" s="19" t="str">
        <f>IF(M1192=M1193,"N","Y")</f>
        <v>N</v>
      </c>
      <c r="O1192">
        <f>SUM(I1192:I1193)</f>
        <v>116</v>
      </c>
      <c r="P1192">
        <f t="shared" si="112"/>
        <v>57</v>
      </c>
    </row>
    <row r="1193" spans="1:16" hidden="1" x14ac:dyDescent="0.3">
      <c r="A1193" t="str">
        <f t="shared" si="111"/>
        <v>2020Brent13</v>
      </c>
      <c r="B1193">
        <f t="shared" si="108"/>
        <v>1090</v>
      </c>
      <c r="C1193">
        <f t="shared" si="109"/>
        <v>1988</v>
      </c>
      <c r="D1193" t="s">
        <v>47</v>
      </c>
      <c r="E1193" t="str">
        <f>D1192</f>
        <v>Brian</v>
      </c>
      <c r="F1193">
        <v>2020</v>
      </c>
      <c r="G1193">
        <v>13</v>
      </c>
      <c r="H1193">
        <v>4.2</v>
      </c>
      <c r="I1193" s="14">
        <v>57</v>
      </c>
      <c r="J1193">
        <f>I1193-I1192</f>
        <v>-2</v>
      </c>
      <c r="K1193" t="str">
        <f t="shared" si="113"/>
        <v>L</v>
      </c>
      <c r="L1193" t="str">
        <f t="shared" si="110"/>
        <v>Brent</v>
      </c>
      <c r="M1193" t="str">
        <f>VLOOKUP(L1193,References!$A$2:$B$16,2,FALSE)</f>
        <v>TEXAROK</v>
      </c>
      <c r="N1193" s="19" t="str">
        <f>IF(M1193=M1192,"N","Y")</f>
        <v>N</v>
      </c>
      <c r="O1193">
        <f>SUM(I1192:I1193)</f>
        <v>116</v>
      </c>
      <c r="P1193">
        <f t="shared" si="112"/>
        <v>59</v>
      </c>
    </row>
    <row r="1194" spans="1:16" hidden="1" x14ac:dyDescent="0.3">
      <c r="A1194" t="str">
        <f t="shared" si="111"/>
        <v>2020Russell13</v>
      </c>
      <c r="B1194">
        <f t="shared" si="108"/>
        <v>450</v>
      </c>
      <c r="C1194">
        <f t="shared" si="109"/>
        <v>173</v>
      </c>
      <c r="D1194" t="s">
        <v>28</v>
      </c>
      <c r="E1194" t="str">
        <f>D1195</f>
        <v>David</v>
      </c>
      <c r="F1194">
        <v>2020</v>
      </c>
      <c r="G1194">
        <v>13</v>
      </c>
      <c r="H1194">
        <v>5.0999999999999996</v>
      </c>
      <c r="I1194" s="14">
        <v>124</v>
      </c>
      <c r="J1194">
        <f>I1194-I1195</f>
        <v>23</v>
      </c>
      <c r="K1194" t="str">
        <f t="shared" si="113"/>
        <v>W</v>
      </c>
      <c r="L1194" t="str">
        <f t="shared" si="110"/>
        <v>Russell</v>
      </c>
      <c r="M1194" t="str">
        <f>VLOOKUP(L1194,References!$A$2:$B$16,2,FALSE)</f>
        <v>TEXAROK</v>
      </c>
      <c r="N1194" s="19" t="str">
        <f>IF(M1194=M1195,"N","Y")</f>
        <v>N</v>
      </c>
      <c r="O1194">
        <f>SUM(I1194:I1195)</f>
        <v>225</v>
      </c>
      <c r="P1194">
        <f t="shared" si="112"/>
        <v>101</v>
      </c>
    </row>
    <row r="1195" spans="1:16" hidden="1" x14ac:dyDescent="0.3">
      <c r="A1195" t="str">
        <f t="shared" si="111"/>
        <v>2020David13</v>
      </c>
      <c r="B1195">
        <f t="shared" si="108"/>
        <v>1625</v>
      </c>
      <c r="C1195">
        <f t="shared" si="109"/>
        <v>652</v>
      </c>
      <c r="D1195" t="s">
        <v>29</v>
      </c>
      <c r="E1195" t="str">
        <f>D1194</f>
        <v>Russell</v>
      </c>
      <c r="F1195">
        <v>2020</v>
      </c>
      <c r="G1195">
        <v>13</v>
      </c>
      <c r="H1195">
        <v>5.2</v>
      </c>
      <c r="I1195" s="14">
        <v>101</v>
      </c>
      <c r="J1195">
        <f>I1195-I1194</f>
        <v>-23</v>
      </c>
      <c r="K1195" t="str">
        <f t="shared" si="113"/>
        <v>L</v>
      </c>
      <c r="L1195" t="str">
        <f t="shared" si="110"/>
        <v>David</v>
      </c>
      <c r="M1195" t="str">
        <f>VLOOKUP(L1195,References!$A$2:$B$16,2,FALSE)</f>
        <v>TEXAROK</v>
      </c>
      <c r="N1195" s="19" t="str">
        <f>IF(M1195=M1194,"N","Y")</f>
        <v>N</v>
      </c>
      <c r="O1195">
        <f>SUM(I1194:I1195)</f>
        <v>225</v>
      </c>
      <c r="P1195">
        <f t="shared" si="112"/>
        <v>124</v>
      </c>
    </row>
    <row r="1196" spans="1:16" hidden="1" x14ac:dyDescent="0.3">
      <c r="A1196" t="str">
        <f t="shared" si="111"/>
        <v>2020Emily13</v>
      </c>
      <c r="B1196">
        <f t="shared" si="108"/>
        <v>803</v>
      </c>
      <c r="C1196">
        <f t="shared" si="109"/>
        <v>1793</v>
      </c>
      <c r="D1196" t="s">
        <v>43</v>
      </c>
      <c r="E1196" t="str">
        <f>D1197</f>
        <v>Matt</v>
      </c>
      <c r="F1196">
        <v>2020</v>
      </c>
      <c r="G1196">
        <v>13</v>
      </c>
      <c r="H1196">
        <v>6.1</v>
      </c>
      <c r="I1196" s="14">
        <v>68</v>
      </c>
      <c r="J1196">
        <f>I1196-I1197</f>
        <v>8</v>
      </c>
      <c r="K1196" t="str">
        <f t="shared" si="113"/>
        <v>W</v>
      </c>
      <c r="L1196" t="str">
        <f t="shared" si="110"/>
        <v>Emily</v>
      </c>
      <c r="M1196" t="str">
        <f>VLOOKUP(L1196,References!$A$2:$B$16,2,FALSE)</f>
        <v>TEXAROK</v>
      </c>
      <c r="N1196" s="19" t="str">
        <f>IF(M1196=M1197,"N","Y")</f>
        <v>N</v>
      </c>
      <c r="O1196">
        <f>SUM(I1196:I1197)</f>
        <v>128</v>
      </c>
      <c r="P1196">
        <f t="shared" si="112"/>
        <v>60</v>
      </c>
    </row>
    <row r="1197" spans="1:16" hidden="1" x14ac:dyDescent="0.3">
      <c r="A1197" t="str">
        <f t="shared" si="111"/>
        <v>2020Matt13</v>
      </c>
      <c r="B1197">
        <f t="shared" si="108"/>
        <v>1258</v>
      </c>
      <c r="C1197">
        <f t="shared" si="109"/>
        <v>1936</v>
      </c>
      <c r="D1197" t="s">
        <v>30</v>
      </c>
      <c r="E1197" t="str">
        <f>D1196</f>
        <v>Emily</v>
      </c>
      <c r="F1197">
        <v>2020</v>
      </c>
      <c r="G1197">
        <v>13</v>
      </c>
      <c r="H1197">
        <v>6.2</v>
      </c>
      <c r="I1197" s="14">
        <v>60</v>
      </c>
      <c r="J1197">
        <f>I1197-I1196</f>
        <v>-8</v>
      </c>
      <c r="K1197" t="str">
        <f t="shared" si="113"/>
        <v>L</v>
      </c>
      <c r="L1197" t="str">
        <f t="shared" si="110"/>
        <v>Matt</v>
      </c>
      <c r="M1197" t="str">
        <f>VLOOKUP(L1197,References!$A$2:$B$16,2,FALSE)</f>
        <v>TEXAROK</v>
      </c>
      <c r="N1197" s="19" t="str">
        <f>IF(M1197=M1196,"N","Y")</f>
        <v>N</v>
      </c>
      <c r="O1197">
        <f>SUM(I1196:I1197)</f>
        <v>128</v>
      </c>
      <c r="P1197">
        <f t="shared" si="112"/>
        <v>68</v>
      </c>
    </row>
    <row r="1198" spans="1:16" hidden="1" x14ac:dyDescent="0.3">
      <c r="A1198" t="str">
        <f t="shared" si="111"/>
        <v>2021Watty1</v>
      </c>
      <c r="B1198">
        <f t="shared" si="108"/>
        <v>1810</v>
      </c>
      <c r="C1198">
        <f t="shared" si="109"/>
        <v>1684</v>
      </c>
      <c r="D1198" t="s">
        <v>24</v>
      </c>
      <c r="E1198" t="str">
        <f>D1199</f>
        <v>Russell</v>
      </c>
      <c r="F1198">
        <v>2021</v>
      </c>
      <c r="G1198">
        <v>1</v>
      </c>
      <c r="H1198">
        <v>1.1000000000000001</v>
      </c>
      <c r="I1198">
        <v>72</v>
      </c>
      <c r="J1198">
        <f>I1198-I1199</f>
        <v>-33</v>
      </c>
      <c r="K1198" t="str">
        <f t="shared" si="113"/>
        <v>L</v>
      </c>
      <c r="L1198" t="str">
        <f t="shared" si="110"/>
        <v>Watty</v>
      </c>
      <c r="M1198" t="str">
        <f>VLOOKUP(L1198,References!$A$2:$B$16,2,FALSE)</f>
        <v>AKCOVA</v>
      </c>
      <c r="N1198" s="19" t="str">
        <f>IF(M1198=M1199,"N","Y")</f>
        <v>Y</v>
      </c>
      <c r="O1198">
        <f>SUM(I1198:I1199)</f>
        <v>177</v>
      </c>
      <c r="P1198">
        <f t="shared" si="112"/>
        <v>105</v>
      </c>
    </row>
    <row r="1199" spans="1:16" hidden="1" x14ac:dyDescent="0.3">
      <c r="A1199" t="str">
        <f t="shared" si="111"/>
        <v>2021Russell1</v>
      </c>
      <c r="B1199">
        <f t="shared" si="108"/>
        <v>270</v>
      </c>
      <c r="C1199">
        <f t="shared" si="109"/>
        <v>540</v>
      </c>
      <c r="D1199" t="s">
        <v>28</v>
      </c>
      <c r="E1199" t="str">
        <f>D1198</f>
        <v>Watty</v>
      </c>
      <c r="F1199">
        <v>2021</v>
      </c>
      <c r="G1199">
        <v>1</v>
      </c>
      <c r="H1199">
        <v>1.2</v>
      </c>
      <c r="I1199">
        <v>105</v>
      </c>
      <c r="J1199">
        <f>I1199-I1198</f>
        <v>33</v>
      </c>
      <c r="K1199" t="str">
        <f t="shared" si="113"/>
        <v>W</v>
      </c>
      <c r="L1199" t="str">
        <f t="shared" si="110"/>
        <v>Russell</v>
      </c>
      <c r="M1199" t="str">
        <f>VLOOKUP(L1199,References!$A$2:$B$16,2,FALSE)</f>
        <v>TEXAROK</v>
      </c>
      <c r="N1199" s="19" t="str">
        <f>IF(M1199=M1198,"N","Y")</f>
        <v>Y</v>
      </c>
      <c r="O1199">
        <f>SUM(I1198:I1199)</f>
        <v>177</v>
      </c>
      <c r="P1199">
        <f t="shared" si="112"/>
        <v>72</v>
      </c>
    </row>
    <row r="1200" spans="1:16" hidden="1" x14ac:dyDescent="0.3">
      <c r="A1200" t="str">
        <f t="shared" si="111"/>
        <v>2021Michael1</v>
      </c>
      <c r="B1200">
        <f t="shared" si="108"/>
        <v>1258</v>
      </c>
      <c r="C1200">
        <f t="shared" si="109"/>
        <v>777</v>
      </c>
      <c r="D1200" t="s">
        <v>23</v>
      </c>
      <c r="E1200" t="str">
        <f>D1201</f>
        <v>Matt</v>
      </c>
      <c r="F1200">
        <v>2021</v>
      </c>
      <c r="G1200">
        <v>1</v>
      </c>
      <c r="H1200">
        <v>2.1</v>
      </c>
      <c r="I1200">
        <v>97</v>
      </c>
      <c r="J1200">
        <f>I1200-I1201</f>
        <v>-8</v>
      </c>
      <c r="K1200" t="str">
        <f t="shared" si="113"/>
        <v>L</v>
      </c>
      <c r="L1200" t="str">
        <f t="shared" si="110"/>
        <v>Michael</v>
      </c>
      <c r="M1200" t="str">
        <f>VLOOKUP(L1200,References!$A$2:$B$16,2,FALSE)</f>
        <v>AKCOVA</v>
      </c>
      <c r="N1200" s="19" t="str">
        <f>IF(M1200=M1201,"N","Y")</f>
        <v>Y</v>
      </c>
      <c r="O1200">
        <f>SUM(I1200:I1201)</f>
        <v>202</v>
      </c>
      <c r="P1200">
        <f t="shared" si="112"/>
        <v>105</v>
      </c>
    </row>
    <row r="1201" spans="1:16" hidden="1" x14ac:dyDescent="0.3">
      <c r="A1201" t="str">
        <f t="shared" si="111"/>
        <v>2021Matt1</v>
      </c>
      <c r="B1201">
        <f t="shared" si="108"/>
        <v>803</v>
      </c>
      <c r="C1201">
        <f t="shared" si="109"/>
        <v>540</v>
      </c>
      <c r="D1201" t="s">
        <v>30</v>
      </c>
      <c r="E1201" t="str">
        <f>D1200</f>
        <v>Michael</v>
      </c>
      <c r="F1201">
        <v>2021</v>
      </c>
      <c r="G1201">
        <v>1</v>
      </c>
      <c r="H1201">
        <v>2.2000000000000002</v>
      </c>
      <c r="I1201">
        <v>105</v>
      </c>
      <c r="J1201">
        <f>I1201-I1200</f>
        <v>8</v>
      </c>
      <c r="K1201" t="str">
        <f t="shared" si="113"/>
        <v>W</v>
      </c>
      <c r="L1201" t="str">
        <f t="shared" si="110"/>
        <v>Matt</v>
      </c>
      <c r="M1201" t="str">
        <f>VLOOKUP(L1201,References!$A$2:$B$16,2,FALSE)</f>
        <v>TEXAROK</v>
      </c>
      <c r="N1201" s="19" t="str">
        <f>IF(M1201=M1200,"N","Y")</f>
        <v>Y</v>
      </c>
      <c r="O1201">
        <f>SUM(I1200:I1201)</f>
        <v>202</v>
      </c>
      <c r="P1201">
        <f t="shared" si="112"/>
        <v>97</v>
      </c>
    </row>
    <row r="1202" spans="1:16" hidden="1" x14ac:dyDescent="0.3">
      <c r="A1202" t="str">
        <f t="shared" si="111"/>
        <v>2021BR1</v>
      </c>
      <c r="B1202">
        <f t="shared" si="108"/>
        <v>284</v>
      </c>
      <c r="C1202">
        <f t="shared" si="109"/>
        <v>777</v>
      </c>
      <c r="D1202" t="s">
        <v>25</v>
      </c>
      <c r="E1202" t="str">
        <f>D1203</f>
        <v>Emily</v>
      </c>
      <c r="F1202">
        <v>2021</v>
      </c>
      <c r="G1202">
        <v>1</v>
      </c>
      <c r="H1202">
        <v>3.1</v>
      </c>
      <c r="I1202">
        <v>97</v>
      </c>
      <c r="J1202">
        <f>I1202-I1203</f>
        <v>32</v>
      </c>
      <c r="K1202" t="str">
        <f t="shared" si="113"/>
        <v>W</v>
      </c>
      <c r="L1202" t="str">
        <f t="shared" si="110"/>
        <v>BR</v>
      </c>
      <c r="M1202" t="str">
        <f>VLOOKUP(L1202,References!$A$2:$B$16,2,FALSE)</f>
        <v>AKCOVA</v>
      </c>
      <c r="N1202" s="19" t="str">
        <f>IF(M1202=M1203,"N","Y")</f>
        <v>Y</v>
      </c>
      <c r="O1202">
        <f>SUM(I1202:I1203)</f>
        <v>162</v>
      </c>
      <c r="P1202">
        <f t="shared" si="112"/>
        <v>65</v>
      </c>
    </row>
    <row r="1203" spans="1:16" hidden="1" x14ac:dyDescent="0.3">
      <c r="A1203" t="str">
        <f t="shared" si="111"/>
        <v>2021Emily1</v>
      </c>
      <c r="B1203">
        <f t="shared" si="108"/>
        <v>1797</v>
      </c>
      <c r="C1203">
        <f t="shared" si="109"/>
        <v>1853</v>
      </c>
      <c r="D1203" t="s">
        <v>43</v>
      </c>
      <c r="E1203" t="str">
        <f>D1202</f>
        <v>BR</v>
      </c>
      <c r="F1203">
        <v>2021</v>
      </c>
      <c r="G1203">
        <v>1</v>
      </c>
      <c r="H1203">
        <v>3.2</v>
      </c>
      <c r="I1203">
        <v>65</v>
      </c>
      <c r="J1203">
        <f>I1203-I1202</f>
        <v>-32</v>
      </c>
      <c r="K1203" t="str">
        <f t="shared" si="113"/>
        <v>L</v>
      </c>
      <c r="L1203" t="str">
        <f t="shared" si="110"/>
        <v>Emily</v>
      </c>
      <c r="M1203" t="str">
        <f>VLOOKUP(L1203,References!$A$2:$B$16,2,FALSE)</f>
        <v>TEXAROK</v>
      </c>
      <c r="N1203" s="19" t="str">
        <f>IF(M1203=M1202,"N","Y")</f>
        <v>Y</v>
      </c>
      <c r="O1203">
        <f>SUM(I1202:I1203)</f>
        <v>162</v>
      </c>
      <c r="P1203">
        <f t="shared" si="112"/>
        <v>97</v>
      </c>
    </row>
    <row r="1204" spans="1:16" hidden="1" x14ac:dyDescent="0.3">
      <c r="A1204" t="str">
        <f t="shared" si="111"/>
        <v>2021Mark1</v>
      </c>
      <c r="B1204">
        <f t="shared" si="108"/>
        <v>1978</v>
      </c>
      <c r="C1204">
        <f t="shared" si="109"/>
        <v>1100</v>
      </c>
      <c r="D1204" t="s">
        <v>22</v>
      </c>
      <c r="E1204" t="str">
        <f>D1205</f>
        <v>Arnold</v>
      </c>
      <c r="F1204">
        <v>2021</v>
      </c>
      <c r="G1204">
        <v>1</v>
      </c>
      <c r="H1204">
        <v>4.0999999999999996</v>
      </c>
      <c r="I1204">
        <v>88</v>
      </c>
      <c r="J1204">
        <f>I1204-I1205</f>
        <v>-50</v>
      </c>
      <c r="K1204" t="str">
        <f t="shared" si="113"/>
        <v>L</v>
      </c>
      <c r="L1204" t="str">
        <f t="shared" si="110"/>
        <v>Mark</v>
      </c>
      <c r="M1204" t="str">
        <f>VLOOKUP(L1204,References!$A$2:$B$16,2,FALSE)</f>
        <v>AKCOVA</v>
      </c>
      <c r="N1204" s="19" t="str">
        <f>IF(M1204=M1205,"N","Y")</f>
        <v>N</v>
      </c>
      <c r="O1204">
        <f>SUM(I1204:I1205)</f>
        <v>226</v>
      </c>
      <c r="P1204">
        <f t="shared" si="112"/>
        <v>138</v>
      </c>
    </row>
    <row r="1205" spans="1:16" hidden="1" x14ac:dyDescent="0.3">
      <c r="A1205" t="str">
        <f t="shared" si="111"/>
        <v>2021Arnold1</v>
      </c>
      <c r="B1205">
        <f t="shared" si="108"/>
        <v>107</v>
      </c>
      <c r="C1205">
        <f t="shared" si="109"/>
        <v>64</v>
      </c>
      <c r="D1205" t="s">
        <v>227</v>
      </c>
      <c r="E1205" t="str">
        <f>D1204</f>
        <v>Mark</v>
      </c>
      <c r="F1205">
        <v>2021</v>
      </c>
      <c r="G1205">
        <v>1</v>
      </c>
      <c r="H1205">
        <v>4.2</v>
      </c>
      <c r="I1205">
        <v>138</v>
      </c>
      <c r="J1205">
        <f>I1205-I1204</f>
        <v>50</v>
      </c>
      <c r="K1205" t="str">
        <f t="shared" si="113"/>
        <v>W</v>
      </c>
      <c r="L1205" t="str">
        <f t="shared" si="110"/>
        <v>Arnold</v>
      </c>
      <c r="M1205" t="str">
        <f>VLOOKUP(L1205,References!$A$2:$B$16,2,FALSE)</f>
        <v>AKCOVA</v>
      </c>
      <c r="N1205" s="19" t="str">
        <f>IF(M1205=M1204,"N","Y")</f>
        <v>N</v>
      </c>
      <c r="O1205">
        <f>SUM(I1204:I1205)</f>
        <v>226</v>
      </c>
      <c r="P1205">
        <f t="shared" si="112"/>
        <v>88</v>
      </c>
    </row>
    <row r="1206" spans="1:16" hidden="1" x14ac:dyDescent="0.3">
      <c r="A1206" t="str">
        <f t="shared" si="111"/>
        <v>2021Brent1</v>
      </c>
      <c r="B1206">
        <f t="shared" si="108"/>
        <v>758</v>
      </c>
      <c r="C1206">
        <f t="shared" si="109"/>
        <v>893</v>
      </c>
      <c r="D1206" t="s">
        <v>47</v>
      </c>
      <c r="E1206" t="str">
        <f>D1207</f>
        <v>Brian</v>
      </c>
      <c r="F1206">
        <v>2021</v>
      </c>
      <c r="G1206">
        <v>1</v>
      </c>
      <c r="H1206">
        <v>5.0999999999999996</v>
      </c>
      <c r="I1206">
        <v>94</v>
      </c>
      <c r="J1206">
        <f>I1206-I1207</f>
        <v>10</v>
      </c>
      <c r="K1206" t="str">
        <f t="shared" si="113"/>
        <v>W</v>
      </c>
      <c r="L1206" t="str">
        <f t="shared" si="110"/>
        <v>Brent</v>
      </c>
      <c r="M1206" t="str">
        <f>VLOOKUP(L1206,References!$A$2:$B$16,2,FALSE)</f>
        <v>TEXAROK</v>
      </c>
      <c r="N1206" s="19" t="str">
        <f>IF(M1206=M1207,"N","Y")</f>
        <v>N</v>
      </c>
      <c r="O1206">
        <f>SUM(I1206:I1207)</f>
        <v>178</v>
      </c>
      <c r="P1206">
        <f t="shared" si="112"/>
        <v>84</v>
      </c>
    </row>
    <row r="1207" spans="1:16" hidden="1" x14ac:dyDescent="0.3">
      <c r="A1207" t="str">
        <f t="shared" si="111"/>
        <v>2021Brian1</v>
      </c>
      <c r="B1207">
        <f t="shared" si="108"/>
        <v>1312</v>
      </c>
      <c r="C1207">
        <f t="shared" si="109"/>
        <v>1241</v>
      </c>
      <c r="D1207" t="s">
        <v>26</v>
      </c>
      <c r="E1207" t="str">
        <f>D1206</f>
        <v>Brent</v>
      </c>
      <c r="F1207">
        <v>2021</v>
      </c>
      <c r="G1207">
        <v>1</v>
      </c>
      <c r="H1207">
        <v>5.2</v>
      </c>
      <c r="I1207">
        <v>84</v>
      </c>
      <c r="J1207">
        <f>I1207-I1206</f>
        <v>-10</v>
      </c>
      <c r="K1207" t="str">
        <f t="shared" si="113"/>
        <v>L</v>
      </c>
      <c r="L1207" t="str">
        <f t="shared" si="110"/>
        <v>Brian</v>
      </c>
      <c r="M1207" t="str">
        <f>VLOOKUP(L1207,References!$A$2:$B$16,2,FALSE)</f>
        <v>TEXAROK</v>
      </c>
      <c r="N1207" s="19" t="str">
        <f>IF(M1207=M1206,"N","Y")</f>
        <v>N</v>
      </c>
      <c r="O1207">
        <f>SUM(I1206:I1207)</f>
        <v>178</v>
      </c>
      <c r="P1207">
        <f t="shared" si="112"/>
        <v>94</v>
      </c>
    </row>
    <row r="1208" spans="1:16" hidden="1" x14ac:dyDescent="0.3">
      <c r="A1208" t="str">
        <f t="shared" si="111"/>
        <v>2021David1</v>
      </c>
      <c r="B1208">
        <f t="shared" si="108"/>
        <v>1291</v>
      </c>
      <c r="C1208">
        <f t="shared" si="109"/>
        <v>1318</v>
      </c>
      <c r="D1208" t="s">
        <v>29</v>
      </c>
      <c r="E1208" t="str">
        <f>D1209</f>
        <v>Charles</v>
      </c>
      <c r="F1208">
        <v>2021</v>
      </c>
      <c r="G1208">
        <v>1</v>
      </c>
      <c r="H1208">
        <v>6.1</v>
      </c>
      <c r="I1208">
        <v>82</v>
      </c>
      <c r="J1208">
        <f>I1208-I1209</f>
        <v>-9</v>
      </c>
      <c r="K1208" t="str">
        <f t="shared" si="113"/>
        <v>L</v>
      </c>
      <c r="L1208" t="str">
        <f t="shared" si="110"/>
        <v>David</v>
      </c>
      <c r="M1208" t="str">
        <f>VLOOKUP(L1208,References!$A$2:$B$16,2,FALSE)</f>
        <v>TEXAROK</v>
      </c>
      <c r="N1208" s="19" t="str">
        <f>IF(M1208=M1209,"N","Y")</f>
        <v>Y</v>
      </c>
      <c r="O1208">
        <f>SUM(I1208:I1209)</f>
        <v>173</v>
      </c>
      <c r="P1208">
        <f t="shared" si="112"/>
        <v>91</v>
      </c>
    </row>
    <row r="1209" spans="1:16" hidden="1" x14ac:dyDescent="0.3">
      <c r="A1209" t="str">
        <f t="shared" si="111"/>
        <v>2021Charles1</v>
      </c>
      <c r="B1209">
        <f t="shared" si="108"/>
        <v>782</v>
      </c>
      <c r="C1209">
        <f t="shared" si="109"/>
        <v>992</v>
      </c>
      <c r="D1209" t="s">
        <v>48</v>
      </c>
      <c r="E1209" t="str">
        <f>D1208</f>
        <v>David</v>
      </c>
      <c r="F1209">
        <v>2021</v>
      </c>
      <c r="G1209">
        <v>1</v>
      </c>
      <c r="H1209">
        <v>6.2</v>
      </c>
      <c r="I1209">
        <v>91</v>
      </c>
      <c r="J1209">
        <f>I1209-I1208</f>
        <v>9</v>
      </c>
      <c r="K1209" t="str">
        <f t="shared" si="113"/>
        <v>W</v>
      </c>
      <c r="L1209" t="str">
        <f t="shared" si="110"/>
        <v>Charles</v>
      </c>
      <c r="M1209" t="str">
        <f>VLOOKUP(L1209,References!$A$2:$B$16,2,FALSE)</f>
        <v>AKCOVA</v>
      </c>
      <c r="N1209" s="19" t="str">
        <f>IF(M1209=M1208,"N","Y")</f>
        <v>Y</v>
      </c>
      <c r="O1209">
        <f>SUM(I1208:I1209)</f>
        <v>173</v>
      </c>
      <c r="P1209">
        <f t="shared" si="112"/>
        <v>82</v>
      </c>
    </row>
    <row r="1210" spans="1:16" hidden="1" x14ac:dyDescent="0.3">
      <c r="A1210" t="str">
        <f t="shared" si="111"/>
        <v>2021Brian2</v>
      </c>
      <c r="B1210">
        <f t="shared" si="108"/>
        <v>2035</v>
      </c>
      <c r="C1210">
        <f t="shared" si="109"/>
        <v>1282</v>
      </c>
      <c r="D1210" t="s">
        <v>26</v>
      </c>
      <c r="E1210" t="str">
        <f>D1211</f>
        <v>Russell</v>
      </c>
      <c r="F1210">
        <v>2021</v>
      </c>
      <c r="G1210">
        <v>2</v>
      </c>
      <c r="H1210">
        <v>1.1000000000000001</v>
      </c>
      <c r="I1210">
        <v>83</v>
      </c>
      <c r="J1210">
        <f>I1210-I1211</f>
        <v>-60</v>
      </c>
      <c r="K1210" t="str">
        <f t="shared" si="113"/>
        <v>L</v>
      </c>
      <c r="L1210" t="str">
        <f t="shared" si="110"/>
        <v>Brian</v>
      </c>
      <c r="M1210" t="str">
        <f>VLOOKUP(L1210,References!$A$2:$B$16,2,FALSE)</f>
        <v>TEXAROK</v>
      </c>
      <c r="N1210" s="19" t="str">
        <f>IF(M1210=M1211,"N","Y")</f>
        <v>N</v>
      </c>
      <c r="O1210">
        <f>SUM(I1210:I1211)</f>
        <v>226</v>
      </c>
      <c r="P1210">
        <f t="shared" si="112"/>
        <v>143</v>
      </c>
    </row>
    <row r="1211" spans="1:16" hidden="1" x14ac:dyDescent="0.3">
      <c r="A1211" t="str">
        <f t="shared" si="111"/>
        <v>2021Russell2</v>
      </c>
      <c r="B1211">
        <f t="shared" si="108"/>
        <v>52</v>
      </c>
      <c r="C1211">
        <f t="shared" si="109"/>
        <v>46</v>
      </c>
      <c r="D1211" t="s">
        <v>28</v>
      </c>
      <c r="E1211" t="str">
        <f>D1210</f>
        <v>Brian</v>
      </c>
      <c r="F1211">
        <v>2021</v>
      </c>
      <c r="G1211">
        <v>2</v>
      </c>
      <c r="H1211">
        <v>1.2</v>
      </c>
      <c r="I1211">
        <v>143</v>
      </c>
      <c r="J1211">
        <f>I1211-I1210</f>
        <v>60</v>
      </c>
      <c r="K1211" t="str">
        <f t="shared" si="113"/>
        <v>W</v>
      </c>
      <c r="L1211" t="str">
        <f t="shared" si="110"/>
        <v>Russell</v>
      </c>
      <c r="M1211" t="str">
        <f>VLOOKUP(L1211,References!$A$2:$B$16,2,FALSE)</f>
        <v>TEXAROK</v>
      </c>
      <c r="N1211" s="19" t="str">
        <f>IF(M1211=M1210,"N","Y")</f>
        <v>N</v>
      </c>
      <c r="O1211">
        <f>SUM(I1210:I1211)</f>
        <v>226</v>
      </c>
      <c r="P1211">
        <f t="shared" si="112"/>
        <v>83</v>
      </c>
    </row>
    <row r="1212" spans="1:16" hidden="1" x14ac:dyDescent="0.3">
      <c r="A1212" t="str">
        <f t="shared" si="111"/>
        <v>2021Emily2</v>
      </c>
      <c r="B1212">
        <f t="shared" si="108"/>
        <v>1336</v>
      </c>
      <c r="C1212">
        <f t="shared" si="109"/>
        <v>777</v>
      </c>
      <c r="D1212" t="s">
        <v>43</v>
      </c>
      <c r="E1212" t="str">
        <f>D1213</f>
        <v>Matt</v>
      </c>
      <c r="F1212">
        <v>2021</v>
      </c>
      <c r="G1212">
        <v>2</v>
      </c>
      <c r="H1212">
        <v>2.1</v>
      </c>
      <c r="I1212">
        <v>97</v>
      </c>
      <c r="J1212">
        <f>I1212-I1213</f>
        <v>-11</v>
      </c>
      <c r="K1212" t="str">
        <f t="shared" si="113"/>
        <v>L</v>
      </c>
      <c r="L1212" t="str">
        <f t="shared" si="110"/>
        <v>Emily</v>
      </c>
      <c r="M1212" t="str">
        <f>VLOOKUP(L1212,References!$A$2:$B$16,2,FALSE)</f>
        <v>TEXAROK</v>
      </c>
      <c r="N1212" s="19" t="str">
        <f>IF(M1212=M1213,"N","Y")</f>
        <v>N</v>
      </c>
      <c r="O1212">
        <f>SUM(I1212:I1213)</f>
        <v>205</v>
      </c>
      <c r="P1212">
        <f t="shared" si="112"/>
        <v>108</v>
      </c>
    </row>
    <row r="1213" spans="1:16" hidden="1" x14ac:dyDescent="0.3">
      <c r="A1213" t="str">
        <f t="shared" si="111"/>
        <v>2021Matt2</v>
      </c>
      <c r="B1213">
        <f t="shared" si="108"/>
        <v>737</v>
      </c>
      <c r="C1213">
        <f t="shared" si="109"/>
        <v>462</v>
      </c>
      <c r="D1213" t="s">
        <v>30</v>
      </c>
      <c r="E1213" t="str">
        <f>D1212</f>
        <v>Emily</v>
      </c>
      <c r="F1213">
        <v>2021</v>
      </c>
      <c r="G1213">
        <v>2</v>
      </c>
      <c r="H1213">
        <v>2.2000000000000002</v>
      </c>
      <c r="I1213">
        <v>108</v>
      </c>
      <c r="J1213">
        <f>I1213-I1212</f>
        <v>11</v>
      </c>
      <c r="K1213" t="str">
        <f t="shared" si="113"/>
        <v>W</v>
      </c>
      <c r="L1213" t="str">
        <f t="shared" si="110"/>
        <v>Matt</v>
      </c>
      <c r="M1213" t="str">
        <f>VLOOKUP(L1213,References!$A$2:$B$16,2,FALSE)</f>
        <v>TEXAROK</v>
      </c>
      <c r="N1213" s="19" t="str">
        <f>IF(M1213=M1212,"N","Y")</f>
        <v>N</v>
      </c>
      <c r="O1213">
        <f>SUM(I1212:I1213)</f>
        <v>205</v>
      </c>
      <c r="P1213">
        <f t="shared" si="112"/>
        <v>97</v>
      </c>
    </row>
    <row r="1214" spans="1:16" hidden="1" x14ac:dyDescent="0.3">
      <c r="A1214" t="str">
        <f t="shared" si="111"/>
        <v>2021David2</v>
      </c>
      <c r="B1214">
        <f t="shared" si="108"/>
        <v>1357</v>
      </c>
      <c r="C1214">
        <f t="shared" si="109"/>
        <v>1738</v>
      </c>
      <c r="D1214" t="s">
        <v>29</v>
      </c>
      <c r="E1214" t="str">
        <f>D1215</f>
        <v>Brent</v>
      </c>
      <c r="F1214">
        <v>2021</v>
      </c>
      <c r="G1214">
        <v>2</v>
      </c>
      <c r="H1214">
        <v>3.1</v>
      </c>
      <c r="I1214">
        <v>70</v>
      </c>
      <c r="J1214">
        <f>I1214-I1215</f>
        <v>-12</v>
      </c>
      <c r="K1214" t="str">
        <f t="shared" si="113"/>
        <v>L</v>
      </c>
      <c r="L1214" t="str">
        <f t="shared" si="110"/>
        <v>David</v>
      </c>
      <c r="M1214" t="str">
        <f>VLOOKUP(L1214,References!$A$2:$B$16,2,FALSE)</f>
        <v>TEXAROK</v>
      </c>
      <c r="N1214" s="19" t="str">
        <f>IF(M1214=M1215,"N","Y")</f>
        <v>N</v>
      </c>
      <c r="O1214">
        <f>SUM(I1214:I1215)</f>
        <v>152</v>
      </c>
      <c r="P1214">
        <f t="shared" si="112"/>
        <v>82</v>
      </c>
    </row>
    <row r="1215" spans="1:16" hidden="1" x14ac:dyDescent="0.3">
      <c r="A1215" t="str">
        <f t="shared" si="111"/>
        <v>2021Brent2</v>
      </c>
      <c r="B1215">
        <f t="shared" si="108"/>
        <v>713</v>
      </c>
      <c r="C1215">
        <f t="shared" si="109"/>
        <v>1318</v>
      </c>
      <c r="D1215" t="s">
        <v>47</v>
      </c>
      <c r="E1215" t="str">
        <f>D1214</f>
        <v>David</v>
      </c>
      <c r="F1215">
        <v>2021</v>
      </c>
      <c r="G1215">
        <v>2</v>
      </c>
      <c r="H1215">
        <v>3.2</v>
      </c>
      <c r="I1215">
        <v>82</v>
      </c>
      <c r="J1215">
        <f>I1215-I1214</f>
        <v>12</v>
      </c>
      <c r="K1215" t="str">
        <f t="shared" si="113"/>
        <v>W</v>
      </c>
      <c r="L1215" t="str">
        <f t="shared" si="110"/>
        <v>Brent</v>
      </c>
      <c r="M1215" t="str">
        <f>VLOOKUP(L1215,References!$A$2:$B$16,2,FALSE)</f>
        <v>TEXAROK</v>
      </c>
      <c r="N1215" s="19" t="str">
        <f>IF(M1215=M1214,"N","Y")</f>
        <v>N</v>
      </c>
      <c r="O1215">
        <f>SUM(I1214:I1215)</f>
        <v>152</v>
      </c>
      <c r="P1215">
        <f t="shared" si="112"/>
        <v>70</v>
      </c>
    </row>
    <row r="1216" spans="1:16" hidden="1" x14ac:dyDescent="0.3">
      <c r="A1216" t="str">
        <f t="shared" si="111"/>
        <v>2021Michael2</v>
      </c>
      <c r="B1216">
        <f t="shared" si="108"/>
        <v>1090</v>
      </c>
      <c r="C1216">
        <f t="shared" si="109"/>
        <v>1815</v>
      </c>
      <c r="D1216" t="s">
        <v>23</v>
      </c>
      <c r="E1216" t="str">
        <f>D1217</f>
        <v>BR</v>
      </c>
      <c r="F1216">
        <v>2021</v>
      </c>
      <c r="G1216">
        <v>2</v>
      </c>
      <c r="H1216">
        <v>4.0999999999999996</v>
      </c>
      <c r="I1216">
        <v>67</v>
      </c>
      <c r="J1216">
        <f>I1216-I1217</f>
        <v>-2</v>
      </c>
      <c r="K1216" t="str">
        <f t="shared" si="113"/>
        <v>L</v>
      </c>
      <c r="L1216" t="str">
        <f t="shared" si="110"/>
        <v>Michael</v>
      </c>
      <c r="M1216" t="str">
        <f>VLOOKUP(L1216,References!$A$2:$B$16,2,FALSE)</f>
        <v>AKCOVA</v>
      </c>
      <c r="N1216" s="19" t="str">
        <f>IF(M1216=M1217,"N","Y")</f>
        <v>N</v>
      </c>
      <c r="O1216">
        <f>SUM(I1216:I1217)</f>
        <v>136</v>
      </c>
      <c r="P1216">
        <f t="shared" si="112"/>
        <v>69</v>
      </c>
    </row>
    <row r="1217" spans="1:16" hidden="1" x14ac:dyDescent="0.3">
      <c r="A1217" t="str">
        <f t="shared" si="111"/>
        <v>2021BR2</v>
      </c>
      <c r="B1217">
        <f t="shared" si="108"/>
        <v>977</v>
      </c>
      <c r="C1217">
        <f t="shared" si="109"/>
        <v>1767</v>
      </c>
      <c r="D1217" t="s">
        <v>25</v>
      </c>
      <c r="E1217" t="str">
        <f>D1216</f>
        <v>Michael</v>
      </c>
      <c r="F1217">
        <v>2021</v>
      </c>
      <c r="G1217">
        <v>2</v>
      </c>
      <c r="H1217">
        <v>4.2</v>
      </c>
      <c r="I1217">
        <v>69</v>
      </c>
      <c r="J1217">
        <f>I1217-I1216</f>
        <v>2</v>
      </c>
      <c r="K1217" t="str">
        <f t="shared" si="113"/>
        <v>W</v>
      </c>
      <c r="L1217" t="str">
        <f t="shared" si="110"/>
        <v>BR</v>
      </c>
      <c r="M1217" t="str">
        <f>VLOOKUP(L1217,References!$A$2:$B$16,2,FALSE)</f>
        <v>AKCOVA</v>
      </c>
      <c r="N1217" s="19" t="str">
        <f>IF(M1217=M1216,"N","Y")</f>
        <v>N</v>
      </c>
      <c r="O1217">
        <f>SUM(I1216:I1217)</f>
        <v>136</v>
      </c>
      <c r="P1217">
        <f t="shared" si="112"/>
        <v>67</v>
      </c>
    </row>
    <row r="1218" spans="1:16" hidden="1" x14ac:dyDescent="0.3">
      <c r="A1218" t="str">
        <f t="shared" si="111"/>
        <v>2021Watty2</v>
      </c>
      <c r="B1218">
        <f t="shared" ref="B1218:B1281" si="114">RANK(J1218,diff)</f>
        <v>297</v>
      </c>
      <c r="C1218">
        <f t="shared" ref="C1218:C1281" si="115">RANK(I1218,points)</f>
        <v>150</v>
      </c>
      <c r="D1218" t="s">
        <v>24</v>
      </c>
      <c r="E1218" t="str">
        <f>D1219</f>
        <v>Charles</v>
      </c>
      <c r="F1218">
        <v>2021</v>
      </c>
      <c r="G1218">
        <v>2</v>
      </c>
      <c r="H1218">
        <v>5.0999999999999996</v>
      </c>
      <c r="I1218">
        <v>126</v>
      </c>
      <c r="J1218">
        <f>I1218-I1219</f>
        <v>31</v>
      </c>
      <c r="K1218" t="str">
        <f t="shared" si="113"/>
        <v>W</v>
      </c>
      <c r="L1218" t="str">
        <f t="shared" ref="L1218:L1281" si="116">D1218</f>
        <v>Watty</v>
      </c>
      <c r="M1218" t="str">
        <f>VLOOKUP(L1218,References!$A$2:$B$16,2,FALSE)</f>
        <v>AKCOVA</v>
      </c>
      <c r="N1218" s="19" t="str">
        <f>IF(M1218=M1219,"N","Y")</f>
        <v>N</v>
      </c>
      <c r="O1218">
        <f>SUM(I1218:I1219)</f>
        <v>221</v>
      </c>
      <c r="P1218">
        <f t="shared" si="112"/>
        <v>95</v>
      </c>
    </row>
    <row r="1219" spans="1:16" hidden="1" x14ac:dyDescent="0.3">
      <c r="A1219" t="str">
        <f t="shared" ref="A1219:A1282" si="117">F1219&amp;D1219&amp;G1219</f>
        <v>2021Charles2</v>
      </c>
      <c r="B1219">
        <f t="shared" si="114"/>
        <v>1775</v>
      </c>
      <c r="C1219">
        <f t="shared" si="115"/>
        <v>857</v>
      </c>
      <c r="D1219" t="s">
        <v>48</v>
      </c>
      <c r="E1219" t="str">
        <f>D1218</f>
        <v>Watty</v>
      </c>
      <c r="F1219">
        <v>2021</v>
      </c>
      <c r="G1219">
        <v>2</v>
      </c>
      <c r="H1219">
        <v>5.2</v>
      </c>
      <c r="I1219">
        <v>95</v>
      </c>
      <c r="J1219">
        <f>I1219-I1218</f>
        <v>-31</v>
      </c>
      <c r="K1219" t="str">
        <f t="shared" si="113"/>
        <v>L</v>
      </c>
      <c r="L1219" t="str">
        <f t="shared" si="116"/>
        <v>Charles</v>
      </c>
      <c r="M1219" t="str">
        <f>VLOOKUP(L1219,References!$A$2:$B$16,2,FALSE)</f>
        <v>AKCOVA</v>
      </c>
      <c r="N1219" s="19" t="str">
        <f>IF(M1219=M1218,"N","Y")</f>
        <v>N</v>
      </c>
      <c r="O1219">
        <f>SUM(I1218:I1219)</f>
        <v>221</v>
      </c>
      <c r="P1219">
        <f t="shared" ref="P1219:P1282" si="118">I1219-J1219</f>
        <v>126</v>
      </c>
    </row>
    <row r="1220" spans="1:16" hidden="1" x14ac:dyDescent="0.3">
      <c r="A1220" t="str">
        <f t="shared" si="117"/>
        <v>2021Mark2</v>
      </c>
      <c r="B1220">
        <f t="shared" si="114"/>
        <v>1455</v>
      </c>
      <c r="C1220">
        <f t="shared" si="115"/>
        <v>893</v>
      </c>
      <c r="D1220" t="s">
        <v>22</v>
      </c>
      <c r="E1220" t="str">
        <f>D1221</f>
        <v>Arnold</v>
      </c>
      <c r="F1220">
        <v>2021</v>
      </c>
      <c r="G1220">
        <v>2</v>
      </c>
      <c r="H1220">
        <v>6.1</v>
      </c>
      <c r="I1220">
        <v>94</v>
      </c>
      <c r="J1220">
        <f>I1220-I1221</f>
        <v>-16</v>
      </c>
      <c r="K1220" t="str">
        <f t="shared" si="113"/>
        <v>L</v>
      </c>
      <c r="L1220" t="str">
        <f t="shared" si="116"/>
        <v>Mark</v>
      </c>
      <c r="M1220" t="str">
        <f>VLOOKUP(L1220,References!$A$2:$B$16,2,FALSE)</f>
        <v>AKCOVA</v>
      </c>
      <c r="N1220" s="19" t="str">
        <f>IF(M1220=M1221,"N","Y")</f>
        <v>N</v>
      </c>
      <c r="O1220">
        <f>SUM(I1220:I1221)</f>
        <v>204</v>
      </c>
      <c r="P1220">
        <f t="shared" si="118"/>
        <v>110</v>
      </c>
    </row>
    <row r="1221" spans="1:16" hidden="1" x14ac:dyDescent="0.3">
      <c r="A1221" t="str">
        <f t="shared" si="117"/>
        <v>2021Arnold2</v>
      </c>
      <c r="B1221">
        <f t="shared" si="114"/>
        <v>619</v>
      </c>
      <c r="C1221">
        <f t="shared" si="115"/>
        <v>412</v>
      </c>
      <c r="D1221" t="s">
        <v>227</v>
      </c>
      <c r="E1221" t="str">
        <f>D1220</f>
        <v>Mark</v>
      </c>
      <c r="F1221">
        <v>2021</v>
      </c>
      <c r="G1221">
        <v>2</v>
      </c>
      <c r="H1221">
        <v>6.2</v>
      </c>
      <c r="I1221">
        <v>110</v>
      </c>
      <c r="J1221">
        <f>I1221-I1220</f>
        <v>16</v>
      </c>
      <c r="K1221" t="str">
        <f t="shared" si="113"/>
        <v>W</v>
      </c>
      <c r="L1221" t="str">
        <f t="shared" si="116"/>
        <v>Arnold</v>
      </c>
      <c r="M1221" t="str">
        <f>VLOOKUP(L1221,References!$A$2:$B$16,2,FALSE)</f>
        <v>AKCOVA</v>
      </c>
      <c r="N1221" s="19" t="str">
        <f>IF(M1221=M1220,"N","Y")</f>
        <v>N</v>
      </c>
      <c r="O1221">
        <f>SUM(I1220:I1221)</f>
        <v>204</v>
      </c>
      <c r="P1221">
        <f t="shared" si="118"/>
        <v>94</v>
      </c>
    </row>
    <row r="1222" spans="1:16" hidden="1" x14ac:dyDescent="0.3">
      <c r="A1222" t="str">
        <f t="shared" si="117"/>
        <v>2021Emily3</v>
      </c>
      <c r="B1222">
        <f t="shared" si="114"/>
        <v>1258</v>
      </c>
      <c r="C1222">
        <f t="shared" si="115"/>
        <v>857</v>
      </c>
      <c r="D1222" t="s">
        <v>43</v>
      </c>
      <c r="E1222" t="str">
        <f>D1223</f>
        <v>Brian</v>
      </c>
      <c r="F1222">
        <v>2021</v>
      </c>
      <c r="G1222">
        <v>3</v>
      </c>
      <c r="H1222">
        <v>1.1000000000000001</v>
      </c>
      <c r="I1222">
        <v>95</v>
      </c>
      <c r="J1222">
        <f>I1222-I1223</f>
        <v>-8</v>
      </c>
      <c r="K1222" t="str">
        <f t="shared" ref="K1222:K1285" si="119">IF(J1222&gt;0,"W",IF(J1222&lt;0,"L","T"))</f>
        <v>L</v>
      </c>
      <c r="L1222" t="str">
        <f t="shared" si="116"/>
        <v>Emily</v>
      </c>
      <c r="M1222" t="str">
        <f>VLOOKUP(L1222,References!$A$2:$B$16,2,FALSE)</f>
        <v>TEXAROK</v>
      </c>
      <c r="N1222" s="19" t="str">
        <f>IF(M1222=M1223,"N","Y")</f>
        <v>N</v>
      </c>
      <c r="O1222">
        <f>SUM(I1222:I1223)</f>
        <v>198</v>
      </c>
      <c r="P1222">
        <f t="shared" si="118"/>
        <v>103</v>
      </c>
    </row>
    <row r="1223" spans="1:16" hidden="1" x14ac:dyDescent="0.3">
      <c r="A1223" t="str">
        <f t="shared" si="117"/>
        <v>2021Brian3</v>
      </c>
      <c r="B1223">
        <f t="shared" si="114"/>
        <v>803</v>
      </c>
      <c r="C1223">
        <f t="shared" si="115"/>
        <v>603</v>
      </c>
      <c r="D1223" t="s">
        <v>26</v>
      </c>
      <c r="E1223" t="str">
        <f>D1222</f>
        <v>Emily</v>
      </c>
      <c r="F1223">
        <v>2021</v>
      </c>
      <c r="G1223">
        <v>3</v>
      </c>
      <c r="H1223">
        <v>1.2</v>
      </c>
      <c r="I1223">
        <v>103</v>
      </c>
      <c r="J1223">
        <f>I1223-I1222</f>
        <v>8</v>
      </c>
      <c r="K1223" t="str">
        <f t="shared" si="119"/>
        <v>W</v>
      </c>
      <c r="L1223" t="str">
        <f t="shared" si="116"/>
        <v>Brian</v>
      </c>
      <c r="M1223" t="str">
        <f>VLOOKUP(L1223,References!$A$2:$B$16,2,FALSE)</f>
        <v>TEXAROK</v>
      </c>
      <c r="N1223" s="19" t="str">
        <f>IF(M1223=M1222,"N","Y")</f>
        <v>N</v>
      </c>
      <c r="O1223">
        <f>SUM(I1222:I1223)</f>
        <v>198</v>
      </c>
      <c r="P1223">
        <f t="shared" si="118"/>
        <v>95</v>
      </c>
    </row>
    <row r="1224" spans="1:16" hidden="1" x14ac:dyDescent="0.3">
      <c r="A1224" t="str">
        <f t="shared" si="117"/>
        <v>2021Russell3</v>
      </c>
      <c r="B1224">
        <f t="shared" si="114"/>
        <v>949</v>
      </c>
      <c r="C1224">
        <f t="shared" si="115"/>
        <v>1173</v>
      </c>
      <c r="D1224" t="s">
        <v>28</v>
      </c>
      <c r="E1224" t="str">
        <f>D1225</f>
        <v>David</v>
      </c>
      <c r="F1224">
        <v>2021</v>
      </c>
      <c r="G1224">
        <v>3</v>
      </c>
      <c r="H1224">
        <v>2.1</v>
      </c>
      <c r="I1224">
        <v>86</v>
      </c>
      <c r="J1224">
        <f>I1224-I1225</f>
        <v>3</v>
      </c>
      <c r="K1224" t="str">
        <f t="shared" si="119"/>
        <v>W</v>
      </c>
      <c r="L1224" t="str">
        <f t="shared" si="116"/>
        <v>Russell</v>
      </c>
      <c r="M1224" t="str">
        <f>VLOOKUP(L1224,References!$A$2:$B$16,2,FALSE)</f>
        <v>TEXAROK</v>
      </c>
      <c r="N1224" s="19" t="str">
        <f>IF(M1224=M1225,"N","Y")</f>
        <v>N</v>
      </c>
      <c r="O1224">
        <f>SUM(I1224:I1225)</f>
        <v>169</v>
      </c>
      <c r="P1224">
        <f t="shared" si="118"/>
        <v>83</v>
      </c>
    </row>
    <row r="1225" spans="1:16" hidden="1" x14ac:dyDescent="0.3">
      <c r="A1225" t="str">
        <f t="shared" si="117"/>
        <v>2021David3</v>
      </c>
      <c r="B1225">
        <f t="shared" si="114"/>
        <v>1117</v>
      </c>
      <c r="C1225">
        <f t="shared" si="115"/>
        <v>1282</v>
      </c>
      <c r="D1225" t="s">
        <v>29</v>
      </c>
      <c r="E1225" t="str">
        <f>D1224</f>
        <v>Russell</v>
      </c>
      <c r="F1225">
        <v>2021</v>
      </c>
      <c r="G1225">
        <v>3</v>
      </c>
      <c r="H1225">
        <v>2.2000000000000002</v>
      </c>
      <c r="I1225">
        <v>83</v>
      </c>
      <c r="J1225">
        <f>I1225-I1224</f>
        <v>-3</v>
      </c>
      <c r="K1225" t="str">
        <f t="shared" si="119"/>
        <v>L</v>
      </c>
      <c r="L1225" t="str">
        <f t="shared" si="116"/>
        <v>David</v>
      </c>
      <c r="M1225" t="str">
        <f>VLOOKUP(L1225,References!$A$2:$B$16,2,FALSE)</f>
        <v>TEXAROK</v>
      </c>
      <c r="N1225" s="19" t="str">
        <f>IF(M1225=M1224,"N","Y")</f>
        <v>N</v>
      </c>
      <c r="O1225">
        <f>SUM(I1224:I1225)</f>
        <v>169</v>
      </c>
      <c r="P1225">
        <f t="shared" si="118"/>
        <v>86</v>
      </c>
    </row>
    <row r="1226" spans="1:16" hidden="1" x14ac:dyDescent="0.3">
      <c r="A1226" t="str">
        <f t="shared" si="117"/>
        <v>2021Matt3</v>
      </c>
      <c r="B1226">
        <f t="shared" si="114"/>
        <v>1546</v>
      </c>
      <c r="C1226">
        <f t="shared" si="115"/>
        <v>1793</v>
      </c>
      <c r="D1226" t="s">
        <v>30</v>
      </c>
      <c r="E1226" t="str">
        <f>D1227</f>
        <v>Brent</v>
      </c>
      <c r="F1226">
        <v>2021</v>
      </c>
      <c r="G1226">
        <v>3</v>
      </c>
      <c r="H1226">
        <v>3.1</v>
      </c>
      <c r="I1226">
        <v>68</v>
      </c>
      <c r="J1226">
        <f>I1226-I1227</f>
        <v>-20</v>
      </c>
      <c r="K1226" t="str">
        <f t="shared" si="119"/>
        <v>L</v>
      </c>
      <c r="L1226" t="str">
        <f t="shared" si="116"/>
        <v>Matt</v>
      </c>
      <c r="M1226" t="str">
        <f>VLOOKUP(L1226,References!$A$2:$B$16,2,FALSE)</f>
        <v>TEXAROK</v>
      </c>
      <c r="N1226" s="19" t="str">
        <f>IF(M1226=M1227,"N","Y")</f>
        <v>N</v>
      </c>
      <c r="O1226">
        <f>SUM(I1226:I1227)</f>
        <v>156</v>
      </c>
      <c r="P1226">
        <f t="shared" si="118"/>
        <v>88</v>
      </c>
    </row>
    <row r="1227" spans="1:16" hidden="1" x14ac:dyDescent="0.3">
      <c r="A1227" t="str">
        <f t="shared" si="117"/>
        <v>2021Brent3</v>
      </c>
      <c r="B1227">
        <f t="shared" si="114"/>
        <v>517</v>
      </c>
      <c r="C1227">
        <f t="shared" si="115"/>
        <v>1100</v>
      </c>
      <c r="D1227" t="s">
        <v>47</v>
      </c>
      <c r="E1227" t="str">
        <f>D1226</f>
        <v>Matt</v>
      </c>
      <c r="F1227">
        <v>2021</v>
      </c>
      <c r="G1227">
        <v>3</v>
      </c>
      <c r="H1227">
        <v>3.2</v>
      </c>
      <c r="I1227">
        <v>88</v>
      </c>
      <c r="J1227">
        <f>I1227-I1226</f>
        <v>20</v>
      </c>
      <c r="K1227" t="str">
        <f t="shared" si="119"/>
        <v>W</v>
      </c>
      <c r="L1227" t="str">
        <f t="shared" si="116"/>
        <v>Brent</v>
      </c>
      <c r="M1227" t="str">
        <f>VLOOKUP(L1227,References!$A$2:$B$16,2,FALSE)</f>
        <v>TEXAROK</v>
      </c>
      <c r="N1227" s="19" t="str">
        <f>IF(M1227=M1226,"N","Y")</f>
        <v>N</v>
      </c>
      <c r="O1227">
        <f>SUM(I1226:I1227)</f>
        <v>156</v>
      </c>
      <c r="P1227">
        <f t="shared" si="118"/>
        <v>68</v>
      </c>
    </row>
    <row r="1228" spans="1:16" hidden="1" x14ac:dyDescent="0.3">
      <c r="A1228" t="str">
        <f t="shared" si="117"/>
        <v>2021Watty3</v>
      </c>
      <c r="B1228">
        <f t="shared" si="114"/>
        <v>1914</v>
      </c>
      <c r="C1228">
        <f t="shared" si="115"/>
        <v>1717</v>
      </c>
      <c r="D1228" t="s">
        <v>24</v>
      </c>
      <c r="E1228" t="str">
        <f>D1229</f>
        <v>Michael</v>
      </c>
      <c r="F1228">
        <v>2021</v>
      </c>
      <c r="G1228">
        <v>3</v>
      </c>
      <c r="H1228">
        <v>4.0999999999999996</v>
      </c>
      <c r="I1228">
        <v>71</v>
      </c>
      <c r="J1228">
        <f>I1228-I1229</f>
        <v>-42</v>
      </c>
      <c r="K1228" t="str">
        <f t="shared" si="119"/>
        <v>L</v>
      </c>
      <c r="L1228" t="str">
        <f t="shared" si="116"/>
        <v>Watty</v>
      </c>
      <c r="M1228" t="str">
        <f>VLOOKUP(L1228,References!$A$2:$B$16,2,FALSE)</f>
        <v>AKCOVA</v>
      </c>
      <c r="N1228" s="19" t="str">
        <f>IF(M1228=M1229,"N","Y")</f>
        <v>N</v>
      </c>
      <c r="O1228">
        <f>SUM(I1228:I1229)</f>
        <v>184</v>
      </c>
      <c r="P1228">
        <f t="shared" si="118"/>
        <v>113</v>
      </c>
    </row>
    <row r="1229" spans="1:16" hidden="1" x14ac:dyDescent="0.3">
      <c r="A1229" t="str">
        <f t="shared" si="117"/>
        <v>2021Michael3</v>
      </c>
      <c r="B1229">
        <f t="shared" si="114"/>
        <v>173</v>
      </c>
      <c r="C1229">
        <f t="shared" si="115"/>
        <v>339</v>
      </c>
      <c r="D1229" t="s">
        <v>23</v>
      </c>
      <c r="E1229" t="str">
        <f>D1228</f>
        <v>Watty</v>
      </c>
      <c r="F1229">
        <v>2021</v>
      </c>
      <c r="G1229">
        <v>3</v>
      </c>
      <c r="H1229">
        <v>4.2</v>
      </c>
      <c r="I1229">
        <v>113</v>
      </c>
      <c r="J1229">
        <f>I1229-I1228</f>
        <v>42</v>
      </c>
      <c r="K1229" t="str">
        <f t="shared" si="119"/>
        <v>W</v>
      </c>
      <c r="L1229" t="str">
        <f t="shared" si="116"/>
        <v>Michael</v>
      </c>
      <c r="M1229" t="str">
        <f>VLOOKUP(L1229,References!$A$2:$B$16,2,FALSE)</f>
        <v>AKCOVA</v>
      </c>
      <c r="N1229" s="19" t="str">
        <f>IF(M1229=M1228,"N","Y")</f>
        <v>N</v>
      </c>
      <c r="O1229">
        <f>SUM(I1228:I1229)</f>
        <v>184</v>
      </c>
      <c r="P1229">
        <f t="shared" si="118"/>
        <v>71</v>
      </c>
    </row>
    <row r="1230" spans="1:16" hidden="1" x14ac:dyDescent="0.3">
      <c r="A1230" t="str">
        <f t="shared" si="117"/>
        <v>2021BR3</v>
      </c>
      <c r="B1230">
        <f t="shared" si="114"/>
        <v>89</v>
      </c>
      <c r="C1230">
        <f t="shared" si="115"/>
        <v>89</v>
      </c>
      <c r="D1230" t="s">
        <v>25</v>
      </c>
      <c r="E1230" t="str">
        <f>D1231</f>
        <v>Mark</v>
      </c>
      <c r="F1230">
        <v>2021</v>
      </c>
      <c r="G1230">
        <v>3</v>
      </c>
      <c r="H1230">
        <v>5.0999999999999996</v>
      </c>
      <c r="I1230">
        <v>133</v>
      </c>
      <c r="J1230">
        <f>I1230-I1231</f>
        <v>53</v>
      </c>
      <c r="K1230" t="str">
        <f t="shared" si="119"/>
        <v>W</v>
      </c>
      <c r="L1230" t="str">
        <f t="shared" si="116"/>
        <v>BR</v>
      </c>
      <c r="M1230" t="str">
        <f>VLOOKUP(L1230,References!$A$2:$B$16,2,FALSE)</f>
        <v>AKCOVA</v>
      </c>
      <c r="N1230" s="19" t="str">
        <f>IF(M1230=M1231,"N","Y")</f>
        <v>N</v>
      </c>
      <c r="O1230">
        <f>SUM(I1230:I1231)</f>
        <v>213</v>
      </c>
      <c r="P1230">
        <f t="shared" si="118"/>
        <v>80</v>
      </c>
    </row>
    <row r="1231" spans="1:16" hidden="1" x14ac:dyDescent="0.3">
      <c r="A1231" t="str">
        <f t="shared" si="117"/>
        <v>2021Mark3</v>
      </c>
      <c r="B1231">
        <f t="shared" si="114"/>
        <v>1997</v>
      </c>
      <c r="C1231">
        <f t="shared" si="115"/>
        <v>1406</v>
      </c>
      <c r="D1231" t="s">
        <v>22</v>
      </c>
      <c r="E1231" t="str">
        <f>D1230</f>
        <v>BR</v>
      </c>
      <c r="F1231">
        <v>2021</v>
      </c>
      <c r="G1231">
        <v>3</v>
      </c>
      <c r="H1231">
        <v>5.2</v>
      </c>
      <c r="I1231">
        <v>80</v>
      </c>
      <c r="J1231">
        <f>I1231-I1230</f>
        <v>-53</v>
      </c>
      <c r="K1231" t="str">
        <f t="shared" si="119"/>
        <v>L</v>
      </c>
      <c r="L1231" t="str">
        <f t="shared" si="116"/>
        <v>Mark</v>
      </c>
      <c r="M1231" t="str">
        <f>VLOOKUP(L1231,References!$A$2:$B$16,2,FALSE)</f>
        <v>AKCOVA</v>
      </c>
      <c r="N1231" s="19" t="str">
        <f>IF(M1231=M1230,"N","Y")</f>
        <v>N</v>
      </c>
      <c r="O1231">
        <f>SUM(I1230:I1231)</f>
        <v>213</v>
      </c>
      <c r="P1231">
        <f t="shared" si="118"/>
        <v>133</v>
      </c>
    </row>
    <row r="1232" spans="1:16" hidden="1" x14ac:dyDescent="0.3">
      <c r="A1232" t="str">
        <f t="shared" si="117"/>
        <v>2021Charles3</v>
      </c>
      <c r="B1232">
        <f t="shared" si="114"/>
        <v>130</v>
      </c>
      <c r="C1232">
        <f t="shared" si="115"/>
        <v>173</v>
      </c>
      <c r="D1232" t="s">
        <v>48</v>
      </c>
      <c r="E1232" t="str">
        <f>D1233</f>
        <v>Arnold</v>
      </c>
      <c r="F1232">
        <v>2021</v>
      </c>
      <c r="G1232">
        <v>3</v>
      </c>
      <c r="H1232">
        <v>6.1</v>
      </c>
      <c r="I1232">
        <v>124</v>
      </c>
      <c r="J1232">
        <f>I1232-I1233</f>
        <v>46</v>
      </c>
      <c r="K1232" t="str">
        <f t="shared" si="119"/>
        <v>W</v>
      </c>
      <c r="L1232" t="str">
        <f t="shared" si="116"/>
        <v>Charles</v>
      </c>
      <c r="M1232" t="str">
        <f>VLOOKUP(L1232,References!$A$2:$B$16,2,FALSE)</f>
        <v>AKCOVA</v>
      </c>
      <c r="N1232" s="19" t="str">
        <f>IF(M1232=M1233,"N","Y")</f>
        <v>N</v>
      </c>
      <c r="O1232">
        <f>SUM(I1232:I1233)</f>
        <v>202</v>
      </c>
      <c r="P1232">
        <f t="shared" si="118"/>
        <v>78</v>
      </c>
    </row>
    <row r="1233" spans="1:16" hidden="1" x14ac:dyDescent="0.3">
      <c r="A1233" t="str">
        <f t="shared" si="117"/>
        <v>2021Arnold3</v>
      </c>
      <c r="B1233">
        <f t="shared" si="114"/>
        <v>1952</v>
      </c>
      <c r="C1233">
        <f t="shared" si="115"/>
        <v>1468</v>
      </c>
      <c r="D1233" t="s">
        <v>227</v>
      </c>
      <c r="E1233" t="str">
        <f>D1232</f>
        <v>Charles</v>
      </c>
      <c r="F1233">
        <v>2021</v>
      </c>
      <c r="G1233">
        <v>3</v>
      </c>
      <c r="H1233">
        <v>6.2</v>
      </c>
      <c r="I1233">
        <v>78</v>
      </c>
      <c r="J1233">
        <f>I1233-I1232</f>
        <v>-46</v>
      </c>
      <c r="K1233" t="str">
        <f t="shared" si="119"/>
        <v>L</v>
      </c>
      <c r="L1233" t="str">
        <f t="shared" si="116"/>
        <v>Arnold</v>
      </c>
      <c r="M1233" t="str">
        <f>VLOOKUP(L1233,References!$A$2:$B$16,2,FALSE)</f>
        <v>AKCOVA</v>
      </c>
      <c r="N1233" s="19" t="str">
        <f>IF(M1233=M1232,"N","Y")</f>
        <v>N</v>
      </c>
      <c r="O1233">
        <f>SUM(I1232:I1233)</f>
        <v>202</v>
      </c>
      <c r="P1233">
        <f t="shared" si="118"/>
        <v>124</v>
      </c>
    </row>
    <row r="1234" spans="1:16" hidden="1" x14ac:dyDescent="0.3">
      <c r="A1234" t="str">
        <f t="shared" si="117"/>
        <v>2021Brian4</v>
      </c>
      <c r="B1234">
        <f t="shared" si="114"/>
        <v>2009</v>
      </c>
      <c r="C1234">
        <f t="shared" si="115"/>
        <v>1988</v>
      </c>
      <c r="D1234" t="s">
        <v>26</v>
      </c>
      <c r="E1234" t="str">
        <f>D1235</f>
        <v>David</v>
      </c>
      <c r="F1234">
        <v>2021</v>
      </c>
      <c r="G1234">
        <v>4</v>
      </c>
      <c r="H1234">
        <v>1.1000000000000001</v>
      </c>
      <c r="I1234">
        <v>57</v>
      </c>
      <c r="J1234">
        <f>I1234-I1235</f>
        <v>-55</v>
      </c>
      <c r="K1234" t="str">
        <f t="shared" si="119"/>
        <v>L</v>
      </c>
      <c r="L1234" t="str">
        <f t="shared" si="116"/>
        <v>Brian</v>
      </c>
      <c r="M1234" t="str">
        <f>VLOOKUP(L1234,References!$A$2:$B$16,2,FALSE)</f>
        <v>TEXAROK</v>
      </c>
      <c r="N1234" s="19" t="str">
        <f>IF(M1234=M1235,"N","Y")</f>
        <v>N</v>
      </c>
      <c r="O1234">
        <f>SUM(I1234:I1235)</f>
        <v>169</v>
      </c>
      <c r="P1234">
        <f t="shared" si="118"/>
        <v>112</v>
      </c>
    </row>
    <row r="1235" spans="1:16" hidden="1" x14ac:dyDescent="0.3">
      <c r="A1235" t="str">
        <f t="shared" si="117"/>
        <v>2021David4</v>
      </c>
      <c r="B1235">
        <f t="shared" si="114"/>
        <v>78</v>
      </c>
      <c r="C1235">
        <f t="shared" si="115"/>
        <v>364</v>
      </c>
      <c r="D1235" t="s">
        <v>29</v>
      </c>
      <c r="E1235" t="str">
        <f>D1234</f>
        <v>Brian</v>
      </c>
      <c r="F1235">
        <v>2021</v>
      </c>
      <c r="G1235">
        <v>4</v>
      </c>
      <c r="H1235">
        <v>1.2</v>
      </c>
      <c r="I1235">
        <v>112</v>
      </c>
      <c r="J1235">
        <f>I1235-I1234</f>
        <v>55</v>
      </c>
      <c r="K1235" t="str">
        <f t="shared" si="119"/>
        <v>W</v>
      </c>
      <c r="L1235" t="str">
        <f t="shared" si="116"/>
        <v>David</v>
      </c>
      <c r="M1235" t="str">
        <f>VLOOKUP(L1235,References!$A$2:$B$16,2,FALSE)</f>
        <v>TEXAROK</v>
      </c>
      <c r="N1235" s="19" t="str">
        <f>IF(M1235=M1234,"N","Y")</f>
        <v>N</v>
      </c>
      <c r="O1235">
        <f>SUM(I1234:I1235)</f>
        <v>169</v>
      </c>
      <c r="P1235">
        <f t="shared" si="118"/>
        <v>57</v>
      </c>
    </row>
    <row r="1236" spans="1:16" hidden="1" x14ac:dyDescent="0.3">
      <c r="A1236" t="str">
        <f t="shared" si="117"/>
        <v>2021Brent4</v>
      </c>
      <c r="B1236">
        <f t="shared" si="114"/>
        <v>1381</v>
      </c>
      <c r="C1236">
        <f t="shared" si="115"/>
        <v>1468</v>
      </c>
      <c r="D1236" t="s">
        <v>47</v>
      </c>
      <c r="E1236" t="str">
        <f>D1237</f>
        <v>Emily</v>
      </c>
      <c r="F1236">
        <v>2021</v>
      </c>
      <c r="G1236">
        <v>4</v>
      </c>
      <c r="H1236">
        <v>2.1</v>
      </c>
      <c r="I1236">
        <v>78</v>
      </c>
      <c r="J1236">
        <f>I1236-I1237</f>
        <v>-13</v>
      </c>
      <c r="K1236" t="str">
        <f t="shared" si="119"/>
        <v>L</v>
      </c>
      <c r="L1236" t="str">
        <f t="shared" si="116"/>
        <v>Brent</v>
      </c>
      <c r="M1236" t="str">
        <f>VLOOKUP(L1236,References!$A$2:$B$16,2,FALSE)</f>
        <v>TEXAROK</v>
      </c>
      <c r="N1236" s="19" t="str">
        <f>IF(M1236=M1237,"N","Y")</f>
        <v>N</v>
      </c>
      <c r="O1236">
        <f>SUM(I1236:I1237)</f>
        <v>169</v>
      </c>
      <c r="P1236">
        <f t="shared" si="118"/>
        <v>91</v>
      </c>
    </row>
    <row r="1237" spans="1:16" hidden="1" x14ac:dyDescent="0.3">
      <c r="A1237" t="str">
        <f t="shared" si="117"/>
        <v>2021Emily4</v>
      </c>
      <c r="B1237">
        <f t="shared" si="114"/>
        <v>685</v>
      </c>
      <c r="C1237">
        <f t="shared" si="115"/>
        <v>992</v>
      </c>
      <c r="D1237" t="s">
        <v>43</v>
      </c>
      <c r="E1237" t="str">
        <f>D1236</f>
        <v>Brent</v>
      </c>
      <c r="F1237">
        <v>2021</v>
      </c>
      <c r="G1237">
        <v>4</v>
      </c>
      <c r="H1237">
        <v>2.2000000000000002</v>
      </c>
      <c r="I1237">
        <v>91</v>
      </c>
      <c r="J1237">
        <f>I1237-I1236</f>
        <v>13</v>
      </c>
      <c r="K1237" t="str">
        <f t="shared" si="119"/>
        <v>W</v>
      </c>
      <c r="L1237" t="str">
        <f t="shared" si="116"/>
        <v>Emily</v>
      </c>
      <c r="M1237" t="str">
        <f>VLOOKUP(L1237,References!$A$2:$B$16,2,FALSE)</f>
        <v>TEXAROK</v>
      </c>
      <c r="N1237" s="19" t="str">
        <f>IF(M1237=M1236,"N","Y")</f>
        <v>N</v>
      </c>
      <c r="O1237">
        <f>SUM(I1236:I1237)</f>
        <v>169</v>
      </c>
      <c r="P1237">
        <f t="shared" si="118"/>
        <v>78</v>
      </c>
    </row>
    <row r="1238" spans="1:16" hidden="1" x14ac:dyDescent="0.3">
      <c r="A1238" t="str">
        <f t="shared" si="117"/>
        <v>2021Matt4</v>
      </c>
      <c r="B1238">
        <f t="shared" si="114"/>
        <v>433</v>
      </c>
      <c r="C1238">
        <f t="shared" si="115"/>
        <v>540</v>
      </c>
      <c r="D1238" t="s">
        <v>30</v>
      </c>
      <c r="E1238" t="str">
        <f>D1239</f>
        <v>Russell</v>
      </c>
      <c r="F1238">
        <v>2021</v>
      </c>
      <c r="G1238">
        <v>4</v>
      </c>
      <c r="H1238">
        <v>3.1</v>
      </c>
      <c r="I1238">
        <v>105</v>
      </c>
      <c r="J1238">
        <f>I1238-I1239</f>
        <v>24</v>
      </c>
      <c r="K1238" t="str">
        <f t="shared" si="119"/>
        <v>W</v>
      </c>
      <c r="L1238" t="str">
        <f t="shared" si="116"/>
        <v>Matt</v>
      </c>
      <c r="M1238" t="str">
        <f>VLOOKUP(L1238,References!$A$2:$B$16,2,FALSE)</f>
        <v>TEXAROK</v>
      </c>
      <c r="N1238" s="19" t="str">
        <f>IF(M1238=M1239,"N","Y")</f>
        <v>N</v>
      </c>
      <c r="O1238">
        <f>SUM(I1238:I1239)</f>
        <v>186</v>
      </c>
      <c r="P1238">
        <f t="shared" si="118"/>
        <v>81</v>
      </c>
    </row>
    <row r="1239" spans="1:16" hidden="1" x14ac:dyDescent="0.3">
      <c r="A1239" t="str">
        <f t="shared" si="117"/>
        <v>2021Russell4</v>
      </c>
      <c r="B1239">
        <f t="shared" si="114"/>
        <v>1644</v>
      </c>
      <c r="C1239">
        <f t="shared" si="115"/>
        <v>1365</v>
      </c>
      <c r="D1239" t="s">
        <v>28</v>
      </c>
      <c r="E1239" t="str">
        <f>D1238</f>
        <v>Matt</v>
      </c>
      <c r="F1239">
        <v>2021</v>
      </c>
      <c r="G1239">
        <v>4</v>
      </c>
      <c r="H1239">
        <v>3.2</v>
      </c>
      <c r="I1239">
        <v>81</v>
      </c>
      <c r="J1239">
        <f>I1239-I1238</f>
        <v>-24</v>
      </c>
      <c r="K1239" t="str">
        <f t="shared" si="119"/>
        <v>L</v>
      </c>
      <c r="L1239" t="str">
        <f t="shared" si="116"/>
        <v>Russell</v>
      </c>
      <c r="M1239" t="str">
        <f>VLOOKUP(L1239,References!$A$2:$B$16,2,FALSE)</f>
        <v>TEXAROK</v>
      </c>
      <c r="N1239" s="19" t="str">
        <f>IF(M1239=M1238,"N","Y")</f>
        <v>N</v>
      </c>
      <c r="O1239">
        <f>SUM(I1238:I1239)</f>
        <v>186</v>
      </c>
      <c r="P1239">
        <f t="shared" si="118"/>
        <v>105</v>
      </c>
    </row>
    <row r="1240" spans="1:16" hidden="1" x14ac:dyDescent="0.3">
      <c r="A1240" t="str">
        <f t="shared" si="117"/>
        <v>2021Michael4</v>
      </c>
      <c r="B1240">
        <f t="shared" si="114"/>
        <v>142</v>
      </c>
      <c r="C1240">
        <f t="shared" si="115"/>
        <v>119</v>
      </c>
      <c r="D1240" t="s">
        <v>23</v>
      </c>
      <c r="E1240" t="str">
        <f>D1241</f>
        <v>Mark</v>
      </c>
      <c r="F1240">
        <v>2021</v>
      </c>
      <c r="G1240">
        <v>4</v>
      </c>
      <c r="H1240">
        <v>4.0999999999999996</v>
      </c>
      <c r="I1240">
        <v>129</v>
      </c>
      <c r="J1240">
        <f>I1240-I1241</f>
        <v>45</v>
      </c>
      <c r="K1240" t="str">
        <f t="shared" si="119"/>
        <v>W</v>
      </c>
      <c r="L1240" t="str">
        <f t="shared" si="116"/>
        <v>Michael</v>
      </c>
      <c r="M1240" t="str">
        <f>VLOOKUP(L1240,References!$A$2:$B$16,2,FALSE)</f>
        <v>AKCOVA</v>
      </c>
      <c r="N1240" s="19" t="str">
        <f>IF(M1240=M1241,"N","Y")</f>
        <v>N</v>
      </c>
      <c r="O1240">
        <f>SUM(I1240:I1241)</f>
        <v>213</v>
      </c>
      <c r="P1240">
        <f t="shared" si="118"/>
        <v>84</v>
      </c>
    </row>
    <row r="1241" spans="1:16" hidden="1" x14ac:dyDescent="0.3">
      <c r="A1241" t="str">
        <f t="shared" si="117"/>
        <v>2021Mark4</v>
      </c>
      <c r="B1241">
        <f t="shared" si="114"/>
        <v>1944</v>
      </c>
      <c r="C1241">
        <f t="shared" si="115"/>
        <v>1241</v>
      </c>
      <c r="D1241" t="s">
        <v>22</v>
      </c>
      <c r="E1241" t="str">
        <f>D1240</f>
        <v>Michael</v>
      </c>
      <c r="F1241">
        <v>2021</v>
      </c>
      <c r="G1241">
        <v>4</v>
      </c>
      <c r="H1241">
        <v>4.2</v>
      </c>
      <c r="I1241">
        <v>84</v>
      </c>
      <c r="J1241">
        <f>I1241-I1240</f>
        <v>-45</v>
      </c>
      <c r="K1241" t="str">
        <f t="shared" si="119"/>
        <v>L</v>
      </c>
      <c r="L1241" t="str">
        <f t="shared" si="116"/>
        <v>Mark</v>
      </c>
      <c r="M1241" t="str">
        <f>VLOOKUP(L1241,References!$A$2:$B$16,2,FALSE)</f>
        <v>AKCOVA</v>
      </c>
      <c r="N1241" s="19" t="str">
        <f>IF(M1241=M1240,"N","Y")</f>
        <v>N</v>
      </c>
      <c r="O1241">
        <f>SUM(I1240:I1241)</f>
        <v>213</v>
      </c>
      <c r="P1241">
        <f t="shared" si="118"/>
        <v>129</v>
      </c>
    </row>
    <row r="1242" spans="1:16" hidden="1" x14ac:dyDescent="0.3">
      <c r="A1242" t="str">
        <f t="shared" si="117"/>
        <v>2021Arnold4</v>
      </c>
      <c r="B1242">
        <f t="shared" si="114"/>
        <v>2009</v>
      </c>
      <c r="C1242">
        <f t="shared" si="115"/>
        <v>2040</v>
      </c>
      <c r="D1242" t="s">
        <v>227</v>
      </c>
      <c r="E1242" t="str">
        <f>D1243</f>
        <v>Watty</v>
      </c>
      <c r="F1242">
        <v>2021</v>
      </c>
      <c r="G1242">
        <v>4</v>
      </c>
      <c r="H1242">
        <v>5.0999999999999996</v>
      </c>
      <c r="I1242">
        <v>51</v>
      </c>
      <c r="J1242">
        <f>I1242-I1243</f>
        <v>-55</v>
      </c>
      <c r="K1242" t="str">
        <f t="shared" si="119"/>
        <v>L</v>
      </c>
      <c r="L1242" t="str">
        <f t="shared" si="116"/>
        <v>Arnold</v>
      </c>
      <c r="M1242" t="str">
        <f>VLOOKUP(L1242,References!$A$2:$B$16,2,FALSE)</f>
        <v>AKCOVA</v>
      </c>
      <c r="N1242" s="19" t="str">
        <f>IF(M1242=M1243,"N","Y")</f>
        <v>N</v>
      </c>
      <c r="O1242">
        <f>SUM(I1242:I1243)</f>
        <v>157</v>
      </c>
      <c r="P1242">
        <f t="shared" si="118"/>
        <v>106</v>
      </c>
    </row>
    <row r="1243" spans="1:16" hidden="1" x14ac:dyDescent="0.3">
      <c r="A1243" t="str">
        <f t="shared" si="117"/>
        <v>2021Watty4</v>
      </c>
      <c r="B1243">
        <f t="shared" si="114"/>
        <v>78</v>
      </c>
      <c r="C1243">
        <f t="shared" si="115"/>
        <v>509</v>
      </c>
      <c r="D1243" t="s">
        <v>24</v>
      </c>
      <c r="E1243" t="str">
        <f>D1242</f>
        <v>Arnold</v>
      </c>
      <c r="F1243">
        <v>2021</v>
      </c>
      <c r="G1243">
        <v>4</v>
      </c>
      <c r="H1243">
        <v>5.2</v>
      </c>
      <c r="I1243">
        <v>106</v>
      </c>
      <c r="J1243">
        <f>I1243-I1242</f>
        <v>55</v>
      </c>
      <c r="K1243" t="str">
        <f t="shared" si="119"/>
        <v>W</v>
      </c>
      <c r="L1243" t="str">
        <f t="shared" si="116"/>
        <v>Watty</v>
      </c>
      <c r="M1243" t="str">
        <f>VLOOKUP(L1243,References!$A$2:$B$16,2,FALSE)</f>
        <v>AKCOVA</v>
      </c>
      <c r="N1243" s="19" t="str">
        <f>IF(M1243=M1242,"N","Y")</f>
        <v>N</v>
      </c>
      <c r="O1243">
        <f>SUM(I1242:I1243)</f>
        <v>157</v>
      </c>
      <c r="P1243">
        <f t="shared" si="118"/>
        <v>51</v>
      </c>
    </row>
    <row r="1244" spans="1:16" hidden="1" x14ac:dyDescent="0.3">
      <c r="A1244" t="str">
        <f t="shared" si="117"/>
        <v>2021Charles4</v>
      </c>
      <c r="B1244">
        <f t="shared" si="114"/>
        <v>254</v>
      </c>
      <c r="C1244">
        <f t="shared" si="115"/>
        <v>102</v>
      </c>
      <c r="D1244" t="s">
        <v>48</v>
      </c>
      <c r="E1244" t="str">
        <f>D1245</f>
        <v>BR</v>
      </c>
      <c r="F1244">
        <v>2021</v>
      </c>
      <c r="G1244">
        <v>4</v>
      </c>
      <c r="H1244">
        <v>6.1</v>
      </c>
      <c r="I1244">
        <v>131</v>
      </c>
      <c r="J1244">
        <f>I1244-I1245</f>
        <v>35</v>
      </c>
      <c r="K1244" t="str">
        <f t="shared" si="119"/>
        <v>W</v>
      </c>
      <c r="L1244" t="str">
        <f t="shared" si="116"/>
        <v>Charles</v>
      </c>
      <c r="M1244" t="str">
        <f>VLOOKUP(L1244,References!$A$2:$B$16,2,FALSE)</f>
        <v>AKCOVA</v>
      </c>
      <c r="N1244" s="19" t="str">
        <f>IF(M1244=M1245,"N","Y")</f>
        <v>N</v>
      </c>
      <c r="O1244">
        <f>SUM(I1244:I1245)</f>
        <v>227</v>
      </c>
      <c r="P1244">
        <f t="shared" si="118"/>
        <v>96</v>
      </c>
    </row>
    <row r="1245" spans="1:16" hidden="1" x14ac:dyDescent="0.3">
      <c r="A1245" t="str">
        <f t="shared" si="117"/>
        <v>2021BR4</v>
      </c>
      <c r="B1245">
        <f t="shared" si="114"/>
        <v>1832</v>
      </c>
      <c r="C1245">
        <f t="shared" si="115"/>
        <v>822</v>
      </c>
      <c r="D1245" t="s">
        <v>25</v>
      </c>
      <c r="E1245" t="str">
        <f>D1244</f>
        <v>Charles</v>
      </c>
      <c r="F1245">
        <v>2021</v>
      </c>
      <c r="G1245">
        <v>4</v>
      </c>
      <c r="H1245">
        <v>6.2</v>
      </c>
      <c r="I1245">
        <v>96</v>
      </c>
      <c r="J1245">
        <f>I1245-I1244</f>
        <v>-35</v>
      </c>
      <c r="K1245" t="str">
        <f t="shared" si="119"/>
        <v>L</v>
      </c>
      <c r="L1245" t="str">
        <f t="shared" si="116"/>
        <v>BR</v>
      </c>
      <c r="M1245" t="str">
        <f>VLOOKUP(L1245,References!$A$2:$B$16,2,FALSE)</f>
        <v>AKCOVA</v>
      </c>
      <c r="N1245" s="19" t="str">
        <f>IF(M1245=M1244,"N","Y")</f>
        <v>N</v>
      </c>
      <c r="O1245">
        <f>SUM(I1244:I1245)</f>
        <v>227</v>
      </c>
      <c r="P1245">
        <f t="shared" si="118"/>
        <v>131</v>
      </c>
    </row>
    <row r="1246" spans="1:16" hidden="1" x14ac:dyDescent="0.3">
      <c r="A1246" t="str">
        <f t="shared" si="117"/>
        <v>2021Brent5</v>
      </c>
      <c r="B1246">
        <f t="shared" si="114"/>
        <v>1921</v>
      </c>
      <c r="C1246">
        <f t="shared" si="115"/>
        <v>1684</v>
      </c>
      <c r="D1246" t="s">
        <v>47</v>
      </c>
      <c r="E1246" t="str">
        <f>D1247</f>
        <v>Brian</v>
      </c>
      <c r="F1246">
        <v>2021</v>
      </c>
      <c r="G1246">
        <v>5</v>
      </c>
      <c r="H1246">
        <v>1.1000000000000001</v>
      </c>
      <c r="I1246">
        <v>72</v>
      </c>
      <c r="J1246">
        <f>I1246-I1247</f>
        <v>-43</v>
      </c>
      <c r="K1246" t="str">
        <f t="shared" si="119"/>
        <v>L</v>
      </c>
      <c r="L1246" t="str">
        <f t="shared" si="116"/>
        <v>Brent</v>
      </c>
      <c r="M1246" t="str">
        <f>VLOOKUP(L1246,References!$A$2:$B$16,2,FALSE)</f>
        <v>TEXAROK</v>
      </c>
      <c r="N1246" s="19" t="str">
        <f>IF(M1246=M1247,"N","Y")</f>
        <v>N</v>
      </c>
      <c r="O1246">
        <f>SUM(I1246:I1247)</f>
        <v>187</v>
      </c>
      <c r="P1246">
        <f t="shared" si="118"/>
        <v>115</v>
      </c>
    </row>
    <row r="1247" spans="1:16" hidden="1" x14ac:dyDescent="0.3">
      <c r="A1247" t="str">
        <f t="shared" si="117"/>
        <v>2021Brian5</v>
      </c>
      <c r="B1247">
        <f t="shared" si="114"/>
        <v>161</v>
      </c>
      <c r="C1247">
        <f t="shared" si="115"/>
        <v>305</v>
      </c>
      <c r="D1247" t="s">
        <v>26</v>
      </c>
      <c r="E1247" t="str">
        <f>D1246</f>
        <v>Brent</v>
      </c>
      <c r="F1247">
        <v>2021</v>
      </c>
      <c r="G1247">
        <v>5</v>
      </c>
      <c r="H1247">
        <v>1.2</v>
      </c>
      <c r="I1247">
        <v>115</v>
      </c>
      <c r="J1247">
        <f>I1247-I1246</f>
        <v>43</v>
      </c>
      <c r="K1247" t="str">
        <f t="shared" si="119"/>
        <v>W</v>
      </c>
      <c r="L1247" t="str">
        <f t="shared" si="116"/>
        <v>Brian</v>
      </c>
      <c r="M1247" t="str">
        <f>VLOOKUP(L1247,References!$A$2:$B$16,2,FALSE)</f>
        <v>TEXAROK</v>
      </c>
      <c r="N1247" s="19" t="str">
        <f>IF(M1247=M1246,"N","Y")</f>
        <v>N</v>
      </c>
      <c r="O1247">
        <f>SUM(I1246:I1247)</f>
        <v>187</v>
      </c>
      <c r="P1247">
        <f t="shared" si="118"/>
        <v>72</v>
      </c>
    </row>
    <row r="1248" spans="1:16" hidden="1" x14ac:dyDescent="0.3">
      <c r="A1248" t="str">
        <f t="shared" si="117"/>
        <v>2021David5</v>
      </c>
      <c r="B1248">
        <f t="shared" si="114"/>
        <v>9</v>
      </c>
      <c r="C1248">
        <f t="shared" si="115"/>
        <v>96</v>
      </c>
      <c r="D1248" t="s">
        <v>29</v>
      </c>
      <c r="E1248" t="str">
        <f>D1249</f>
        <v>Matt</v>
      </c>
      <c r="F1248">
        <v>2021</v>
      </c>
      <c r="G1248">
        <v>5</v>
      </c>
      <c r="H1248">
        <v>2.1</v>
      </c>
      <c r="I1248">
        <v>132</v>
      </c>
      <c r="J1248">
        <f>I1248-I1249</f>
        <v>82</v>
      </c>
      <c r="K1248" t="str">
        <f t="shared" si="119"/>
        <v>W</v>
      </c>
      <c r="L1248" t="str">
        <f t="shared" si="116"/>
        <v>David</v>
      </c>
      <c r="M1248" t="str">
        <f>VLOOKUP(L1248,References!$A$2:$B$16,2,FALSE)</f>
        <v>TEXAROK</v>
      </c>
      <c r="N1248" s="19" t="str">
        <f>IF(M1248=M1249,"N","Y")</f>
        <v>N</v>
      </c>
      <c r="O1248">
        <f>SUM(I1248:I1249)</f>
        <v>182</v>
      </c>
      <c r="P1248">
        <f t="shared" si="118"/>
        <v>50</v>
      </c>
    </row>
    <row r="1249" spans="1:16" hidden="1" x14ac:dyDescent="0.3">
      <c r="A1249" t="str">
        <f t="shared" si="117"/>
        <v>2021Matt5</v>
      </c>
      <c r="B1249">
        <f t="shared" si="114"/>
        <v>2084</v>
      </c>
      <c r="C1249">
        <f t="shared" si="115"/>
        <v>2049</v>
      </c>
      <c r="D1249" t="s">
        <v>30</v>
      </c>
      <c r="E1249" t="str">
        <f>D1248</f>
        <v>David</v>
      </c>
      <c r="F1249">
        <v>2021</v>
      </c>
      <c r="G1249">
        <v>5</v>
      </c>
      <c r="H1249">
        <v>2.2000000000000002</v>
      </c>
      <c r="I1249">
        <v>50</v>
      </c>
      <c r="J1249">
        <f>I1249-I1248</f>
        <v>-82</v>
      </c>
      <c r="K1249" t="str">
        <f t="shared" si="119"/>
        <v>L</v>
      </c>
      <c r="L1249" t="str">
        <f t="shared" si="116"/>
        <v>Matt</v>
      </c>
      <c r="M1249" t="str">
        <f>VLOOKUP(L1249,References!$A$2:$B$16,2,FALSE)</f>
        <v>TEXAROK</v>
      </c>
      <c r="N1249" s="19" t="str">
        <f>IF(M1249=M1248,"N","Y")</f>
        <v>N</v>
      </c>
      <c r="O1249">
        <f>SUM(I1248:I1249)</f>
        <v>182</v>
      </c>
      <c r="P1249">
        <f t="shared" si="118"/>
        <v>132</v>
      </c>
    </row>
    <row r="1250" spans="1:16" hidden="1" x14ac:dyDescent="0.3">
      <c r="A1250" t="str">
        <f t="shared" si="117"/>
        <v>2021Emily5</v>
      </c>
      <c r="B1250">
        <f t="shared" si="114"/>
        <v>548</v>
      </c>
      <c r="C1250">
        <f t="shared" si="115"/>
        <v>603</v>
      </c>
      <c r="D1250" t="s">
        <v>43</v>
      </c>
      <c r="E1250" t="str">
        <f>D1251</f>
        <v>Russell</v>
      </c>
      <c r="F1250">
        <v>2021</v>
      </c>
      <c r="G1250">
        <v>5</v>
      </c>
      <c r="H1250">
        <v>3.1</v>
      </c>
      <c r="I1250">
        <v>103</v>
      </c>
      <c r="J1250">
        <f>I1250-I1251</f>
        <v>19</v>
      </c>
      <c r="K1250" t="str">
        <f t="shared" si="119"/>
        <v>W</v>
      </c>
      <c r="L1250" t="str">
        <f t="shared" si="116"/>
        <v>Emily</v>
      </c>
      <c r="M1250" t="str">
        <f>VLOOKUP(L1250,References!$A$2:$B$16,2,FALSE)</f>
        <v>TEXAROK</v>
      </c>
      <c r="N1250" s="19" t="str">
        <f>IF(M1250=M1251,"N","Y")</f>
        <v>N</v>
      </c>
      <c r="O1250">
        <f>SUM(I1250:I1251)</f>
        <v>187</v>
      </c>
      <c r="P1250">
        <f t="shared" si="118"/>
        <v>84</v>
      </c>
    </row>
    <row r="1251" spans="1:16" hidden="1" x14ac:dyDescent="0.3">
      <c r="A1251" t="str">
        <f t="shared" si="117"/>
        <v>2021Russell5</v>
      </c>
      <c r="B1251">
        <f t="shared" si="114"/>
        <v>1523</v>
      </c>
      <c r="C1251">
        <f t="shared" si="115"/>
        <v>1241</v>
      </c>
      <c r="D1251" t="s">
        <v>28</v>
      </c>
      <c r="E1251" t="str">
        <f>D1250</f>
        <v>Emily</v>
      </c>
      <c r="F1251">
        <v>2021</v>
      </c>
      <c r="G1251">
        <v>5</v>
      </c>
      <c r="H1251">
        <v>3.2</v>
      </c>
      <c r="I1251">
        <v>84</v>
      </c>
      <c r="J1251">
        <f>I1251-I1250</f>
        <v>-19</v>
      </c>
      <c r="K1251" t="str">
        <f t="shared" si="119"/>
        <v>L</v>
      </c>
      <c r="L1251" t="str">
        <f t="shared" si="116"/>
        <v>Russell</v>
      </c>
      <c r="M1251" t="str">
        <f>VLOOKUP(L1251,References!$A$2:$B$16,2,FALSE)</f>
        <v>TEXAROK</v>
      </c>
      <c r="N1251" s="19" t="str">
        <f>IF(M1251=M1250,"N","Y")</f>
        <v>N</v>
      </c>
      <c r="O1251">
        <f>SUM(I1250:I1251)</f>
        <v>187</v>
      </c>
      <c r="P1251">
        <f t="shared" si="118"/>
        <v>103</v>
      </c>
    </row>
    <row r="1252" spans="1:16" hidden="1" x14ac:dyDescent="0.3">
      <c r="A1252" t="str">
        <f t="shared" si="117"/>
        <v>2021Arnold5</v>
      </c>
      <c r="B1252">
        <f t="shared" si="114"/>
        <v>1497</v>
      </c>
      <c r="C1252">
        <f t="shared" si="115"/>
        <v>1282</v>
      </c>
      <c r="D1252" t="s">
        <v>227</v>
      </c>
      <c r="E1252" t="str">
        <f>D1253</f>
        <v>Michael</v>
      </c>
      <c r="F1252">
        <v>2021</v>
      </c>
      <c r="G1252">
        <v>5</v>
      </c>
      <c r="H1252">
        <v>4.0999999999999996</v>
      </c>
      <c r="I1252">
        <v>83</v>
      </c>
      <c r="J1252">
        <f>I1252-I1253</f>
        <v>-18</v>
      </c>
      <c r="K1252" t="str">
        <f t="shared" si="119"/>
        <v>L</v>
      </c>
      <c r="L1252" t="str">
        <f t="shared" si="116"/>
        <v>Arnold</v>
      </c>
      <c r="M1252" t="str">
        <f>VLOOKUP(L1252,References!$A$2:$B$16,2,FALSE)</f>
        <v>AKCOVA</v>
      </c>
      <c r="N1252" s="19" t="str">
        <f>IF(M1252=M1253,"N","Y")</f>
        <v>N</v>
      </c>
      <c r="O1252">
        <f>SUM(I1252:I1253)</f>
        <v>184</v>
      </c>
      <c r="P1252">
        <f t="shared" si="118"/>
        <v>101</v>
      </c>
    </row>
    <row r="1253" spans="1:16" hidden="1" x14ac:dyDescent="0.3">
      <c r="A1253" t="str">
        <f t="shared" si="117"/>
        <v>2021Michael5</v>
      </c>
      <c r="B1253">
        <f t="shared" si="114"/>
        <v>571</v>
      </c>
      <c r="C1253">
        <f t="shared" si="115"/>
        <v>652</v>
      </c>
      <c r="D1253" t="s">
        <v>23</v>
      </c>
      <c r="E1253" t="str">
        <f>D1252</f>
        <v>Arnold</v>
      </c>
      <c r="F1253">
        <v>2021</v>
      </c>
      <c r="G1253">
        <v>5</v>
      </c>
      <c r="H1253">
        <v>4.2</v>
      </c>
      <c r="I1253">
        <v>101</v>
      </c>
      <c r="J1253">
        <f>I1253-I1252</f>
        <v>18</v>
      </c>
      <c r="K1253" t="str">
        <f t="shared" si="119"/>
        <v>W</v>
      </c>
      <c r="L1253" t="str">
        <f t="shared" si="116"/>
        <v>Michael</v>
      </c>
      <c r="M1253" t="str">
        <f>VLOOKUP(L1253,References!$A$2:$B$16,2,FALSE)</f>
        <v>AKCOVA</v>
      </c>
      <c r="N1253" s="19" t="str">
        <f>IF(M1253=M1252,"N","Y")</f>
        <v>N</v>
      </c>
      <c r="O1253">
        <f>SUM(I1252:I1253)</f>
        <v>184</v>
      </c>
      <c r="P1253">
        <f t="shared" si="118"/>
        <v>83</v>
      </c>
    </row>
    <row r="1254" spans="1:16" hidden="1" x14ac:dyDescent="0.3">
      <c r="A1254" t="str">
        <f t="shared" si="117"/>
        <v>2021Mark5</v>
      </c>
      <c r="B1254">
        <f t="shared" si="114"/>
        <v>1933</v>
      </c>
      <c r="C1254">
        <f t="shared" si="115"/>
        <v>958</v>
      </c>
      <c r="D1254" t="s">
        <v>22</v>
      </c>
      <c r="E1254" t="str">
        <f>D1255</f>
        <v>Charles</v>
      </c>
      <c r="F1254">
        <v>2021</v>
      </c>
      <c r="G1254">
        <v>5</v>
      </c>
      <c r="H1254">
        <v>5.0999999999999996</v>
      </c>
      <c r="I1254">
        <v>92</v>
      </c>
      <c r="J1254">
        <f>I1254-I1255</f>
        <v>-44</v>
      </c>
      <c r="K1254" t="str">
        <f t="shared" si="119"/>
        <v>L</v>
      </c>
      <c r="L1254" t="str">
        <f t="shared" si="116"/>
        <v>Mark</v>
      </c>
      <c r="M1254" t="str">
        <f>VLOOKUP(L1254,References!$A$2:$B$16,2,FALSE)</f>
        <v>AKCOVA</v>
      </c>
      <c r="N1254" s="19" t="str">
        <f>IF(M1254=M1255,"N","Y")</f>
        <v>N</v>
      </c>
      <c r="O1254">
        <f>SUM(I1254:I1255)</f>
        <v>228</v>
      </c>
      <c r="P1254">
        <f t="shared" si="118"/>
        <v>136</v>
      </c>
    </row>
    <row r="1255" spans="1:16" hidden="1" x14ac:dyDescent="0.3">
      <c r="A1255" t="str">
        <f t="shared" si="117"/>
        <v>2021Charles5</v>
      </c>
      <c r="B1255">
        <f t="shared" si="114"/>
        <v>150</v>
      </c>
      <c r="C1255">
        <f t="shared" si="115"/>
        <v>73</v>
      </c>
      <c r="D1255" t="s">
        <v>48</v>
      </c>
      <c r="E1255" t="str">
        <f>D1254</f>
        <v>Mark</v>
      </c>
      <c r="F1255">
        <v>2021</v>
      </c>
      <c r="G1255">
        <v>5</v>
      </c>
      <c r="H1255">
        <v>5.2</v>
      </c>
      <c r="I1255">
        <v>136</v>
      </c>
      <c r="J1255">
        <f>I1255-I1254</f>
        <v>44</v>
      </c>
      <c r="K1255" t="str">
        <f t="shared" si="119"/>
        <v>W</v>
      </c>
      <c r="L1255" t="str">
        <f t="shared" si="116"/>
        <v>Charles</v>
      </c>
      <c r="M1255" t="str">
        <f>VLOOKUP(L1255,References!$A$2:$B$16,2,FALSE)</f>
        <v>AKCOVA</v>
      </c>
      <c r="N1255" s="19" t="str">
        <f>IF(M1255=M1254,"N","Y")</f>
        <v>N</v>
      </c>
      <c r="O1255">
        <f>SUM(I1254:I1255)</f>
        <v>228</v>
      </c>
      <c r="P1255">
        <f t="shared" si="118"/>
        <v>92</v>
      </c>
    </row>
    <row r="1256" spans="1:16" hidden="1" x14ac:dyDescent="0.3">
      <c r="A1256" t="str">
        <f t="shared" si="117"/>
        <v>2021Watty5</v>
      </c>
      <c r="B1256">
        <f t="shared" si="114"/>
        <v>2059</v>
      </c>
      <c r="C1256">
        <f t="shared" si="115"/>
        <v>462</v>
      </c>
      <c r="D1256" t="s">
        <v>24</v>
      </c>
      <c r="E1256" t="str">
        <f>D1257</f>
        <v>BR</v>
      </c>
      <c r="F1256">
        <v>2021</v>
      </c>
      <c r="G1256">
        <v>5</v>
      </c>
      <c r="H1256">
        <v>6.1</v>
      </c>
      <c r="I1256">
        <v>108</v>
      </c>
      <c r="J1256">
        <f>I1256-I1257</f>
        <v>-66</v>
      </c>
      <c r="K1256" t="str">
        <f t="shared" si="119"/>
        <v>L</v>
      </c>
      <c r="L1256" t="str">
        <f t="shared" si="116"/>
        <v>Watty</v>
      </c>
      <c r="M1256" t="str">
        <f>VLOOKUP(L1256,References!$A$2:$B$16,2,FALSE)</f>
        <v>AKCOVA</v>
      </c>
      <c r="N1256" s="19" t="str">
        <f>IF(M1256=M1257,"N","Y")</f>
        <v>N</v>
      </c>
      <c r="O1256">
        <f>SUM(I1256:I1257)</f>
        <v>282</v>
      </c>
      <c r="P1256">
        <f t="shared" si="118"/>
        <v>174</v>
      </c>
    </row>
    <row r="1257" spans="1:16" hidden="1" x14ac:dyDescent="0.3">
      <c r="A1257" t="str">
        <f t="shared" si="117"/>
        <v>2021BR5</v>
      </c>
      <c r="B1257">
        <f t="shared" si="114"/>
        <v>31</v>
      </c>
      <c r="C1257">
        <f t="shared" si="115"/>
        <v>1</v>
      </c>
      <c r="D1257" t="s">
        <v>25</v>
      </c>
      <c r="E1257" t="str">
        <f>D1256</f>
        <v>Watty</v>
      </c>
      <c r="F1257">
        <v>2021</v>
      </c>
      <c r="G1257">
        <v>5</v>
      </c>
      <c r="H1257">
        <v>6.2</v>
      </c>
      <c r="I1257" s="35">
        <v>174</v>
      </c>
      <c r="J1257">
        <f>I1257-I1256</f>
        <v>66</v>
      </c>
      <c r="K1257" t="str">
        <f t="shared" si="119"/>
        <v>W</v>
      </c>
      <c r="L1257" t="str">
        <f t="shared" si="116"/>
        <v>BR</v>
      </c>
      <c r="M1257" t="str">
        <f>VLOOKUP(L1257,References!$A$2:$B$16,2,FALSE)</f>
        <v>AKCOVA</v>
      </c>
      <c r="N1257" s="19" t="str">
        <f>IF(M1257=M1256,"N","Y")</f>
        <v>N</v>
      </c>
      <c r="O1257">
        <f>SUM(I1256:I1257)</f>
        <v>282</v>
      </c>
      <c r="P1257">
        <f t="shared" si="118"/>
        <v>108</v>
      </c>
    </row>
    <row r="1258" spans="1:16" hidden="1" x14ac:dyDescent="0.3">
      <c r="A1258" t="str">
        <f t="shared" si="117"/>
        <v>2021Brian6</v>
      </c>
      <c r="B1258">
        <f t="shared" si="114"/>
        <v>782</v>
      </c>
      <c r="C1258">
        <f t="shared" si="115"/>
        <v>462</v>
      </c>
      <c r="D1258" t="s">
        <v>26</v>
      </c>
      <c r="E1258" t="str">
        <f>D1259</f>
        <v>Michael</v>
      </c>
      <c r="F1258">
        <v>2021</v>
      </c>
      <c r="G1258">
        <v>6</v>
      </c>
      <c r="H1258">
        <v>1.1000000000000001</v>
      </c>
      <c r="I1258">
        <v>108</v>
      </c>
      <c r="J1258">
        <f>I1258-I1259</f>
        <v>9</v>
      </c>
      <c r="K1258" t="str">
        <f t="shared" si="119"/>
        <v>W</v>
      </c>
      <c r="L1258" t="str">
        <f t="shared" si="116"/>
        <v>Brian</v>
      </c>
      <c r="M1258" t="str">
        <f>VLOOKUP(L1258,References!$A$2:$B$16,2,FALSE)</f>
        <v>TEXAROK</v>
      </c>
      <c r="N1258" s="19" t="str">
        <f>IF(M1258=M1259,"N","Y")</f>
        <v>Y</v>
      </c>
      <c r="O1258">
        <f>SUM(I1258:I1259)</f>
        <v>207</v>
      </c>
      <c r="P1258">
        <f t="shared" si="118"/>
        <v>99</v>
      </c>
    </row>
    <row r="1259" spans="1:16" hidden="1" x14ac:dyDescent="0.3">
      <c r="A1259" t="str">
        <f t="shared" si="117"/>
        <v>2021Michael6</v>
      </c>
      <c r="B1259">
        <f t="shared" si="114"/>
        <v>1291</v>
      </c>
      <c r="C1259">
        <f t="shared" si="115"/>
        <v>714</v>
      </c>
      <c r="D1259" t="s">
        <v>23</v>
      </c>
      <c r="E1259" t="str">
        <f>D1258</f>
        <v>Brian</v>
      </c>
      <c r="F1259">
        <v>2021</v>
      </c>
      <c r="G1259">
        <v>6</v>
      </c>
      <c r="H1259">
        <v>1.2</v>
      </c>
      <c r="I1259">
        <v>99</v>
      </c>
      <c r="J1259">
        <f>I1259-I1258</f>
        <v>-9</v>
      </c>
      <c r="K1259" t="str">
        <f t="shared" si="119"/>
        <v>L</v>
      </c>
      <c r="L1259" t="str">
        <f t="shared" si="116"/>
        <v>Michael</v>
      </c>
      <c r="M1259" t="str">
        <f>VLOOKUP(L1259,References!$A$2:$B$16,2,FALSE)</f>
        <v>AKCOVA</v>
      </c>
      <c r="N1259" s="19" t="str">
        <f>IF(M1259=M1258,"N","Y")</f>
        <v>Y</v>
      </c>
      <c r="O1259">
        <f>SUM(I1258:I1259)</f>
        <v>207</v>
      </c>
      <c r="P1259">
        <f t="shared" si="118"/>
        <v>108</v>
      </c>
    </row>
    <row r="1260" spans="1:16" hidden="1" x14ac:dyDescent="0.3">
      <c r="A1260" t="str">
        <f t="shared" si="117"/>
        <v>2021Matt6</v>
      </c>
      <c r="B1260">
        <f t="shared" si="114"/>
        <v>865</v>
      </c>
      <c r="C1260">
        <f t="shared" si="115"/>
        <v>603</v>
      </c>
      <c r="D1260" t="s">
        <v>30</v>
      </c>
      <c r="E1260" t="str">
        <f>D1261</f>
        <v>Charles</v>
      </c>
      <c r="F1260">
        <v>2021</v>
      </c>
      <c r="G1260">
        <v>6</v>
      </c>
      <c r="H1260">
        <v>2.1</v>
      </c>
      <c r="I1260">
        <v>103</v>
      </c>
      <c r="J1260">
        <f>I1260-I1261</f>
        <v>6</v>
      </c>
      <c r="K1260" t="str">
        <f t="shared" si="119"/>
        <v>W</v>
      </c>
      <c r="L1260" t="str">
        <f t="shared" si="116"/>
        <v>Matt</v>
      </c>
      <c r="M1260" t="str">
        <f>VLOOKUP(L1260,References!$A$2:$B$16,2,FALSE)</f>
        <v>TEXAROK</v>
      </c>
      <c r="N1260" s="19" t="str">
        <f>IF(M1260=M1261,"N","Y")</f>
        <v>Y</v>
      </c>
      <c r="O1260">
        <f>SUM(I1260:I1261)</f>
        <v>200</v>
      </c>
      <c r="P1260">
        <f t="shared" si="118"/>
        <v>97</v>
      </c>
    </row>
    <row r="1261" spans="1:16" hidden="1" x14ac:dyDescent="0.3">
      <c r="A1261" t="str">
        <f t="shared" si="117"/>
        <v>2021Charles6</v>
      </c>
      <c r="B1261">
        <f t="shared" si="114"/>
        <v>1197</v>
      </c>
      <c r="C1261">
        <f t="shared" si="115"/>
        <v>777</v>
      </c>
      <c r="D1261" t="s">
        <v>48</v>
      </c>
      <c r="E1261" t="str">
        <f>D1260</f>
        <v>Matt</v>
      </c>
      <c r="F1261">
        <v>2021</v>
      </c>
      <c r="G1261">
        <v>6</v>
      </c>
      <c r="H1261">
        <v>2.2000000000000002</v>
      </c>
      <c r="I1261">
        <v>97</v>
      </c>
      <c r="J1261">
        <f>I1261-I1260</f>
        <v>-6</v>
      </c>
      <c r="K1261" t="str">
        <f t="shared" si="119"/>
        <v>L</v>
      </c>
      <c r="L1261" t="str">
        <f t="shared" si="116"/>
        <v>Charles</v>
      </c>
      <c r="M1261" t="str">
        <f>VLOOKUP(L1261,References!$A$2:$B$16,2,FALSE)</f>
        <v>AKCOVA</v>
      </c>
      <c r="N1261" s="19" t="str">
        <f>IF(M1261=M1260,"N","Y")</f>
        <v>Y</v>
      </c>
      <c r="O1261">
        <f>SUM(I1260:I1261)</f>
        <v>200</v>
      </c>
      <c r="P1261">
        <f t="shared" si="118"/>
        <v>103</v>
      </c>
    </row>
    <row r="1262" spans="1:16" hidden="1" x14ac:dyDescent="0.3">
      <c r="A1262" t="str">
        <f t="shared" si="117"/>
        <v>2021Russell6</v>
      </c>
      <c r="B1262">
        <f t="shared" si="114"/>
        <v>238</v>
      </c>
      <c r="C1262">
        <f t="shared" si="115"/>
        <v>435</v>
      </c>
      <c r="D1262" t="s">
        <v>28</v>
      </c>
      <c r="E1262" t="str">
        <f>D1263</f>
        <v>BR</v>
      </c>
      <c r="F1262">
        <v>2021</v>
      </c>
      <c r="G1262">
        <v>6</v>
      </c>
      <c r="H1262">
        <v>3.1</v>
      </c>
      <c r="I1262">
        <v>109</v>
      </c>
      <c r="J1262">
        <f>I1262-I1263</f>
        <v>36</v>
      </c>
      <c r="K1262" t="str">
        <f t="shared" si="119"/>
        <v>W</v>
      </c>
      <c r="L1262" t="str">
        <f t="shared" si="116"/>
        <v>Russell</v>
      </c>
      <c r="M1262" t="str">
        <f>VLOOKUP(L1262,References!$A$2:$B$16,2,FALSE)</f>
        <v>TEXAROK</v>
      </c>
      <c r="N1262" s="19" t="str">
        <f>IF(M1262=M1263,"N","Y")</f>
        <v>Y</v>
      </c>
      <c r="O1262">
        <f>SUM(I1262:I1263)</f>
        <v>182</v>
      </c>
      <c r="P1262">
        <f t="shared" si="118"/>
        <v>73</v>
      </c>
    </row>
    <row r="1263" spans="1:16" hidden="1" x14ac:dyDescent="0.3">
      <c r="A1263" t="str">
        <f t="shared" si="117"/>
        <v>2021BR6</v>
      </c>
      <c r="B1263">
        <f t="shared" si="114"/>
        <v>1840</v>
      </c>
      <c r="C1263">
        <f t="shared" si="115"/>
        <v>1648</v>
      </c>
      <c r="D1263" t="s">
        <v>25</v>
      </c>
      <c r="E1263" t="str">
        <f>D1262</f>
        <v>Russell</v>
      </c>
      <c r="F1263">
        <v>2021</v>
      </c>
      <c r="G1263">
        <v>6</v>
      </c>
      <c r="H1263">
        <v>3.2</v>
      </c>
      <c r="I1263">
        <v>73</v>
      </c>
      <c r="J1263">
        <f>I1263-I1262</f>
        <v>-36</v>
      </c>
      <c r="K1263" t="str">
        <f t="shared" si="119"/>
        <v>L</v>
      </c>
      <c r="L1263" t="str">
        <f t="shared" si="116"/>
        <v>BR</v>
      </c>
      <c r="M1263" t="str">
        <f>VLOOKUP(L1263,References!$A$2:$B$16,2,FALSE)</f>
        <v>AKCOVA</v>
      </c>
      <c r="N1263" s="19" t="str">
        <f>IF(M1263=M1262,"N","Y")</f>
        <v>Y</v>
      </c>
      <c r="O1263">
        <f>SUM(I1262:I1263)</f>
        <v>182</v>
      </c>
      <c r="P1263">
        <f t="shared" si="118"/>
        <v>109</v>
      </c>
    </row>
    <row r="1264" spans="1:16" hidden="1" x14ac:dyDescent="0.3">
      <c r="A1264" t="str">
        <f t="shared" si="117"/>
        <v>2021Emily6</v>
      </c>
      <c r="B1264">
        <f t="shared" si="114"/>
        <v>2085</v>
      </c>
      <c r="C1264">
        <f t="shared" si="115"/>
        <v>1910</v>
      </c>
      <c r="D1264" t="s">
        <v>43</v>
      </c>
      <c r="E1264" t="str">
        <f>D1265</f>
        <v>Watty</v>
      </c>
      <c r="F1264">
        <v>2021</v>
      </c>
      <c r="G1264">
        <v>6</v>
      </c>
      <c r="H1264">
        <v>4.0999999999999996</v>
      </c>
      <c r="I1264">
        <v>62</v>
      </c>
      <c r="J1264">
        <f>I1264-I1265</f>
        <v>-84</v>
      </c>
      <c r="K1264" t="str">
        <f t="shared" si="119"/>
        <v>L</v>
      </c>
      <c r="L1264" t="str">
        <f t="shared" si="116"/>
        <v>Emily</v>
      </c>
      <c r="M1264" t="str">
        <f>VLOOKUP(L1264,References!$A$2:$B$16,2,FALSE)</f>
        <v>TEXAROK</v>
      </c>
      <c r="N1264" s="19" t="str">
        <f>IF(M1264=M1265,"N","Y")</f>
        <v>Y</v>
      </c>
      <c r="O1264">
        <f>SUM(I1264:I1265)</f>
        <v>208</v>
      </c>
      <c r="P1264">
        <f t="shared" si="118"/>
        <v>146</v>
      </c>
    </row>
    <row r="1265" spans="1:16" hidden="1" x14ac:dyDescent="0.3">
      <c r="A1265" t="str">
        <f t="shared" si="117"/>
        <v>2021Watty6</v>
      </c>
      <c r="B1265">
        <f t="shared" si="114"/>
        <v>8</v>
      </c>
      <c r="C1265">
        <f t="shared" si="115"/>
        <v>34</v>
      </c>
      <c r="D1265" t="s">
        <v>24</v>
      </c>
      <c r="E1265" t="str">
        <f>D1264</f>
        <v>Emily</v>
      </c>
      <c r="F1265">
        <v>2021</v>
      </c>
      <c r="G1265">
        <v>6</v>
      </c>
      <c r="H1265">
        <v>4.2</v>
      </c>
      <c r="I1265">
        <v>146</v>
      </c>
      <c r="J1265">
        <f>I1265-I1264</f>
        <v>84</v>
      </c>
      <c r="K1265" t="str">
        <f t="shared" si="119"/>
        <v>W</v>
      </c>
      <c r="L1265" t="str">
        <f t="shared" si="116"/>
        <v>Watty</v>
      </c>
      <c r="M1265" t="str">
        <f>VLOOKUP(L1265,References!$A$2:$B$16,2,FALSE)</f>
        <v>AKCOVA</v>
      </c>
      <c r="N1265" s="19" t="str">
        <f>IF(M1265=M1264,"N","Y")</f>
        <v>Y</v>
      </c>
      <c r="O1265">
        <f>SUM(I1264:I1265)</f>
        <v>208</v>
      </c>
      <c r="P1265">
        <f t="shared" si="118"/>
        <v>62</v>
      </c>
    </row>
    <row r="1266" spans="1:16" hidden="1" x14ac:dyDescent="0.3">
      <c r="A1266" t="str">
        <f t="shared" si="117"/>
        <v>2021David6</v>
      </c>
      <c r="B1266">
        <f t="shared" si="114"/>
        <v>392</v>
      </c>
      <c r="C1266">
        <f t="shared" si="115"/>
        <v>566</v>
      </c>
      <c r="D1266" t="s">
        <v>29</v>
      </c>
      <c r="E1266" t="str">
        <f>D1267</f>
        <v>Mark</v>
      </c>
      <c r="F1266">
        <v>2021</v>
      </c>
      <c r="G1266">
        <v>6</v>
      </c>
      <c r="H1266">
        <v>5.0999999999999996</v>
      </c>
      <c r="I1266">
        <v>104</v>
      </c>
      <c r="J1266">
        <f>I1266-I1267</f>
        <v>26</v>
      </c>
      <c r="K1266" t="str">
        <f t="shared" si="119"/>
        <v>W</v>
      </c>
      <c r="L1266" t="str">
        <f t="shared" si="116"/>
        <v>David</v>
      </c>
      <c r="M1266" t="str">
        <f>VLOOKUP(L1266,References!$A$2:$B$16,2,FALSE)</f>
        <v>TEXAROK</v>
      </c>
      <c r="N1266" s="19" t="str">
        <f>IF(M1266=M1267,"N","Y")</f>
        <v>Y</v>
      </c>
      <c r="O1266">
        <f>SUM(I1266:I1267)</f>
        <v>182</v>
      </c>
      <c r="P1266">
        <f t="shared" si="118"/>
        <v>78</v>
      </c>
    </row>
    <row r="1267" spans="1:16" hidden="1" x14ac:dyDescent="0.3">
      <c r="A1267" t="str">
        <f t="shared" si="117"/>
        <v>2021Mark6</v>
      </c>
      <c r="B1267">
        <f t="shared" si="114"/>
        <v>1684</v>
      </c>
      <c r="C1267">
        <f t="shared" si="115"/>
        <v>1468</v>
      </c>
      <c r="D1267" t="s">
        <v>22</v>
      </c>
      <c r="E1267" t="str">
        <f>D1266</f>
        <v>David</v>
      </c>
      <c r="F1267">
        <v>2021</v>
      </c>
      <c r="G1267">
        <v>6</v>
      </c>
      <c r="H1267">
        <v>5.2</v>
      </c>
      <c r="I1267">
        <v>78</v>
      </c>
      <c r="J1267">
        <f>I1267-I1266</f>
        <v>-26</v>
      </c>
      <c r="K1267" t="str">
        <f t="shared" si="119"/>
        <v>L</v>
      </c>
      <c r="L1267" t="str">
        <f t="shared" si="116"/>
        <v>Mark</v>
      </c>
      <c r="M1267" t="str">
        <f>VLOOKUP(L1267,References!$A$2:$B$16,2,FALSE)</f>
        <v>AKCOVA</v>
      </c>
      <c r="N1267" s="19" t="str">
        <f>IF(M1267=M1266,"N","Y")</f>
        <v>Y</v>
      </c>
      <c r="O1267">
        <f>SUM(I1266:I1267)</f>
        <v>182</v>
      </c>
      <c r="P1267">
        <f t="shared" si="118"/>
        <v>104</v>
      </c>
    </row>
    <row r="1268" spans="1:16" hidden="1" x14ac:dyDescent="0.3">
      <c r="A1268" t="str">
        <f t="shared" si="117"/>
        <v>2021Brent6</v>
      </c>
      <c r="B1268">
        <f t="shared" si="114"/>
        <v>1336</v>
      </c>
      <c r="C1268">
        <f t="shared" si="115"/>
        <v>1833</v>
      </c>
      <c r="D1268" t="s">
        <v>47</v>
      </c>
      <c r="E1268" t="str">
        <f>D1269</f>
        <v>Arnold</v>
      </c>
      <c r="F1268">
        <v>2021</v>
      </c>
      <c r="G1268">
        <v>6</v>
      </c>
      <c r="H1268">
        <v>6.1</v>
      </c>
      <c r="I1268">
        <v>66</v>
      </c>
      <c r="J1268">
        <f>I1268-I1269</f>
        <v>-11</v>
      </c>
      <c r="K1268" t="str">
        <f t="shared" si="119"/>
        <v>L</v>
      </c>
      <c r="L1268" t="str">
        <f t="shared" si="116"/>
        <v>Brent</v>
      </c>
      <c r="M1268" t="str">
        <f>VLOOKUP(L1268,References!$A$2:$B$16,2,FALSE)</f>
        <v>TEXAROK</v>
      </c>
      <c r="N1268" s="19" t="str">
        <f>IF(M1268=M1269,"N","Y")</f>
        <v>Y</v>
      </c>
      <c r="O1268">
        <f>SUM(I1268:I1269)</f>
        <v>143</v>
      </c>
      <c r="P1268">
        <f t="shared" si="118"/>
        <v>77</v>
      </c>
    </row>
    <row r="1269" spans="1:16" hidden="1" x14ac:dyDescent="0.3">
      <c r="A1269" t="str">
        <f t="shared" si="117"/>
        <v>2021Arnold6</v>
      </c>
      <c r="B1269">
        <f t="shared" si="114"/>
        <v>737</v>
      </c>
      <c r="C1269">
        <f t="shared" si="115"/>
        <v>1512</v>
      </c>
      <c r="D1269" t="s">
        <v>227</v>
      </c>
      <c r="E1269" t="str">
        <f>D1268</f>
        <v>Brent</v>
      </c>
      <c r="F1269">
        <v>2021</v>
      </c>
      <c r="G1269">
        <v>6</v>
      </c>
      <c r="H1269">
        <v>6.2</v>
      </c>
      <c r="I1269">
        <v>77</v>
      </c>
      <c r="J1269">
        <f>I1269-I1268</f>
        <v>11</v>
      </c>
      <c r="K1269" t="str">
        <f t="shared" si="119"/>
        <v>W</v>
      </c>
      <c r="L1269" t="str">
        <f t="shared" si="116"/>
        <v>Arnold</v>
      </c>
      <c r="M1269" t="str">
        <f>VLOOKUP(L1269,References!$A$2:$B$16,2,FALSE)</f>
        <v>AKCOVA</v>
      </c>
      <c r="N1269" s="19" t="str">
        <f>IF(M1269=M1268,"N","Y")</f>
        <v>Y</v>
      </c>
      <c r="O1269">
        <f>SUM(I1268:I1269)</f>
        <v>143</v>
      </c>
      <c r="P1269">
        <f t="shared" si="118"/>
        <v>66</v>
      </c>
    </row>
    <row r="1270" spans="1:16" hidden="1" x14ac:dyDescent="0.3">
      <c r="A1270" t="str">
        <f t="shared" si="117"/>
        <v>2021Michael7</v>
      </c>
      <c r="B1270">
        <f t="shared" si="114"/>
        <v>187</v>
      </c>
      <c r="C1270">
        <f t="shared" si="115"/>
        <v>822</v>
      </c>
      <c r="D1270" t="s">
        <v>23</v>
      </c>
      <c r="E1270" t="str">
        <f>D1271</f>
        <v>Matt</v>
      </c>
      <c r="F1270">
        <v>2021</v>
      </c>
      <c r="G1270">
        <v>7</v>
      </c>
      <c r="H1270">
        <v>1.1000000000000001</v>
      </c>
      <c r="I1270">
        <v>96</v>
      </c>
      <c r="J1270">
        <f>I1270-I1271</f>
        <v>40</v>
      </c>
      <c r="K1270" t="str">
        <f t="shared" si="119"/>
        <v>W</v>
      </c>
      <c r="L1270" t="str">
        <f t="shared" si="116"/>
        <v>Michael</v>
      </c>
      <c r="M1270" t="str">
        <f>VLOOKUP(L1270,References!$A$2:$B$16,2,FALSE)</f>
        <v>AKCOVA</v>
      </c>
      <c r="N1270" s="19" t="str">
        <f>IF(M1270=M1271,"N","Y")</f>
        <v>Y</v>
      </c>
      <c r="O1270">
        <f>SUM(I1270:I1271)</f>
        <v>152</v>
      </c>
      <c r="P1270">
        <f t="shared" si="118"/>
        <v>56</v>
      </c>
    </row>
    <row r="1271" spans="1:16" hidden="1" x14ac:dyDescent="0.3">
      <c r="A1271" t="str">
        <f t="shared" si="117"/>
        <v>2021Matt7</v>
      </c>
      <c r="B1271">
        <f t="shared" si="114"/>
        <v>1895</v>
      </c>
      <c r="C1271">
        <f t="shared" si="115"/>
        <v>2001</v>
      </c>
      <c r="D1271" t="s">
        <v>30</v>
      </c>
      <c r="E1271" t="str">
        <f>D1270</f>
        <v>Michael</v>
      </c>
      <c r="F1271">
        <v>2021</v>
      </c>
      <c r="G1271">
        <v>7</v>
      </c>
      <c r="H1271">
        <v>1.2</v>
      </c>
      <c r="I1271">
        <v>56</v>
      </c>
      <c r="J1271">
        <f>I1271-I1270</f>
        <v>-40</v>
      </c>
      <c r="K1271" t="str">
        <f t="shared" si="119"/>
        <v>L</v>
      </c>
      <c r="L1271" t="str">
        <f t="shared" si="116"/>
        <v>Matt</v>
      </c>
      <c r="M1271" t="str">
        <f>VLOOKUP(L1271,References!$A$2:$B$16,2,FALSE)</f>
        <v>TEXAROK</v>
      </c>
      <c r="N1271" s="19" t="str">
        <f>IF(M1271=M1270,"N","Y")</f>
        <v>Y</v>
      </c>
      <c r="O1271">
        <f>SUM(I1270:I1271)</f>
        <v>152</v>
      </c>
      <c r="P1271">
        <f t="shared" si="118"/>
        <v>96</v>
      </c>
    </row>
    <row r="1272" spans="1:16" hidden="1" x14ac:dyDescent="0.3">
      <c r="A1272" t="str">
        <f t="shared" si="117"/>
        <v>2021Charles7</v>
      </c>
      <c r="B1272">
        <f t="shared" si="114"/>
        <v>949</v>
      </c>
      <c r="C1272">
        <f t="shared" si="115"/>
        <v>714</v>
      </c>
      <c r="D1272" t="s">
        <v>48</v>
      </c>
      <c r="E1272" t="str">
        <f>D1273</f>
        <v>Russell</v>
      </c>
      <c r="F1272">
        <v>2021</v>
      </c>
      <c r="G1272">
        <v>7</v>
      </c>
      <c r="H1272">
        <v>2.1</v>
      </c>
      <c r="I1272">
        <v>99</v>
      </c>
      <c r="J1272">
        <f>I1272-I1273</f>
        <v>3</v>
      </c>
      <c r="K1272" t="str">
        <f t="shared" si="119"/>
        <v>W</v>
      </c>
      <c r="L1272" t="str">
        <f t="shared" si="116"/>
        <v>Charles</v>
      </c>
      <c r="M1272" t="str">
        <f>VLOOKUP(L1272,References!$A$2:$B$16,2,FALSE)</f>
        <v>AKCOVA</v>
      </c>
      <c r="N1272" s="19" t="str">
        <f>IF(M1272=M1273,"N","Y")</f>
        <v>Y</v>
      </c>
      <c r="O1272">
        <f>SUM(I1272:I1273)</f>
        <v>195</v>
      </c>
      <c r="P1272">
        <f t="shared" si="118"/>
        <v>96</v>
      </c>
    </row>
    <row r="1273" spans="1:16" hidden="1" x14ac:dyDescent="0.3">
      <c r="A1273" t="str">
        <f t="shared" si="117"/>
        <v>2021Russell7</v>
      </c>
      <c r="B1273">
        <f t="shared" si="114"/>
        <v>1117</v>
      </c>
      <c r="C1273">
        <f t="shared" si="115"/>
        <v>822</v>
      </c>
      <c r="D1273" t="s">
        <v>28</v>
      </c>
      <c r="E1273" t="str">
        <f>D1272</f>
        <v>Charles</v>
      </c>
      <c r="F1273">
        <v>2021</v>
      </c>
      <c r="G1273">
        <v>7</v>
      </c>
      <c r="H1273">
        <v>2.2000000000000002</v>
      </c>
      <c r="I1273">
        <v>96</v>
      </c>
      <c r="J1273">
        <f>I1273-I1272</f>
        <v>-3</v>
      </c>
      <c r="K1273" t="str">
        <f t="shared" si="119"/>
        <v>L</v>
      </c>
      <c r="L1273" t="str">
        <f t="shared" si="116"/>
        <v>Russell</v>
      </c>
      <c r="M1273" t="str">
        <f>VLOOKUP(L1273,References!$A$2:$B$16,2,FALSE)</f>
        <v>TEXAROK</v>
      </c>
      <c r="N1273" s="19" t="str">
        <f>IF(M1273=M1272,"N","Y")</f>
        <v>Y</v>
      </c>
      <c r="O1273">
        <f>SUM(I1272:I1273)</f>
        <v>195</v>
      </c>
      <c r="P1273">
        <f t="shared" si="118"/>
        <v>99</v>
      </c>
    </row>
    <row r="1274" spans="1:16" hidden="1" x14ac:dyDescent="0.3">
      <c r="A1274" t="str">
        <f t="shared" si="117"/>
        <v>2021BR7</v>
      </c>
      <c r="B1274">
        <f t="shared" si="114"/>
        <v>836</v>
      </c>
      <c r="C1274">
        <f t="shared" si="115"/>
        <v>1143</v>
      </c>
      <c r="D1274" t="s">
        <v>25</v>
      </c>
      <c r="E1274" t="str">
        <f>D1275</f>
        <v>Emily</v>
      </c>
      <c r="F1274">
        <v>2021</v>
      </c>
      <c r="G1274">
        <v>7</v>
      </c>
      <c r="H1274">
        <v>3.1</v>
      </c>
      <c r="I1274">
        <v>87</v>
      </c>
      <c r="J1274">
        <f>I1274-I1275</f>
        <v>7</v>
      </c>
      <c r="K1274" t="str">
        <f t="shared" si="119"/>
        <v>W</v>
      </c>
      <c r="L1274" t="str">
        <f t="shared" si="116"/>
        <v>BR</v>
      </c>
      <c r="M1274" t="str">
        <f>VLOOKUP(L1274,References!$A$2:$B$16,2,FALSE)</f>
        <v>AKCOVA</v>
      </c>
      <c r="N1274" s="19" t="str">
        <f>IF(M1274=M1275,"N","Y")</f>
        <v>Y</v>
      </c>
      <c r="O1274">
        <f>SUM(I1274:I1275)</f>
        <v>167</v>
      </c>
      <c r="P1274">
        <f t="shared" si="118"/>
        <v>80</v>
      </c>
    </row>
    <row r="1275" spans="1:16" hidden="1" x14ac:dyDescent="0.3">
      <c r="A1275" t="str">
        <f t="shared" si="117"/>
        <v>2021Emily7</v>
      </c>
      <c r="B1275">
        <f t="shared" si="114"/>
        <v>1229</v>
      </c>
      <c r="C1275">
        <f t="shared" si="115"/>
        <v>1406</v>
      </c>
      <c r="D1275" t="s">
        <v>43</v>
      </c>
      <c r="E1275" t="str">
        <f>D1274</f>
        <v>BR</v>
      </c>
      <c r="F1275">
        <v>2021</v>
      </c>
      <c r="G1275">
        <v>7</v>
      </c>
      <c r="H1275">
        <v>3.2</v>
      </c>
      <c r="I1275">
        <v>80</v>
      </c>
      <c r="J1275">
        <f>I1275-I1274</f>
        <v>-7</v>
      </c>
      <c r="K1275" t="str">
        <f t="shared" si="119"/>
        <v>L</v>
      </c>
      <c r="L1275" t="str">
        <f t="shared" si="116"/>
        <v>Emily</v>
      </c>
      <c r="M1275" t="str">
        <f>VLOOKUP(L1275,References!$A$2:$B$16,2,FALSE)</f>
        <v>TEXAROK</v>
      </c>
      <c r="N1275" s="19" t="str">
        <f>IF(M1275=M1274,"N","Y")</f>
        <v>Y</v>
      </c>
      <c r="O1275">
        <f>SUM(I1274:I1275)</f>
        <v>167</v>
      </c>
      <c r="P1275">
        <f t="shared" si="118"/>
        <v>87</v>
      </c>
    </row>
    <row r="1276" spans="1:16" hidden="1" x14ac:dyDescent="0.3">
      <c r="A1276" t="str">
        <f t="shared" si="117"/>
        <v>2021Watty7</v>
      </c>
      <c r="B1276">
        <f t="shared" si="114"/>
        <v>1177</v>
      </c>
      <c r="C1276">
        <f t="shared" si="115"/>
        <v>1143</v>
      </c>
      <c r="D1276" t="s">
        <v>24</v>
      </c>
      <c r="E1276" t="str">
        <f>D1277</f>
        <v>David</v>
      </c>
      <c r="F1276">
        <v>2021</v>
      </c>
      <c r="G1276">
        <v>7</v>
      </c>
      <c r="H1276">
        <v>4.0999999999999996</v>
      </c>
      <c r="I1276">
        <v>87</v>
      </c>
      <c r="J1276">
        <f>I1276-I1277</f>
        <v>-5</v>
      </c>
      <c r="K1276" t="str">
        <f t="shared" si="119"/>
        <v>L</v>
      </c>
      <c r="L1276" t="str">
        <f t="shared" si="116"/>
        <v>Watty</v>
      </c>
      <c r="M1276" t="str">
        <f>VLOOKUP(L1276,References!$A$2:$B$16,2,FALSE)</f>
        <v>AKCOVA</v>
      </c>
      <c r="N1276" s="19" t="str">
        <f>IF(M1276=M1277,"N","Y")</f>
        <v>Y</v>
      </c>
      <c r="O1276">
        <f>SUM(I1276:I1277)</f>
        <v>179</v>
      </c>
      <c r="P1276">
        <f t="shared" si="118"/>
        <v>92</v>
      </c>
    </row>
    <row r="1277" spans="1:16" hidden="1" x14ac:dyDescent="0.3">
      <c r="A1277" t="str">
        <f t="shared" si="117"/>
        <v>2021David7</v>
      </c>
      <c r="B1277">
        <f t="shared" si="114"/>
        <v>897</v>
      </c>
      <c r="C1277">
        <f t="shared" si="115"/>
        <v>958</v>
      </c>
      <c r="D1277" t="s">
        <v>29</v>
      </c>
      <c r="E1277" t="str">
        <f>D1276</f>
        <v>Watty</v>
      </c>
      <c r="F1277">
        <v>2021</v>
      </c>
      <c r="G1277">
        <v>7</v>
      </c>
      <c r="H1277">
        <v>4.2</v>
      </c>
      <c r="I1277">
        <v>92</v>
      </c>
      <c r="J1277">
        <f>I1277-I1276</f>
        <v>5</v>
      </c>
      <c r="K1277" t="str">
        <f t="shared" si="119"/>
        <v>W</v>
      </c>
      <c r="L1277" t="str">
        <f t="shared" si="116"/>
        <v>David</v>
      </c>
      <c r="M1277" t="str">
        <f>VLOOKUP(L1277,References!$A$2:$B$16,2,FALSE)</f>
        <v>TEXAROK</v>
      </c>
      <c r="N1277" s="19" t="str">
        <f>IF(M1277=M1276,"N","Y")</f>
        <v>Y</v>
      </c>
      <c r="O1277">
        <f>SUM(I1276:I1277)</f>
        <v>179</v>
      </c>
      <c r="P1277">
        <f t="shared" si="118"/>
        <v>87</v>
      </c>
    </row>
    <row r="1278" spans="1:16" hidden="1" x14ac:dyDescent="0.3">
      <c r="A1278" t="str">
        <f t="shared" si="117"/>
        <v>2021Mark7</v>
      </c>
      <c r="B1278">
        <f t="shared" si="114"/>
        <v>1434</v>
      </c>
      <c r="C1278">
        <f t="shared" si="115"/>
        <v>1027</v>
      </c>
      <c r="D1278" t="s">
        <v>22</v>
      </c>
      <c r="E1278" t="str">
        <f>D1279</f>
        <v>Brent</v>
      </c>
      <c r="F1278">
        <v>2021</v>
      </c>
      <c r="G1278">
        <v>7</v>
      </c>
      <c r="H1278">
        <v>5.0999999999999996</v>
      </c>
      <c r="I1278">
        <v>90</v>
      </c>
      <c r="J1278">
        <f>I1278-I1279</f>
        <v>-15</v>
      </c>
      <c r="K1278" t="str">
        <f t="shared" si="119"/>
        <v>L</v>
      </c>
      <c r="L1278" t="str">
        <f t="shared" si="116"/>
        <v>Mark</v>
      </c>
      <c r="M1278" t="str">
        <f>VLOOKUP(L1278,References!$A$2:$B$16,2,FALSE)</f>
        <v>AKCOVA</v>
      </c>
      <c r="N1278" s="19" t="str">
        <f>IF(M1278=M1279,"N","Y")</f>
        <v>Y</v>
      </c>
      <c r="O1278">
        <f>SUM(I1278:I1279)</f>
        <v>195</v>
      </c>
      <c r="P1278">
        <f t="shared" si="118"/>
        <v>105</v>
      </c>
    </row>
    <row r="1279" spans="1:16" hidden="1" x14ac:dyDescent="0.3">
      <c r="A1279" t="str">
        <f t="shared" si="117"/>
        <v>2021Brent7</v>
      </c>
      <c r="B1279">
        <f t="shared" si="114"/>
        <v>639</v>
      </c>
      <c r="C1279">
        <f t="shared" si="115"/>
        <v>540</v>
      </c>
      <c r="D1279" t="s">
        <v>47</v>
      </c>
      <c r="E1279" t="str">
        <f>D1278</f>
        <v>Mark</v>
      </c>
      <c r="F1279">
        <v>2021</v>
      </c>
      <c r="G1279">
        <v>7</v>
      </c>
      <c r="H1279">
        <v>5.2</v>
      </c>
      <c r="I1279">
        <v>105</v>
      </c>
      <c r="J1279">
        <f>I1279-I1278</f>
        <v>15</v>
      </c>
      <c r="K1279" t="str">
        <f t="shared" si="119"/>
        <v>W</v>
      </c>
      <c r="L1279" t="str">
        <f t="shared" si="116"/>
        <v>Brent</v>
      </c>
      <c r="M1279" t="str">
        <f>VLOOKUP(L1279,References!$A$2:$B$16,2,FALSE)</f>
        <v>TEXAROK</v>
      </c>
      <c r="N1279" s="19" t="str">
        <f>IF(M1279=M1278,"N","Y")</f>
        <v>Y</v>
      </c>
      <c r="O1279">
        <f>SUM(I1278:I1279)</f>
        <v>195</v>
      </c>
      <c r="P1279">
        <f t="shared" si="118"/>
        <v>90</v>
      </c>
    </row>
    <row r="1280" spans="1:16" hidden="1" x14ac:dyDescent="0.3">
      <c r="A1280" t="str">
        <f t="shared" si="117"/>
        <v>2021Arnold7</v>
      </c>
      <c r="B1280">
        <f t="shared" si="114"/>
        <v>1997</v>
      </c>
      <c r="C1280">
        <f t="shared" si="115"/>
        <v>1648</v>
      </c>
      <c r="D1280" t="s">
        <v>227</v>
      </c>
      <c r="E1280" t="str">
        <f>D1281</f>
        <v>Brian</v>
      </c>
      <c r="F1280">
        <v>2021</v>
      </c>
      <c r="G1280">
        <v>7</v>
      </c>
      <c r="H1280">
        <v>6.1</v>
      </c>
      <c r="I1280">
        <v>73</v>
      </c>
      <c r="J1280">
        <f>I1280-I1281</f>
        <v>-53</v>
      </c>
      <c r="K1280" t="str">
        <f t="shared" si="119"/>
        <v>L</v>
      </c>
      <c r="L1280" t="str">
        <f t="shared" si="116"/>
        <v>Arnold</v>
      </c>
      <c r="M1280" t="str">
        <f>VLOOKUP(L1280,References!$A$2:$B$16,2,FALSE)</f>
        <v>AKCOVA</v>
      </c>
      <c r="N1280" s="19" t="str">
        <f>IF(M1280=M1281,"N","Y")</f>
        <v>Y</v>
      </c>
      <c r="O1280">
        <f>SUM(I1280:I1281)</f>
        <v>199</v>
      </c>
      <c r="P1280">
        <f t="shared" si="118"/>
        <v>126</v>
      </c>
    </row>
    <row r="1281" spans="1:16" hidden="1" x14ac:dyDescent="0.3">
      <c r="A1281" t="str">
        <f t="shared" si="117"/>
        <v>2021Brian7</v>
      </c>
      <c r="B1281">
        <f t="shared" si="114"/>
        <v>89</v>
      </c>
      <c r="C1281">
        <f t="shared" si="115"/>
        <v>150</v>
      </c>
      <c r="D1281" t="s">
        <v>26</v>
      </c>
      <c r="E1281" t="str">
        <f>D1280</f>
        <v>Arnold</v>
      </c>
      <c r="F1281">
        <v>2021</v>
      </c>
      <c r="G1281">
        <v>7</v>
      </c>
      <c r="H1281">
        <v>6.2</v>
      </c>
      <c r="I1281">
        <v>126</v>
      </c>
      <c r="J1281">
        <f>I1281-I1280</f>
        <v>53</v>
      </c>
      <c r="K1281" t="str">
        <f t="shared" si="119"/>
        <v>W</v>
      </c>
      <c r="L1281" t="str">
        <f t="shared" si="116"/>
        <v>Brian</v>
      </c>
      <c r="M1281" t="str">
        <f>VLOOKUP(L1281,References!$A$2:$B$16,2,FALSE)</f>
        <v>TEXAROK</v>
      </c>
      <c r="N1281" s="19" t="str">
        <f>IF(M1281=M1280,"N","Y")</f>
        <v>Y</v>
      </c>
      <c r="O1281">
        <f>SUM(I1280:I1281)</f>
        <v>199</v>
      </c>
      <c r="P1281">
        <f t="shared" si="118"/>
        <v>73</v>
      </c>
    </row>
    <row r="1282" spans="1:16" hidden="1" x14ac:dyDescent="0.3">
      <c r="A1282" t="str">
        <f t="shared" si="117"/>
        <v>2021Russell8</v>
      </c>
      <c r="B1282">
        <f t="shared" ref="B1282:B1345" si="120">RANK(J1282,diff)</f>
        <v>1895</v>
      </c>
      <c r="C1282">
        <f t="shared" ref="C1282:C1345" si="121">RANK(I1282,points)</f>
        <v>1365</v>
      </c>
      <c r="D1282" t="s">
        <v>28</v>
      </c>
      <c r="E1282" t="str">
        <f>D1283</f>
        <v>Michael</v>
      </c>
      <c r="F1282">
        <v>2021</v>
      </c>
      <c r="G1282">
        <v>8</v>
      </c>
      <c r="H1282">
        <v>1.1000000000000001</v>
      </c>
      <c r="I1282">
        <v>81</v>
      </c>
      <c r="J1282">
        <f>I1282-I1283</f>
        <v>-40</v>
      </c>
      <c r="K1282" t="str">
        <f t="shared" si="119"/>
        <v>L</v>
      </c>
      <c r="L1282" t="str">
        <f t="shared" ref="L1282:L1345" si="122">D1282</f>
        <v>Russell</v>
      </c>
      <c r="M1282" t="str">
        <f>VLOOKUP(L1282,References!$A$2:$B$16,2,FALSE)</f>
        <v>TEXAROK</v>
      </c>
      <c r="N1282" s="19" t="str">
        <f>IF(M1282=M1283,"N","Y")</f>
        <v>Y</v>
      </c>
      <c r="O1282">
        <f>SUM(I1282:I1283)</f>
        <v>202</v>
      </c>
      <c r="P1282">
        <f t="shared" si="118"/>
        <v>121</v>
      </c>
    </row>
    <row r="1283" spans="1:16" x14ac:dyDescent="0.3">
      <c r="A1283" t="str">
        <f t="shared" ref="A1283:A1346" si="123">F1283&amp;D1283&amp;G1283</f>
        <v>2021Michael8</v>
      </c>
      <c r="B1283">
        <f t="shared" si="120"/>
        <v>187</v>
      </c>
      <c r="C1283">
        <f t="shared" si="121"/>
        <v>211</v>
      </c>
      <c r="D1283" t="s">
        <v>23</v>
      </c>
      <c r="E1283" t="str">
        <f>D1282</f>
        <v>Russell</v>
      </c>
      <c r="F1283">
        <v>2021</v>
      </c>
      <c r="G1283">
        <v>8</v>
      </c>
      <c r="H1283">
        <v>1.2</v>
      </c>
      <c r="I1283">
        <v>121</v>
      </c>
      <c r="J1283">
        <f>I1283-I1282</f>
        <v>40</v>
      </c>
      <c r="K1283" t="str">
        <f t="shared" si="119"/>
        <v>W</v>
      </c>
      <c r="L1283" t="str">
        <f t="shared" si="122"/>
        <v>Michael</v>
      </c>
      <c r="M1283" t="str">
        <f>VLOOKUP(L1283,References!$A$2:$B$16,2,FALSE)</f>
        <v>AKCOVA</v>
      </c>
      <c r="N1283" s="19" t="str">
        <f>IF(M1283=M1282,"N","Y")</f>
        <v>Y</v>
      </c>
      <c r="O1283">
        <f>SUM(I1282:I1283)</f>
        <v>202</v>
      </c>
      <c r="P1283">
        <f t="shared" ref="P1283:P1346" si="124">I1283-J1283</f>
        <v>81</v>
      </c>
    </row>
    <row r="1284" spans="1:16" hidden="1" x14ac:dyDescent="0.3">
      <c r="A1284" t="str">
        <f t="shared" si="123"/>
        <v>2021Emily8</v>
      </c>
      <c r="B1284">
        <f t="shared" si="120"/>
        <v>1546</v>
      </c>
      <c r="C1284">
        <f t="shared" si="121"/>
        <v>1468</v>
      </c>
      <c r="D1284" t="s">
        <v>43</v>
      </c>
      <c r="E1284" t="str">
        <f>D1285</f>
        <v>Charles</v>
      </c>
      <c r="F1284">
        <v>2021</v>
      </c>
      <c r="G1284">
        <v>8</v>
      </c>
      <c r="H1284">
        <v>2.1</v>
      </c>
      <c r="I1284">
        <v>78</v>
      </c>
      <c r="J1284">
        <f>I1284-I1285</f>
        <v>-20</v>
      </c>
      <c r="K1284" t="str">
        <f t="shared" si="119"/>
        <v>L</v>
      </c>
      <c r="L1284" t="str">
        <f t="shared" si="122"/>
        <v>Emily</v>
      </c>
      <c r="M1284" t="str">
        <f>VLOOKUP(L1284,References!$A$2:$B$16,2,FALSE)</f>
        <v>TEXAROK</v>
      </c>
      <c r="N1284" s="19" t="str">
        <f>IF(M1284=M1285,"N","Y")</f>
        <v>Y</v>
      </c>
      <c r="O1284">
        <f>SUM(I1284:I1285)</f>
        <v>176</v>
      </c>
      <c r="P1284">
        <f t="shared" si="124"/>
        <v>98</v>
      </c>
    </row>
    <row r="1285" spans="1:16" hidden="1" x14ac:dyDescent="0.3">
      <c r="A1285" t="str">
        <f t="shared" si="123"/>
        <v>2021Charles8</v>
      </c>
      <c r="B1285">
        <f t="shared" si="120"/>
        <v>517</v>
      </c>
      <c r="C1285">
        <f t="shared" si="121"/>
        <v>746</v>
      </c>
      <c r="D1285" t="s">
        <v>48</v>
      </c>
      <c r="E1285" t="str">
        <f>D1284</f>
        <v>Emily</v>
      </c>
      <c r="F1285">
        <v>2021</v>
      </c>
      <c r="G1285">
        <v>8</v>
      </c>
      <c r="H1285">
        <v>2.2000000000000002</v>
      </c>
      <c r="I1285">
        <v>98</v>
      </c>
      <c r="J1285">
        <f>I1285-I1284</f>
        <v>20</v>
      </c>
      <c r="K1285" t="str">
        <f t="shared" si="119"/>
        <v>W</v>
      </c>
      <c r="L1285" t="str">
        <f t="shared" si="122"/>
        <v>Charles</v>
      </c>
      <c r="M1285" t="str">
        <f>VLOOKUP(L1285,References!$A$2:$B$16,2,FALSE)</f>
        <v>AKCOVA</v>
      </c>
      <c r="N1285" s="19" t="str">
        <f>IF(M1285=M1284,"N","Y")</f>
        <v>Y</v>
      </c>
      <c r="O1285">
        <f>SUM(I1284:I1285)</f>
        <v>176</v>
      </c>
      <c r="P1285">
        <f t="shared" si="124"/>
        <v>78</v>
      </c>
    </row>
    <row r="1286" spans="1:16" hidden="1" x14ac:dyDescent="0.3">
      <c r="A1286" t="str">
        <f t="shared" si="123"/>
        <v>2021David8</v>
      </c>
      <c r="B1286">
        <f t="shared" si="120"/>
        <v>1381</v>
      </c>
      <c r="C1286">
        <f t="shared" si="121"/>
        <v>1143</v>
      </c>
      <c r="D1286" t="s">
        <v>29</v>
      </c>
      <c r="E1286" t="str">
        <f>D1287</f>
        <v>BR</v>
      </c>
      <c r="F1286">
        <v>2021</v>
      </c>
      <c r="G1286">
        <v>8</v>
      </c>
      <c r="H1286">
        <v>3.1</v>
      </c>
      <c r="I1286">
        <v>87</v>
      </c>
      <c r="J1286">
        <f>I1286-I1287</f>
        <v>-13</v>
      </c>
      <c r="K1286" t="str">
        <f t="shared" ref="K1286:K1349" si="125">IF(J1286&gt;0,"W",IF(J1286&lt;0,"L","T"))</f>
        <v>L</v>
      </c>
      <c r="L1286" t="str">
        <f t="shared" si="122"/>
        <v>David</v>
      </c>
      <c r="M1286" t="str">
        <f>VLOOKUP(L1286,References!$A$2:$B$16,2,FALSE)</f>
        <v>TEXAROK</v>
      </c>
      <c r="N1286" s="19" t="str">
        <f>IF(M1286=M1287,"N","Y")</f>
        <v>Y</v>
      </c>
      <c r="O1286">
        <f>SUM(I1286:I1287)</f>
        <v>187</v>
      </c>
      <c r="P1286">
        <f t="shared" si="124"/>
        <v>100</v>
      </c>
    </row>
    <row r="1287" spans="1:16" hidden="1" x14ac:dyDescent="0.3">
      <c r="A1287" t="str">
        <f t="shared" si="123"/>
        <v>2021BR8</v>
      </c>
      <c r="B1287">
        <f t="shared" si="120"/>
        <v>685</v>
      </c>
      <c r="C1287">
        <f t="shared" si="121"/>
        <v>678</v>
      </c>
      <c r="D1287" t="s">
        <v>25</v>
      </c>
      <c r="E1287" t="str">
        <f>D1286</f>
        <v>David</v>
      </c>
      <c r="F1287">
        <v>2021</v>
      </c>
      <c r="G1287">
        <v>8</v>
      </c>
      <c r="H1287">
        <v>3.2</v>
      </c>
      <c r="I1287">
        <v>100</v>
      </c>
      <c r="J1287">
        <f>I1287-I1286</f>
        <v>13</v>
      </c>
      <c r="K1287" t="str">
        <f t="shared" si="125"/>
        <v>W</v>
      </c>
      <c r="L1287" t="str">
        <f t="shared" si="122"/>
        <v>BR</v>
      </c>
      <c r="M1287" t="str">
        <f>VLOOKUP(L1287,References!$A$2:$B$16,2,FALSE)</f>
        <v>AKCOVA</v>
      </c>
      <c r="N1287" s="19" t="str">
        <f>IF(M1287=M1286,"N","Y")</f>
        <v>Y</v>
      </c>
      <c r="O1287">
        <f>SUM(I1286:I1287)</f>
        <v>187</v>
      </c>
      <c r="P1287">
        <f t="shared" si="124"/>
        <v>87</v>
      </c>
    </row>
    <row r="1288" spans="1:16" hidden="1" x14ac:dyDescent="0.3">
      <c r="A1288" t="str">
        <f t="shared" si="123"/>
        <v>2021Brent8</v>
      </c>
      <c r="B1288">
        <f t="shared" si="120"/>
        <v>489</v>
      </c>
      <c r="C1288">
        <f t="shared" si="121"/>
        <v>1318</v>
      </c>
      <c r="D1288" t="s">
        <v>47</v>
      </c>
      <c r="E1288" t="str">
        <f>D1289</f>
        <v>Watty</v>
      </c>
      <c r="F1288">
        <v>2021</v>
      </c>
      <c r="G1288">
        <v>8</v>
      </c>
      <c r="H1288">
        <v>4.0999999999999996</v>
      </c>
      <c r="I1288">
        <v>82</v>
      </c>
      <c r="J1288">
        <f>I1288-I1289</f>
        <v>21</v>
      </c>
      <c r="K1288" t="str">
        <f t="shared" si="125"/>
        <v>W</v>
      </c>
      <c r="L1288" t="str">
        <f t="shared" si="122"/>
        <v>Brent</v>
      </c>
      <c r="M1288" t="str">
        <f>VLOOKUP(L1288,References!$A$2:$B$16,2,FALSE)</f>
        <v>TEXAROK</v>
      </c>
      <c r="N1288" s="19" t="str">
        <f>IF(M1288=M1289,"N","Y")</f>
        <v>Y</v>
      </c>
      <c r="O1288">
        <f>SUM(I1288:I1289)</f>
        <v>143</v>
      </c>
      <c r="P1288">
        <f t="shared" si="124"/>
        <v>61</v>
      </c>
    </row>
    <row r="1289" spans="1:16" hidden="1" x14ac:dyDescent="0.3">
      <c r="A1289" t="str">
        <f t="shared" si="123"/>
        <v>2021Watty8</v>
      </c>
      <c r="B1289">
        <f t="shared" si="120"/>
        <v>1577</v>
      </c>
      <c r="C1289">
        <f t="shared" si="121"/>
        <v>1927</v>
      </c>
      <c r="D1289" t="s">
        <v>24</v>
      </c>
      <c r="E1289" t="str">
        <f>D1288</f>
        <v>Brent</v>
      </c>
      <c r="F1289">
        <v>2021</v>
      </c>
      <c r="G1289">
        <v>8</v>
      </c>
      <c r="H1289">
        <v>4.2</v>
      </c>
      <c r="I1289">
        <v>61</v>
      </c>
      <c r="J1289">
        <f>I1289-I1288</f>
        <v>-21</v>
      </c>
      <c r="K1289" t="str">
        <f t="shared" si="125"/>
        <v>L</v>
      </c>
      <c r="L1289" t="str">
        <f t="shared" si="122"/>
        <v>Watty</v>
      </c>
      <c r="M1289" t="str">
        <f>VLOOKUP(L1289,References!$A$2:$B$16,2,FALSE)</f>
        <v>AKCOVA</v>
      </c>
      <c r="N1289" s="19" t="str">
        <f>IF(M1289=M1288,"N","Y")</f>
        <v>Y</v>
      </c>
      <c r="O1289">
        <f>SUM(I1288:I1289)</f>
        <v>143</v>
      </c>
      <c r="P1289">
        <f t="shared" si="124"/>
        <v>82</v>
      </c>
    </row>
    <row r="1290" spans="1:16" hidden="1" x14ac:dyDescent="0.3">
      <c r="A1290" t="str">
        <f t="shared" si="123"/>
        <v>2021Brian8</v>
      </c>
      <c r="B1290">
        <f t="shared" si="120"/>
        <v>548</v>
      </c>
      <c r="C1290">
        <f t="shared" si="121"/>
        <v>1365</v>
      </c>
      <c r="D1290" t="s">
        <v>26</v>
      </c>
      <c r="E1290" t="str">
        <f>D1291</f>
        <v>Mark</v>
      </c>
      <c r="F1290">
        <v>2021</v>
      </c>
      <c r="G1290">
        <v>8</v>
      </c>
      <c r="H1290">
        <v>5.0999999999999996</v>
      </c>
      <c r="I1290">
        <v>81</v>
      </c>
      <c r="J1290">
        <f>I1290-I1291</f>
        <v>19</v>
      </c>
      <c r="K1290" t="str">
        <f t="shared" si="125"/>
        <v>W</v>
      </c>
      <c r="L1290" t="str">
        <f t="shared" si="122"/>
        <v>Brian</v>
      </c>
      <c r="M1290" t="str">
        <f>VLOOKUP(L1290,References!$A$2:$B$16,2,FALSE)</f>
        <v>TEXAROK</v>
      </c>
      <c r="N1290" s="19" t="str">
        <f>IF(M1290=M1291,"N","Y")</f>
        <v>Y</v>
      </c>
      <c r="O1290">
        <f>SUM(I1290:I1291)</f>
        <v>143</v>
      </c>
      <c r="P1290">
        <f t="shared" si="124"/>
        <v>62</v>
      </c>
    </row>
    <row r="1291" spans="1:16" hidden="1" x14ac:dyDescent="0.3">
      <c r="A1291" t="str">
        <f t="shared" si="123"/>
        <v>2021Mark8</v>
      </c>
      <c r="B1291">
        <f t="shared" si="120"/>
        <v>1523</v>
      </c>
      <c r="C1291">
        <f t="shared" si="121"/>
        <v>1910</v>
      </c>
      <c r="D1291" t="s">
        <v>22</v>
      </c>
      <c r="E1291" t="str">
        <f>D1290</f>
        <v>Brian</v>
      </c>
      <c r="F1291">
        <v>2021</v>
      </c>
      <c r="G1291">
        <v>8</v>
      </c>
      <c r="H1291">
        <v>5.2</v>
      </c>
      <c r="I1291">
        <v>62</v>
      </c>
      <c r="J1291">
        <f>I1291-I1290</f>
        <v>-19</v>
      </c>
      <c r="K1291" t="str">
        <f t="shared" si="125"/>
        <v>L</v>
      </c>
      <c r="L1291" t="str">
        <f t="shared" si="122"/>
        <v>Mark</v>
      </c>
      <c r="M1291" t="str">
        <f>VLOOKUP(L1291,References!$A$2:$B$16,2,FALSE)</f>
        <v>AKCOVA</v>
      </c>
      <c r="N1291" s="19" t="str">
        <f>IF(M1291=M1290,"N","Y")</f>
        <v>Y</v>
      </c>
      <c r="O1291">
        <f>SUM(I1290:I1291)</f>
        <v>143</v>
      </c>
      <c r="P1291">
        <f t="shared" si="124"/>
        <v>81</v>
      </c>
    </row>
    <row r="1292" spans="1:16" hidden="1" x14ac:dyDescent="0.3">
      <c r="A1292" t="str">
        <f t="shared" si="123"/>
        <v>2021Matt8</v>
      </c>
      <c r="B1292">
        <f t="shared" si="120"/>
        <v>803</v>
      </c>
      <c r="C1292">
        <f t="shared" si="121"/>
        <v>1365</v>
      </c>
      <c r="D1292" t="s">
        <v>30</v>
      </c>
      <c r="E1292" t="str">
        <f>D1293</f>
        <v>Arnold</v>
      </c>
      <c r="F1292">
        <v>2021</v>
      </c>
      <c r="G1292">
        <v>8</v>
      </c>
      <c r="H1292">
        <v>6.1</v>
      </c>
      <c r="I1292">
        <v>81</v>
      </c>
      <c r="J1292">
        <f>I1292-I1293</f>
        <v>8</v>
      </c>
      <c r="K1292" t="str">
        <f t="shared" si="125"/>
        <v>W</v>
      </c>
      <c r="L1292" t="str">
        <f t="shared" si="122"/>
        <v>Matt</v>
      </c>
      <c r="M1292" t="str">
        <f>VLOOKUP(L1292,References!$A$2:$B$16,2,FALSE)</f>
        <v>TEXAROK</v>
      </c>
      <c r="N1292" s="19" t="str">
        <f>IF(M1292=M1293,"N","Y")</f>
        <v>Y</v>
      </c>
      <c r="O1292">
        <f>SUM(I1292:I1293)</f>
        <v>154</v>
      </c>
      <c r="P1292">
        <f t="shared" si="124"/>
        <v>73</v>
      </c>
    </row>
    <row r="1293" spans="1:16" hidden="1" x14ac:dyDescent="0.3">
      <c r="A1293" t="str">
        <f t="shared" si="123"/>
        <v>2021Arnold8</v>
      </c>
      <c r="B1293">
        <f t="shared" si="120"/>
        <v>1258</v>
      </c>
      <c r="C1293">
        <f t="shared" si="121"/>
        <v>1648</v>
      </c>
      <c r="D1293" t="s">
        <v>227</v>
      </c>
      <c r="E1293" t="str">
        <f>D1292</f>
        <v>Matt</v>
      </c>
      <c r="F1293">
        <v>2021</v>
      </c>
      <c r="G1293">
        <v>8</v>
      </c>
      <c r="H1293">
        <v>6.2</v>
      </c>
      <c r="I1293">
        <v>73</v>
      </c>
      <c r="J1293">
        <f>I1293-I1292</f>
        <v>-8</v>
      </c>
      <c r="K1293" t="str">
        <f t="shared" si="125"/>
        <v>L</v>
      </c>
      <c r="L1293" t="str">
        <f t="shared" si="122"/>
        <v>Arnold</v>
      </c>
      <c r="M1293" t="str">
        <f>VLOOKUP(L1293,References!$A$2:$B$16,2,FALSE)</f>
        <v>AKCOVA</v>
      </c>
      <c r="N1293" s="19" t="str">
        <f>IF(M1293=M1292,"N","Y")</f>
        <v>Y</v>
      </c>
      <c r="O1293">
        <f>SUM(I1292:I1293)</f>
        <v>154</v>
      </c>
      <c r="P1293">
        <f t="shared" si="124"/>
        <v>81</v>
      </c>
    </row>
    <row r="1294" spans="1:16" hidden="1" x14ac:dyDescent="0.3">
      <c r="A1294" t="str">
        <f t="shared" si="123"/>
        <v>2021Michael9</v>
      </c>
      <c r="B1294">
        <f t="shared" si="120"/>
        <v>949</v>
      </c>
      <c r="C1294">
        <f t="shared" si="121"/>
        <v>2027</v>
      </c>
      <c r="D1294" t="s">
        <v>23</v>
      </c>
      <c r="E1294" t="str">
        <f>D1295</f>
        <v>Emily</v>
      </c>
      <c r="F1294">
        <v>2021</v>
      </c>
      <c r="G1294">
        <v>9</v>
      </c>
      <c r="H1294">
        <v>1.1000000000000001</v>
      </c>
      <c r="I1294">
        <v>53</v>
      </c>
      <c r="J1294">
        <f>I1294-I1295</f>
        <v>3</v>
      </c>
      <c r="K1294" t="str">
        <f t="shared" si="125"/>
        <v>W</v>
      </c>
      <c r="L1294" t="str">
        <f t="shared" si="122"/>
        <v>Michael</v>
      </c>
      <c r="M1294" t="str">
        <f>VLOOKUP(L1294,References!$A$2:$B$16,2,FALSE)</f>
        <v>AKCOVA</v>
      </c>
      <c r="N1294" s="19" t="str">
        <f>IF(M1294=M1295,"N","Y")</f>
        <v>Y</v>
      </c>
      <c r="O1294">
        <f>SUM(I1294:I1295)</f>
        <v>103</v>
      </c>
      <c r="P1294">
        <f t="shared" si="124"/>
        <v>50</v>
      </c>
    </row>
    <row r="1295" spans="1:16" hidden="1" x14ac:dyDescent="0.3">
      <c r="A1295" t="str">
        <f t="shared" si="123"/>
        <v>2021Emily9</v>
      </c>
      <c r="B1295">
        <f t="shared" si="120"/>
        <v>1117</v>
      </c>
      <c r="C1295">
        <f t="shared" si="121"/>
        <v>2049</v>
      </c>
      <c r="D1295" t="s">
        <v>43</v>
      </c>
      <c r="E1295" t="str">
        <f>D1294</f>
        <v>Michael</v>
      </c>
      <c r="F1295">
        <v>2021</v>
      </c>
      <c r="G1295">
        <v>9</v>
      </c>
      <c r="H1295">
        <v>1.2</v>
      </c>
      <c r="I1295">
        <v>50</v>
      </c>
      <c r="J1295">
        <f>I1295-I1294</f>
        <v>-3</v>
      </c>
      <c r="K1295" t="str">
        <f t="shared" si="125"/>
        <v>L</v>
      </c>
      <c r="L1295" t="str">
        <f t="shared" si="122"/>
        <v>Emily</v>
      </c>
      <c r="M1295" t="str">
        <f>VLOOKUP(L1295,References!$A$2:$B$16,2,FALSE)</f>
        <v>TEXAROK</v>
      </c>
      <c r="N1295" s="19" t="str">
        <f>IF(M1295=M1294,"N","Y")</f>
        <v>Y</v>
      </c>
      <c r="O1295">
        <f>SUM(I1294:I1295)</f>
        <v>103</v>
      </c>
      <c r="P1295">
        <f t="shared" si="124"/>
        <v>53</v>
      </c>
    </row>
    <row r="1296" spans="1:16" hidden="1" x14ac:dyDescent="0.3">
      <c r="A1296" t="str">
        <f t="shared" si="123"/>
        <v>2021Charles9</v>
      </c>
      <c r="B1296">
        <f t="shared" si="120"/>
        <v>1523</v>
      </c>
      <c r="C1296">
        <f t="shared" si="121"/>
        <v>1027</v>
      </c>
      <c r="D1296" t="s">
        <v>48</v>
      </c>
      <c r="E1296" t="str">
        <f>D1297</f>
        <v>David</v>
      </c>
      <c r="F1296">
        <v>2021</v>
      </c>
      <c r="G1296">
        <v>9</v>
      </c>
      <c r="H1296">
        <v>2.1</v>
      </c>
      <c r="I1296">
        <v>90</v>
      </c>
      <c r="J1296">
        <f>I1296-I1297</f>
        <v>-19</v>
      </c>
      <c r="K1296" t="str">
        <f t="shared" si="125"/>
        <v>L</v>
      </c>
      <c r="L1296" t="str">
        <f t="shared" si="122"/>
        <v>Charles</v>
      </c>
      <c r="M1296" t="str">
        <f>VLOOKUP(L1296,References!$A$2:$B$16,2,FALSE)</f>
        <v>AKCOVA</v>
      </c>
      <c r="N1296" s="19" t="str">
        <f>IF(M1296=M1297,"N","Y")</f>
        <v>Y</v>
      </c>
      <c r="O1296">
        <f>SUM(I1296:I1297)</f>
        <v>199</v>
      </c>
      <c r="P1296">
        <f t="shared" si="124"/>
        <v>109</v>
      </c>
    </row>
    <row r="1297" spans="1:16" hidden="1" x14ac:dyDescent="0.3">
      <c r="A1297" t="str">
        <f t="shared" si="123"/>
        <v>2021David9</v>
      </c>
      <c r="B1297">
        <f t="shared" si="120"/>
        <v>548</v>
      </c>
      <c r="C1297">
        <f t="shared" si="121"/>
        <v>435</v>
      </c>
      <c r="D1297" t="s">
        <v>29</v>
      </c>
      <c r="E1297" t="str">
        <f>D1296</f>
        <v>Charles</v>
      </c>
      <c r="F1297">
        <v>2021</v>
      </c>
      <c r="G1297">
        <v>9</v>
      </c>
      <c r="H1297">
        <v>2.2000000000000002</v>
      </c>
      <c r="I1297">
        <v>109</v>
      </c>
      <c r="J1297">
        <f>I1297-I1296</f>
        <v>19</v>
      </c>
      <c r="K1297" t="str">
        <f t="shared" si="125"/>
        <v>W</v>
      </c>
      <c r="L1297" t="str">
        <f t="shared" si="122"/>
        <v>David</v>
      </c>
      <c r="M1297" t="str">
        <f>VLOOKUP(L1297,References!$A$2:$B$16,2,FALSE)</f>
        <v>TEXAROK</v>
      </c>
      <c r="N1297" s="19" t="str">
        <f>IF(M1297=M1296,"N","Y")</f>
        <v>Y</v>
      </c>
      <c r="O1297">
        <f>SUM(I1296:I1297)</f>
        <v>199</v>
      </c>
      <c r="P1297">
        <f t="shared" si="124"/>
        <v>90</v>
      </c>
    </row>
    <row r="1298" spans="1:16" hidden="1" x14ac:dyDescent="0.3">
      <c r="A1298" t="str">
        <f t="shared" si="123"/>
        <v>2021BR9</v>
      </c>
      <c r="B1298">
        <f t="shared" si="120"/>
        <v>1040</v>
      </c>
      <c r="C1298">
        <f t="shared" si="121"/>
        <v>1241</v>
      </c>
      <c r="D1298" t="s">
        <v>25</v>
      </c>
      <c r="E1298" t="str">
        <f>D1299</f>
        <v>Brent</v>
      </c>
      <c r="F1298">
        <v>2021</v>
      </c>
      <c r="G1298">
        <v>9</v>
      </c>
      <c r="H1298">
        <v>3.1</v>
      </c>
      <c r="I1298">
        <v>84</v>
      </c>
      <c r="J1298">
        <f>I1298-I1299</f>
        <v>0</v>
      </c>
      <c r="K1298" t="str">
        <f t="shared" si="125"/>
        <v>T</v>
      </c>
      <c r="L1298" t="str">
        <f t="shared" si="122"/>
        <v>BR</v>
      </c>
      <c r="M1298" t="str">
        <f>VLOOKUP(L1298,References!$A$2:$B$16,2,FALSE)</f>
        <v>AKCOVA</v>
      </c>
      <c r="N1298" s="19" t="str">
        <f>IF(M1298=M1299,"N","Y")</f>
        <v>Y</v>
      </c>
      <c r="O1298">
        <f>SUM(I1298:I1299)</f>
        <v>168</v>
      </c>
      <c r="P1298">
        <f t="shared" si="124"/>
        <v>84</v>
      </c>
    </row>
    <row r="1299" spans="1:16" hidden="1" x14ac:dyDescent="0.3">
      <c r="A1299" t="str">
        <f t="shared" si="123"/>
        <v>2021Brent9</v>
      </c>
      <c r="B1299">
        <f t="shared" si="120"/>
        <v>1040</v>
      </c>
      <c r="C1299">
        <f t="shared" si="121"/>
        <v>1241</v>
      </c>
      <c r="D1299" t="s">
        <v>47</v>
      </c>
      <c r="E1299" t="str">
        <f>D1298</f>
        <v>BR</v>
      </c>
      <c r="F1299">
        <v>2021</v>
      </c>
      <c r="G1299">
        <v>9</v>
      </c>
      <c r="H1299">
        <v>3.2</v>
      </c>
      <c r="I1299">
        <v>84</v>
      </c>
      <c r="J1299">
        <f>I1299-I1298</f>
        <v>0</v>
      </c>
      <c r="K1299" t="str">
        <f t="shared" si="125"/>
        <v>T</v>
      </c>
      <c r="L1299" t="str">
        <f t="shared" si="122"/>
        <v>Brent</v>
      </c>
      <c r="M1299" t="str">
        <f>VLOOKUP(L1299,References!$A$2:$B$16,2,FALSE)</f>
        <v>TEXAROK</v>
      </c>
      <c r="N1299" s="19" t="str">
        <f>IF(M1299=M1298,"N","Y")</f>
        <v>Y</v>
      </c>
      <c r="O1299">
        <f>SUM(I1298:I1299)</f>
        <v>168</v>
      </c>
      <c r="P1299">
        <f t="shared" si="124"/>
        <v>84</v>
      </c>
    </row>
    <row r="1300" spans="1:16" hidden="1" x14ac:dyDescent="0.3">
      <c r="A1300" t="str">
        <f t="shared" si="123"/>
        <v>2021Watty9</v>
      </c>
      <c r="B1300">
        <f t="shared" si="120"/>
        <v>1497</v>
      </c>
      <c r="C1300">
        <f t="shared" si="121"/>
        <v>1833</v>
      </c>
      <c r="D1300" t="s">
        <v>24</v>
      </c>
      <c r="E1300" t="str">
        <f>D1301</f>
        <v>Brian</v>
      </c>
      <c r="F1300">
        <v>2021</v>
      </c>
      <c r="G1300">
        <v>9</v>
      </c>
      <c r="H1300">
        <v>4.0999999999999996</v>
      </c>
      <c r="I1300">
        <v>66</v>
      </c>
      <c r="J1300">
        <f>I1300-I1301</f>
        <v>-18</v>
      </c>
      <c r="K1300" t="str">
        <f t="shared" si="125"/>
        <v>L</v>
      </c>
      <c r="L1300" t="str">
        <f t="shared" si="122"/>
        <v>Watty</v>
      </c>
      <c r="M1300" t="str">
        <f>VLOOKUP(L1300,References!$A$2:$B$16,2,FALSE)</f>
        <v>AKCOVA</v>
      </c>
      <c r="N1300" s="19" t="str">
        <f>IF(M1300=M1301,"N","Y")</f>
        <v>Y</v>
      </c>
      <c r="O1300">
        <f>SUM(I1300:I1301)</f>
        <v>150</v>
      </c>
      <c r="P1300">
        <f t="shared" si="124"/>
        <v>84</v>
      </c>
    </row>
    <row r="1301" spans="1:16" hidden="1" x14ac:dyDescent="0.3">
      <c r="A1301" t="str">
        <f t="shared" si="123"/>
        <v>2021Brian9</v>
      </c>
      <c r="B1301">
        <f t="shared" si="120"/>
        <v>571</v>
      </c>
      <c r="C1301">
        <f t="shared" si="121"/>
        <v>1241</v>
      </c>
      <c r="D1301" t="s">
        <v>26</v>
      </c>
      <c r="E1301" t="str">
        <f>D1300</f>
        <v>Watty</v>
      </c>
      <c r="F1301">
        <v>2021</v>
      </c>
      <c r="G1301">
        <v>9</v>
      </c>
      <c r="H1301">
        <v>4.2</v>
      </c>
      <c r="I1301">
        <v>84</v>
      </c>
      <c r="J1301">
        <f>I1301-I1300</f>
        <v>18</v>
      </c>
      <c r="K1301" t="str">
        <f t="shared" si="125"/>
        <v>W</v>
      </c>
      <c r="L1301" t="str">
        <f t="shared" si="122"/>
        <v>Brian</v>
      </c>
      <c r="M1301" t="str">
        <f>VLOOKUP(L1301,References!$A$2:$B$16,2,FALSE)</f>
        <v>TEXAROK</v>
      </c>
      <c r="N1301" s="19" t="str">
        <f>IF(M1301=M1300,"N","Y")</f>
        <v>Y</v>
      </c>
      <c r="O1301">
        <f>SUM(I1300:I1301)</f>
        <v>150</v>
      </c>
      <c r="P1301">
        <f t="shared" si="124"/>
        <v>66</v>
      </c>
    </row>
    <row r="1302" spans="1:16" hidden="1" x14ac:dyDescent="0.3">
      <c r="A1302" t="str">
        <f t="shared" si="123"/>
        <v>2021Mark9</v>
      </c>
      <c r="B1302">
        <f t="shared" si="120"/>
        <v>865</v>
      </c>
      <c r="C1302">
        <f t="shared" si="121"/>
        <v>1282</v>
      </c>
      <c r="D1302" t="s">
        <v>22</v>
      </c>
      <c r="E1302" t="str">
        <f>D1303</f>
        <v>Matt</v>
      </c>
      <c r="F1302">
        <v>2021</v>
      </c>
      <c r="G1302">
        <v>9</v>
      </c>
      <c r="H1302">
        <v>5.0999999999999996</v>
      </c>
      <c r="I1302">
        <v>83</v>
      </c>
      <c r="J1302">
        <f>I1302-I1303</f>
        <v>6</v>
      </c>
      <c r="K1302" t="str">
        <f t="shared" si="125"/>
        <v>W</v>
      </c>
      <c r="L1302" t="str">
        <f t="shared" si="122"/>
        <v>Mark</v>
      </c>
      <c r="M1302" t="str">
        <f>VLOOKUP(L1302,References!$A$2:$B$16,2,FALSE)</f>
        <v>AKCOVA</v>
      </c>
      <c r="N1302" s="19" t="str">
        <f>IF(M1302=M1303,"N","Y")</f>
        <v>Y</v>
      </c>
      <c r="O1302">
        <f>SUM(I1302:I1303)</f>
        <v>160</v>
      </c>
      <c r="P1302">
        <f t="shared" si="124"/>
        <v>77</v>
      </c>
    </row>
    <row r="1303" spans="1:16" hidden="1" x14ac:dyDescent="0.3">
      <c r="A1303" t="str">
        <f t="shared" si="123"/>
        <v>2021Matt9</v>
      </c>
      <c r="B1303">
        <f t="shared" si="120"/>
        <v>1197</v>
      </c>
      <c r="C1303">
        <f t="shared" si="121"/>
        <v>1512</v>
      </c>
      <c r="D1303" t="s">
        <v>30</v>
      </c>
      <c r="E1303" t="str">
        <f>D1302</f>
        <v>Mark</v>
      </c>
      <c r="F1303">
        <v>2021</v>
      </c>
      <c r="G1303">
        <v>9</v>
      </c>
      <c r="H1303">
        <v>5.2</v>
      </c>
      <c r="I1303">
        <v>77</v>
      </c>
      <c r="J1303">
        <f>I1303-I1302</f>
        <v>-6</v>
      </c>
      <c r="K1303" t="str">
        <f t="shared" si="125"/>
        <v>L</v>
      </c>
      <c r="L1303" t="str">
        <f t="shared" si="122"/>
        <v>Matt</v>
      </c>
      <c r="M1303" t="str">
        <f>VLOOKUP(L1303,References!$A$2:$B$16,2,FALSE)</f>
        <v>TEXAROK</v>
      </c>
      <c r="N1303" s="19" t="str">
        <f>IF(M1303=M1302,"N","Y")</f>
        <v>Y</v>
      </c>
      <c r="O1303">
        <f>SUM(I1302:I1303)</f>
        <v>160</v>
      </c>
      <c r="P1303">
        <f t="shared" si="124"/>
        <v>83</v>
      </c>
    </row>
    <row r="1304" spans="1:16" hidden="1" x14ac:dyDescent="0.3">
      <c r="A1304" t="str">
        <f t="shared" si="123"/>
        <v>2021Arnold9</v>
      </c>
      <c r="B1304">
        <f t="shared" si="120"/>
        <v>737</v>
      </c>
      <c r="C1304">
        <f t="shared" si="121"/>
        <v>1793</v>
      </c>
      <c r="D1304" t="s">
        <v>227</v>
      </c>
      <c r="E1304" t="str">
        <f>D1305</f>
        <v>Russell</v>
      </c>
      <c r="F1304">
        <v>2021</v>
      </c>
      <c r="G1304">
        <v>9</v>
      </c>
      <c r="H1304">
        <v>6.1</v>
      </c>
      <c r="I1304">
        <v>68</v>
      </c>
      <c r="J1304">
        <f>I1304-I1305</f>
        <v>11</v>
      </c>
      <c r="K1304" t="str">
        <f t="shared" si="125"/>
        <v>W</v>
      </c>
      <c r="L1304" t="str">
        <f t="shared" si="122"/>
        <v>Arnold</v>
      </c>
      <c r="M1304" t="str">
        <f>VLOOKUP(L1304,References!$A$2:$B$16,2,FALSE)</f>
        <v>AKCOVA</v>
      </c>
      <c r="N1304" s="19" t="str">
        <f>IF(M1304=M1305,"N","Y")</f>
        <v>Y</v>
      </c>
      <c r="O1304">
        <f>SUM(I1304:I1305)</f>
        <v>125</v>
      </c>
      <c r="P1304">
        <f t="shared" si="124"/>
        <v>57</v>
      </c>
    </row>
    <row r="1305" spans="1:16" hidden="1" x14ac:dyDescent="0.3">
      <c r="A1305" t="str">
        <f t="shared" si="123"/>
        <v>2021Russell9</v>
      </c>
      <c r="B1305">
        <f t="shared" si="120"/>
        <v>1336</v>
      </c>
      <c r="C1305">
        <f t="shared" si="121"/>
        <v>1988</v>
      </c>
      <c r="D1305" t="s">
        <v>28</v>
      </c>
      <c r="E1305" t="str">
        <f>D1304</f>
        <v>Arnold</v>
      </c>
      <c r="F1305">
        <v>2021</v>
      </c>
      <c r="G1305">
        <v>9</v>
      </c>
      <c r="H1305">
        <v>6.2</v>
      </c>
      <c r="I1305">
        <v>57</v>
      </c>
      <c r="J1305">
        <f>I1305-I1304</f>
        <v>-11</v>
      </c>
      <c r="K1305" t="str">
        <f t="shared" si="125"/>
        <v>L</v>
      </c>
      <c r="L1305" t="str">
        <f t="shared" si="122"/>
        <v>Russell</v>
      </c>
      <c r="M1305" t="str">
        <f>VLOOKUP(L1305,References!$A$2:$B$16,2,FALSE)</f>
        <v>TEXAROK</v>
      </c>
      <c r="N1305" s="19" t="str">
        <f>IF(M1305=M1304,"N","Y")</f>
        <v>Y</v>
      </c>
      <c r="O1305">
        <f>SUM(I1304:I1305)</f>
        <v>125</v>
      </c>
      <c r="P1305">
        <f t="shared" si="124"/>
        <v>68</v>
      </c>
    </row>
    <row r="1306" spans="1:16" hidden="1" x14ac:dyDescent="0.3">
      <c r="A1306" t="str">
        <f t="shared" si="123"/>
        <v>2021David10</v>
      </c>
      <c r="B1306">
        <f t="shared" si="120"/>
        <v>1546</v>
      </c>
      <c r="C1306">
        <f t="shared" si="121"/>
        <v>1738</v>
      </c>
      <c r="D1306" t="s">
        <v>29</v>
      </c>
      <c r="E1306" t="str">
        <f>D1307</f>
        <v>Michael</v>
      </c>
      <c r="F1306">
        <v>2021</v>
      </c>
      <c r="G1306">
        <v>10</v>
      </c>
      <c r="H1306">
        <v>1.1000000000000001</v>
      </c>
      <c r="I1306">
        <v>70</v>
      </c>
      <c r="J1306">
        <f>I1306-I1307</f>
        <v>-20</v>
      </c>
      <c r="K1306" t="str">
        <f t="shared" si="125"/>
        <v>L</v>
      </c>
      <c r="L1306" t="str">
        <f t="shared" si="122"/>
        <v>David</v>
      </c>
      <c r="M1306" t="str">
        <f>VLOOKUP(L1306,References!$A$2:$B$16,2,FALSE)</f>
        <v>TEXAROK</v>
      </c>
      <c r="N1306" s="19" t="str">
        <f>IF(M1306=M1307,"N","Y")</f>
        <v>Y</v>
      </c>
      <c r="O1306">
        <f>SUM(I1306:I1307)</f>
        <v>160</v>
      </c>
      <c r="P1306">
        <f t="shared" si="124"/>
        <v>90</v>
      </c>
    </row>
    <row r="1307" spans="1:16" hidden="1" x14ac:dyDescent="0.3">
      <c r="A1307" t="str">
        <f t="shared" si="123"/>
        <v>2021Michael10</v>
      </c>
      <c r="B1307">
        <f t="shared" si="120"/>
        <v>517</v>
      </c>
      <c r="C1307">
        <f t="shared" si="121"/>
        <v>1027</v>
      </c>
      <c r="D1307" t="s">
        <v>23</v>
      </c>
      <c r="E1307" t="str">
        <f>D1306</f>
        <v>David</v>
      </c>
      <c r="F1307">
        <v>2021</v>
      </c>
      <c r="G1307">
        <v>10</v>
      </c>
      <c r="H1307">
        <v>1.2</v>
      </c>
      <c r="I1307">
        <v>90</v>
      </c>
      <c r="J1307">
        <f>I1307-I1306</f>
        <v>20</v>
      </c>
      <c r="K1307" t="str">
        <f t="shared" si="125"/>
        <v>W</v>
      </c>
      <c r="L1307" t="str">
        <f t="shared" si="122"/>
        <v>Michael</v>
      </c>
      <c r="M1307" t="str">
        <f>VLOOKUP(L1307,References!$A$2:$B$16,2,FALSE)</f>
        <v>AKCOVA</v>
      </c>
      <c r="N1307" s="19" t="str">
        <f>IF(M1307=M1306,"N","Y")</f>
        <v>Y</v>
      </c>
      <c r="O1307">
        <f>SUM(I1306:I1307)</f>
        <v>160</v>
      </c>
      <c r="P1307">
        <f t="shared" si="124"/>
        <v>70</v>
      </c>
    </row>
    <row r="1308" spans="1:16" hidden="1" x14ac:dyDescent="0.3">
      <c r="A1308" t="str">
        <f t="shared" si="123"/>
        <v>2021Brent10</v>
      </c>
      <c r="B1308">
        <f t="shared" si="120"/>
        <v>1869</v>
      </c>
      <c r="C1308">
        <f t="shared" si="121"/>
        <v>2001</v>
      </c>
      <c r="D1308" t="s">
        <v>47</v>
      </c>
      <c r="E1308" t="str">
        <f>D1309</f>
        <v>Charles</v>
      </c>
      <c r="F1308">
        <v>2021</v>
      </c>
      <c r="G1308">
        <v>10</v>
      </c>
      <c r="H1308">
        <v>2.1</v>
      </c>
      <c r="I1308">
        <v>56</v>
      </c>
      <c r="J1308">
        <f>I1308-I1309</f>
        <v>-38</v>
      </c>
      <c r="K1308" t="str">
        <f t="shared" si="125"/>
        <v>L</v>
      </c>
      <c r="L1308" t="str">
        <f t="shared" si="122"/>
        <v>Brent</v>
      </c>
      <c r="M1308" t="str">
        <f>VLOOKUP(L1308,References!$A$2:$B$16,2,FALSE)</f>
        <v>TEXAROK</v>
      </c>
      <c r="N1308" s="19" t="str">
        <f>IF(M1308=M1309,"N","Y")</f>
        <v>Y</v>
      </c>
      <c r="O1308">
        <f>SUM(I1308:I1309)</f>
        <v>150</v>
      </c>
      <c r="P1308">
        <f t="shared" si="124"/>
        <v>94</v>
      </c>
    </row>
    <row r="1309" spans="1:16" hidden="1" x14ac:dyDescent="0.3">
      <c r="A1309" t="str">
        <f t="shared" si="123"/>
        <v>2021Charles10</v>
      </c>
      <c r="B1309">
        <f t="shared" si="120"/>
        <v>210</v>
      </c>
      <c r="C1309">
        <f t="shared" si="121"/>
        <v>893</v>
      </c>
      <c r="D1309" t="s">
        <v>48</v>
      </c>
      <c r="E1309" t="str">
        <f>D1308</f>
        <v>Brent</v>
      </c>
      <c r="F1309">
        <v>2021</v>
      </c>
      <c r="G1309">
        <v>10</v>
      </c>
      <c r="H1309">
        <v>2.2000000000000002</v>
      </c>
      <c r="I1309">
        <v>94</v>
      </c>
      <c r="J1309">
        <f>I1309-I1308</f>
        <v>38</v>
      </c>
      <c r="K1309" t="str">
        <f t="shared" si="125"/>
        <v>W</v>
      </c>
      <c r="L1309" t="str">
        <f t="shared" si="122"/>
        <v>Charles</v>
      </c>
      <c r="M1309" t="str">
        <f>VLOOKUP(L1309,References!$A$2:$B$16,2,FALSE)</f>
        <v>AKCOVA</v>
      </c>
      <c r="N1309" s="19" t="str">
        <f>IF(M1309=M1308,"N","Y")</f>
        <v>Y</v>
      </c>
      <c r="O1309">
        <f>SUM(I1308:I1309)</f>
        <v>150</v>
      </c>
      <c r="P1309">
        <f t="shared" si="124"/>
        <v>56</v>
      </c>
    </row>
    <row r="1310" spans="1:16" hidden="1" x14ac:dyDescent="0.3">
      <c r="A1310" t="str">
        <f t="shared" si="123"/>
        <v>2021Brian10</v>
      </c>
      <c r="B1310">
        <f t="shared" si="120"/>
        <v>1625</v>
      </c>
      <c r="C1310">
        <f t="shared" si="121"/>
        <v>1717</v>
      </c>
      <c r="D1310" t="s">
        <v>26</v>
      </c>
      <c r="E1310" t="str">
        <f>D1311</f>
        <v>BR</v>
      </c>
      <c r="F1310">
        <v>2021</v>
      </c>
      <c r="G1310">
        <v>10</v>
      </c>
      <c r="H1310">
        <v>3.1</v>
      </c>
      <c r="I1310">
        <v>71</v>
      </c>
      <c r="J1310">
        <f>I1310-I1311</f>
        <v>-23</v>
      </c>
      <c r="K1310" t="str">
        <f t="shared" si="125"/>
        <v>L</v>
      </c>
      <c r="L1310" t="str">
        <f t="shared" si="122"/>
        <v>Brian</v>
      </c>
      <c r="M1310" t="str">
        <f>VLOOKUP(L1310,References!$A$2:$B$16,2,FALSE)</f>
        <v>TEXAROK</v>
      </c>
      <c r="N1310" s="19" t="str">
        <f>IF(M1310=M1311,"N","Y")</f>
        <v>Y</v>
      </c>
      <c r="O1310">
        <f>SUM(I1310:I1311)</f>
        <v>165</v>
      </c>
      <c r="P1310">
        <f t="shared" si="124"/>
        <v>94</v>
      </c>
    </row>
    <row r="1311" spans="1:16" hidden="1" x14ac:dyDescent="0.3">
      <c r="A1311" t="str">
        <f t="shared" si="123"/>
        <v>2021BR10</v>
      </c>
      <c r="B1311">
        <f t="shared" si="120"/>
        <v>450</v>
      </c>
      <c r="C1311">
        <f t="shared" si="121"/>
        <v>893</v>
      </c>
      <c r="D1311" t="s">
        <v>25</v>
      </c>
      <c r="E1311" t="str">
        <f>D1310</f>
        <v>Brian</v>
      </c>
      <c r="F1311">
        <v>2021</v>
      </c>
      <c r="G1311">
        <v>10</v>
      </c>
      <c r="H1311">
        <v>3.2</v>
      </c>
      <c r="I1311">
        <v>94</v>
      </c>
      <c r="J1311">
        <f>I1311-I1310</f>
        <v>23</v>
      </c>
      <c r="K1311" t="str">
        <f t="shared" si="125"/>
        <v>W</v>
      </c>
      <c r="L1311" t="str">
        <f t="shared" si="122"/>
        <v>BR</v>
      </c>
      <c r="M1311" t="str">
        <f>VLOOKUP(L1311,References!$A$2:$B$16,2,FALSE)</f>
        <v>AKCOVA</v>
      </c>
      <c r="N1311" s="19" t="str">
        <f>IF(M1311=M1310,"N","Y")</f>
        <v>Y</v>
      </c>
      <c r="O1311">
        <f>SUM(I1310:I1311)</f>
        <v>165</v>
      </c>
      <c r="P1311">
        <f t="shared" si="124"/>
        <v>71</v>
      </c>
    </row>
    <row r="1312" spans="1:16" hidden="1" x14ac:dyDescent="0.3">
      <c r="A1312" t="str">
        <f t="shared" si="123"/>
        <v>2021Matt10</v>
      </c>
      <c r="B1312">
        <f t="shared" si="120"/>
        <v>433</v>
      </c>
      <c r="C1312">
        <f t="shared" si="121"/>
        <v>746</v>
      </c>
      <c r="D1312" t="s">
        <v>30</v>
      </c>
      <c r="E1312" t="str">
        <f>D1313</f>
        <v>Watty</v>
      </c>
      <c r="F1312">
        <v>2021</v>
      </c>
      <c r="G1312">
        <v>10</v>
      </c>
      <c r="H1312">
        <v>4.0999999999999996</v>
      </c>
      <c r="I1312">
        <v>98</v>
      </c>
      <c r="J1312">
        <f>I1312-I1313</f>
        <v>24</v>
      </c>
      <c r="K1312" t="str">
        <f t="shared" si="125"/>
        <v>W</v>
      </c>
      <c r="L1312" t="str">
        <f t="shared" si="122"/>
        <v>Matt</v>
      </c>
      <c r="M1312" t="str">
        <f>VLOOKUP(L1312,References!$A$2:$B$16,2,FALSE)</f>
        <v>TEXAROK</v>
      </c>
      <c r="N1312" s="19" t="str">
        <f>IF(M1312=M1313,"N","Y")</f>
        <v>Y</v>
      </c>
      <c r="O1312">
        <f>SUM(I1312:I1313)</f>
        <v>172</v>
      </c>
      <c r="P1312">
        <f t="shared" si="124"/>
        <v>74</v>
      </c>
    </row>
    <row r="1313" spans="1:16" hidden="1" x14ac:dyDescent="0.3">
      <c r="A1313" t="str">
        <f t="shared" si="123"/>
        <v>2021Watty10</v>
      </c>
      <c r="B1313">
        <f t="shared" si="120"/>
        <v>1644</v>
      </c>
      <c r="C1313">
        <f t="shared" si="121"/>
        <v>1618</v>
      </c>
      <c r="D1313" t="s">
        <v>24</v>
      </c>
      <c r="E1313" t="str">
        <f>D1312</f>
        <v>Matt</v>
      </c>
      <c r="F1313">
        <v>2021</v>
      </c>
      <c r="G1313">
        <v>10</v>
      </c>
      <c r="H1313">
        <v>4.2</v>
      </c>
      <c r="I1313">
        <v>74</v>
      </c>
      <c r="J1313">
        <f>I1313-I1312</f>
        <v>-24</v>
      </c>
      <c r="K1313" t="str">
        <f t="shared" si="125"/>
        <v>L</v>
      </c>
      <c r="L1313" t="str">
        <f t="shared" si="122"/>
        <v>Watty</v>
      </c>
      <c r="M1313" t="str">
        <f>VLOOKUP(L1313,References!$A$2:$B$16,2,FALSE)</f>
        <v>AKCOVA</v>
      </c>
      <c r="N1313" s="19" t="str">
        <f>IF(M1313=M1312,"N","Y")</f>
        <v>Y</v>
      </c>
      <c r="O1313">
        <f>SUM(I1312:I1313)</f>
        <v>172</v>
      </c>
      <c r="P1313">
        <f t="shared" si="124"/>
        <v>98</v>
      </c>
    </row>
    <row r="1314" spans="1:16" hidden="1" x14ac:dyDescent="0.3">
      <c r="A1314" t="str">
        <f t="shared" si="123"/>
        <v>2021Russell10</v>
      </c>
      <c r="B1314">
        <f t="shared" si="120"/>
        <v>1409</v>
      </c>
      <c r="C1314">
        <f t="shared" si="121"/>
        <v>1738</v>
      </c>
      <c r="D1314" t="s">
        <v>28</v>
      </c>
      <c r="E1314" t="str">
        <f>D1315</f>
        <v>Mark</v>
      </c>
      <c r="F1314">
        <v>2021</v>
      </c>
      <c r="G1314">
        <v>10</v>
      </c>
      <c r="H1314">
        <v>5.0999999999999996</v>
      </c>
      <c r="I1314">
        <v>70</v>
      </c>
      <c r="J1314">
        <f>I1314-I1315</f>
        <v>-14</v>
      </c>
      <c r="K1314" t="str">
        <f t="shared" si="125"/>
        <v>L</v>
      </c>
      <c r="L1314" t="str">
        <f t="shared" si="122"/>
        <v>Russell</v>
      </c>
      <c r="M1314" t="str">
        <f>VLOOKUP(L1314,References!$A$2:$B$16,2,FALSE)</f>
        <v>TEXAROK</v>
      </c>
      <c r="N1314" s="19" t="str">
        <f>IF(M1314=M1315,"N","Y")</f>
        <v>Y</v>
      </c>
      <c r="O1314">
        <f>SUM(I1314:I1315)</f>
        <v>154</v>
      </c>
      <c r="P1314">
        <f t="shared" si="124"/>
        <v>84</v>
      </c>
    </row>
    <row r="1315" spans="1:16" hidden="1" x14ac:dyDescent="0.3">
      <c r="A1315" t="str">
        <f t="shared" si="123"/>
        <v>2021Mark10</v>
      </c>
      <c r="B1315">
        <f t="shared" si="120"/>
        <v>660</v>
      </c>
      <c r="C1315">
        <f t="shared" si="121"/>
        <v>1241</v>
      </c>
      <c r="D1315" t="s">
        <v>22</v>
      </c>
      <c r="E1315" t="str">
        <f>D1314</f>
        <v>Russell</v>
      </c>
      <c r="F1315">
        <v>2021</v>
      </c>
      <c r="G1315">
        <v>10</v>
      </c>
      <c r="H1315">
        <v>5.2</v>
      </c>
      <c r="I1315">
        <v>84</v>
      </c>
      <c r="J1315">
        <f>I1315-I1314</f>
        <v>14</v>
      </c>
      <c r="K1315" t="str">
        <f t="shared" si="125"/>
        <v>W</v>
      </c>
      <c r="L1315" t="str">
        <f t="shared" si="122"/>
        <v>Mark</v>
      </c>
      <c r="M1315" t="str">
        <f>VLOOKUP(L1315,References!$A$2:$B$16,2,FALSE)</f>
        <v>AKCOVA</v>
      </c>
      <c r="N1315" s="19" t="str">
        <f>IF(M1315=M1314,"N","Y")</f>
        <v>Y</v>
      </c>
      <c r="O1315">
        <f>SUM(I1314:I1315)</f>
        <v>154</v>
      </c>
      <c r="P1315">
        <f t="shared" si="124"/>
        <v>70</v>
      </c>
    </row>
    <row r="1316" spans="1:16" hidden="1" x14ac:dyDescent="0.3">
      <c r="A1316" t="str">
        <f t="shared" si="123"/>
        <v>2021Emily10</v>
      </c>
      <c r="B1316">
        <f t="shared" si="120"/>
        <v>803</v>
      </c>
      <c r="C1316">
        <f t="shared" si="121"/>
        <v>1027</v>
      </c>
      <c r="D1316" t="s">
        <v>43</v>
      </c>
      <c r="E1316" t="str">
        <f>D1317</f>
        <v>Arnold</v>
      </c>
      <c r="F1316">
        <v>2021</v>
      </c>
      <c r="G1316">
        <v>10</v>
      </c>
      <c r="H1316">
        <v>6.1</v>
      </c>
      <c r="I1316">
        <v>90</v>
      </c>
      <c r="J1316">
        <f>I1316-I1317</f>
        <v>8</v>
      </c>
      <c r="K1316" t="str">
        <f t="shared" si="125"/>
        <v>W</v>
      </c>
      <c r="L1316" t="str">
        <f t="shared" si="122"/>
        <v>Emily</v>
      </c>
      <c r="M1316" t="str">
        <f>VLOOKUP(L1316,References!$A$2:$B$16,2,FALSE)</f>
        <v>TEXAROK</v>
      </c>
      <c r="N1316" s="19" t="str">
        <f>IF(M1316=M1317,"N","Y")</f>
        <v>Y</v>
      </c>
      <c r="O1316">
        <f>SUM(I1316:I1317)</f>
        <v>172</v>
      </c>
      <c r="P1316">
        <f t="shared" si="124"/>
        <v>82</v>
      </c>
    </row>
    <row r="1317" spans="1:16" hidden="1" x14ac:dyDescent="0.3">
      <c r="A1317" t="str">
        <f t="shared" si="123"/>
        <v>2021Arnold10</v>
      </c>
      <c r="B1317">
        <f t="shared" si="120"/>
        <v>1258</v>
      </c>
      <c r="C1317">
        <f t="shared" si="121"/>
        <v>1318</v>
      </c>
      <c r="D1317" t="s">
        <v>227</v>
      </c>
      <c r="E1317" t="str">
        <f>D1316</f>
        <v>Emily</v>
      </c>
      <c r="F1317">
        <v>2021</v>
      </c>
      <c r="G1317">
        <v>10</v>
      </c>
      <c r="H1317">
        <v>6.2</v>
      </c>
      <c r="I1317">
        <v>82</v>
      </c>
      <c r="J1317">
        <f>I1317-I1316</f>
        <v>-8</v>
      </c>
      <c r="K1317" t="str">
        <f t="shared" si="125"/>
        <v>L</v>
      </c>
      <c r="L1317" t="str">
        <f t="shared" si="122"/>
        <v>Arnold</v>
      </c>
      <c r="M1317" t="str">
        <f>VLOOKUP(L1317,References!$A$2:$B$16,2,FALSE)</f>
        <v>AKCOVA</v>
      </c>
      <c r="N1317" s="19" t="str">
        <f>IF(M1317=M1316,"N","Y")</f>
        <v>Y</v>
      </c>
      <c r="O1317">
        <f>SUM(I1316:I1317)</f>
        <v>172</v>
      </c>
      <c r="P1317">
        <f t="shared" si="124"/>
        <v>90</v>
      </c>
    </row>
    <row r="1318" spans="1:16" hidden="1" x14ac:dyDescent="0.3">
      <c r="A1318" t="str">
        <f t="shared" si="123"/>
        <v>2021Michael11</v>
      </c>
      <c r="B1318">
        <f t="shared" si="120"/>
        <v>1381</v>
      </c>
      <c r="C1318">
        <f t="shared" si="121"/>
        <v>1439</v>
      </c>
      <c r="D1318" t="s">
        <v>23</v>
      </c>
      <c r="E1318" t="str">
        <f>D1319</f>
        <v>Brent</v>
      </c>
      <c r="F1318">
        <v>2021</v>
      </c>
      <c r="G1318">
        <v>11</v>
      </c>
      <c r="H1318">
        <v>1.1000000000000001</v>
      </c>
      <c r="I1318">
        <v>79</v>
      </c>
      <c r="J1318">
        <f>I1318-I1319</f>
        <v>-13</v>
      </c>
      <c r="K1318" t="str">
        <f t="shared" si="125"/>
        <v>L</v>
      </c>
      <c r="L1318" t="str">
        <f t="shared" si="122"/>
        <v>Michael</v>
      </c>
      <c r="M1318" t="str">
        <f>VLOOKUP(L1318,References!$A$2:$B$16,2,FALSE)</f>
        <v>AKCOVA</v>
      </c>
      <c r="N1318" s="19" t="str">
        <f>IF(M1318=M1319,"N","Y")</f>
        <v>Y</v>
      </c>
      <c r="O1318">
        <f>SUM(I1318:I1319)</f>
        <v>171</v>
      </c>
      <c r="P1318">
        <f t="shared" si="124"/>
        <v>92</v>
      </c>
    </row>
    <row r="1319" spans="1:16" hidden="1" x14ac:dyDescent="0.3">
      <c r="A1319" t="str">
        <f t="shared" si="123"/>
        <v>2021Brent11</v>
      </c>
      <c r="B1319">
        <f t="shared" si="120"/>
        <v>685</v>
      </c>
      <c r="C1319">
        <f t="shared" si="121"/>
        <v>958</v>
      </c>
      <c r="D1319" t="s">
        <v>47</v>
      </c>
      <c r="E1319" t="str">
        <f>D1318</f>
        <v>Michael</v>
      </c>
      <c r="F1319">
        <v>2021</v>
      </c>
      <c r="G1319">
        <v>11</v>
      </c>
      <c r="H1319">
        <v>1.2</v>
      </c>
      <c r="I1319">
        <v>92</v>
      </c>
      <c r="J1319">
        <f>I1319-I1318</f>
        <v>13</v>
      </c>
      <c r="K1319" t="str">
        <f t="shared" si="125"/>
        <v>W</v>
      </c>
      <c r="L1319" t="str">
        <f t="shared" si="122"/>
        <v>Brent</v>
      </c>
      <c r="M1319" t="str">
        <f>VLOOKUP(L1319,References!$A$2:$B$16,2,FALSE)</f>
        <v>TEXAROK</v>
      </c>
      <c r="N1319" s="19" t="str">
        <f>IF(M1319=M1318,"N","Y")</f>
        <v>Y</v>
      </c>
      <c r="O1319">
        <f>SUM(I1318:I1319)</f>
        <v>171</v>
      </c>
      <c r="P1319">
        <f t="shared" si="124"/>
        <v>79</v>
      </c>
    </row>
    <row r="1320" spans="1:16" hidden="1" x14ac:dyDescent="0.3">
      <c r="A1320" t="str">
        <f t="shared" si="123"/>
        <v>2021Charles11</v>
      </c>
      <c r="B1320">
        <f t="shared" si="120"/>
        <v>1336</v>
      </c>
      <c r="C1320">
        <f t="shared" si="121"/>
        <v>412</v>
      </c>
      <c r="D1320" t="s">
        <v>48</v>
      </c>
      <c r="E1320" t="str">
        <f>D1321</f>
        <v>Brian</v>
      </c>
      <c r="F1320">
        <v>2021</v>
      </c>
      <c r="G1320">
        <v>11</v>
      </c>
      <c r="H1320">
        <v>2.1</v>
      </c>
      <c r="I1320">
        <v>110</v>
      </c>
      <c r="J1320">
        <f>I1320-I1321</f>
        <v>-11</v>
      </c>
      <c r="K1320" t="str">
        <f t="shared" si="125"/>
        <v>L</v>
      </c>
      <c r="L1320" t="str">
        <f t="shared" si="122"/>
        <v>Charles</v>
      </c>
      <c r="M1320" t="str">
        <f>VLOOKUP(L1320,References!$A$2:$B$16,2,FALSE)</f>
        <v>AKCOVA</v>
      </c>
      <c r="N1320" s="19" t="str">
        <f>IF(M1320=M1321,"N","Y")</f>
        <v>Y</v>
      </c>
      <c r="O1320">
        <f>SUM(I1320:I1321)</f>
        <v>231</v>
      </c>
      <c r="P1320">
        <f t="shared" si="124"/>
        <v>121</v>
      </c>
    </row>
    <row r="1321" spans="1:16" hidden="1" x14ac:dyDescent="0.3">
      <c r="A1321" t="str">
        <f t="shared" si="123"/>
        <v>2021Brian11</v>
      </c>
      <c r="B1321">
        <f t="shared" si="120"/>
        <v>737</v>
      </c>
      <c r="C1321">
        <f t="shared" si="121"/>
        <v>211</v>
      </c>
      <c r="D1321" t="s">
        <v>26</v>
      </c>
      <c r="E1321" t="str">
        <f>D1320</f>
        <v>Charles</v>
      </c>
      <c r="F1321">
        <v>2021</v>
      </c>
      <c r="G1321">
        <v>11</v>
      </c>
      <c r="H1321">
        <v>2.2000000000000002</v>
      </c>
      <c r="I1321">
        <v>121</v>
      </c>
      <c r="J1321">
        <f>I1321-I1320</f>
        <v>11</v>
      </c>
      <c r="K1321" t="str">
        <f t="shared" si="125"/>
        <v>W</v>
      </c>
      <c r="L1321" t="str">
        <f t="shared" si="122"/>
        <v>Brian</v>
      </c>
      <c r="M1321" t="str">
        <f>VLOOKUP(L1321,References!$A$2:$B$16,2,FALSE)</f>
        <v>TEXAROK</v>
      </c>
      <c r="N1321" s="19" t="str">
        <f>IF(M1321=M1320,"N","Y")</f>
        <v>Y</v>
      </c>
      <c r="O1321">
        <f>SUM(I1320:I1321)</f>
        <v>231</v>
      </c>
      <c r="P1321">
        <f t="shared" si="124"/>
        <v>110</v>
      </c>
    </row>
    <row r="1322" spans="1:16" hidden="1" x14ac:dyDescent="0.3">
      <c r="A1322" t="str">
        <f t="shared" si="123"/>
        <v>2021BR11</v>
      </c>
      <c r="B1322">
        <f t="shared" si="120"/>
        <v>392</v>
      </c>
      <c r="C1322">
        <f t="shared" si="121"/>
        <v>893</v>
      </c>
      <c r="D1322" t="s">
        <v>25</v>
      </c>
      <c r="E1322" t="str">
        <f>D1323</f>
        <v>Matt</v>
      </c>
      <c r="F1322">
        <v>2021</v>
      </c>
      <c r="G1322">
        <v>11</v>
      </c>
      <c r="H1322">
        <v>3.1</v>
      </c>
      <c r="I1322">
        <v>94</v>
      </c>
      <c r="J1322">
        <f>I1322-I1323</f>
        <v>26</v>
      </c>
      <c r="K1322" t="str">
        <f t="shared" si="125"/>
        <v>W</v>
      </c>
      <c r="L1322" t="str">
        <f t="shared" si="122"/>
        <v>BR</v>
      </c>
      <c r="M1322" t="str">
        <f>VLOOKUP(L1322,References!$A$2:$B$16,2,FALSE)</f>
        <v>AKCOVA</v>
      </c>
      <c r="N1322" s="19" t="str">
        <f>IF(M1322=M1323,"N","Y")</f>
        <v>Y</v>
      </c>
      <c r="O1322">
        <f>SUM(I1322:I1323)</f>
        <v>162</v>
      </c>
      <c r="P1322">
        <f t="shared" si="124"/>
        <v>68</v>
      </c>
    </row>
    <row r="1323" spans="1:16" hidden="1" x14ac:dyDescent="0.3">
      <c r="A1323" t="str">
        <f t="shared" si="123"/>
        <v>2021Matt11</v>
      </c>
      <c r="B1323">
        <f t="shared" si="120"/>
        <v>1684</v>
      </c>
      <c r="C1323">
        <f t="shared" si="121"/>
        <v>1793</v>
      </c>
      <c r="D1323" t="s">
        <v>30</v>
      </c>
      <c r="E1323" t="str">
        <f>D1322</f>
        <v>BR</v>
      </c>
      <c r="F1323">
        <v>2021</v>
      </c>
      <c r="G1323">
        <v>11</v>
      </c>
      <c r="H1323">
        <v>3.2</v>
      </c>
      <c r="I1323">
        <v>68</v>
      </c>
      <c r="J1323">
        <f>I1323-I1322</f>
        <v>-26</v>
      </c>
      <c r="K1323" t="str">
        <f t="shared" si="125"/>
        <v>L</v>
      </c>
      <c r="L1323" t="str">
        <f t="shared" si="122"/>
        <v>Matt</v>
      </c>
      <c r="M1323" t="str">
        <f>VLOOKUP(L1323,References!$A$2:$B$16,2,FALSE)</f>
        <v>TEXAROK</v>
      </c>
      <c r="N1323" s="19" t="str">
        <f>IF(M1323=M1322,"N","Y")</f>
        <v>Y</v>
      </c>
      <c r="O1323">
        <f>SUM(I1322:I1323)</f>
        <v>162</v>
      </c>
      <c r="P1323">
        <f t="shared" si="124"/>
        <v>94</v>
      </c>
    </row>
    <row r="1324" spans="1:16" hidden="1" x14ac:dyDescent="0.3">
      <c r="A1324" t="str">
        <f t="shared" si="123"/>
        <v>2021Watty11</v>
      </c>
      <c r="B1324">
        <f t="shared" si="120"/>
        <v>782</v>
      </c>
      <c r="C1324">
        <f t="shared" si="121"/>
        <v>1815</v>
      </c>
      <c r="D1324" t="s">
        <v>24</v>
      </c>
      <c r="E1324" t="str">
        <f>D1325</f>
        <v>Russell</v>
      </c>
      <c r="F1324">
        <v>2021</v>
      </c>
      <c r="G1324">
        <v>11</v>
      </c>
      <c r="H1324">
        <v>4.0999999999999996</v>
      </c>
      <c r="I1324">
        <v>67</v>
      </c>
      <c r="J1324">
        <f>I1324-I1325</f>
        <v>9</v>
      </c>
      <c r="K1324" t="str">
        <f t="shared" si="125"/>
        <v>W</v>
      </c>
      <c r="L1324" t="str">
        <f t="shared" si="122"/>
        <v>Watty</v>
      </c>
      <c r="M1324" t="str">
        <f>VLOOKUP(L1324,References!$A$2:$B$16,2,FALSE)</f>
        <v>AKCOVA</v>
      </c>
      <c r="N1324" s="19" t="str">
        <f>IF(M1324=M1325,"N","Y")</f>
        <v>Y</v>
      </c>
      <c r="O1324">
        <f>SUM(I1324:I1325)</f>
        <v>125</v>
      </c>
      <c r="P1324">
        <f t="shared" si="124"/>
        <v>58</v>
      </c>
    </row>
    <row r="1325" spans="1:16" hidden="1" x14ac:dyDescent="0.3">
      <c r="A1325" t="str">
        <f t="shared" si="123"/>
        <v>2021Russell11</v>
      </c>
      <c r="B1325">
        <f t="shared" si="120"/>
        <v>1291</v>
      </c>
      <c r="C1325">
        <f t="shared" si="121"/>
        <v>1974</v>
      </c>
      <c r="D1325" t="s">
        <v>28</v>
      </c>
      <c r="E1325" t="str">
        <f>D1324</f>
        <v>Watty</v>
      </c>
      <c r="F1325">
        <v>2021</v>
      </c>
      <c r="G1325">
        <v>11</v>
      </c>
      <c r="H1325">
        <v>4.2</v>
      </c>
      <c r="I1325">
        <v>58</v>
      </c>
      <c r="J1325">
        <f>I1325-I1324</f>
        <v>-9</v>
      </c>
      <c r="K1325" t="str">
        <f t="shared" si="125"/>
        <v>L</v>
      </c>
      <c r="L1325" t="str">
        <f t="shared" si="122"/>
        <v>Russell</v>
      </c>
      <c r="M1325" t="str">
        <f>VLOOKUP(L1325,References!$A$2:$B$16,2,FALSE)</f>
        <v>TEXAROK</v>
      </c>
      <c r="N1325" s="19" t="str">
        <f>IF(M1325=M1324,"N","Y")</f>
        <v>Y</v>
      </c>
      <c r="O1325">
        <f>SUM(I1324:I1325)</f>
        <v>125</v>
      </c>
      <c r="P1325">
        <f t="shared" si="124"/>
        <v>67</v>
      </c>
    </row>
    <row r="1326" spans="1:16" hidden="1" x14ac:dyDescent="0.3">
      <c r="A1326" t="str">
        <f t="shared" si="123"/>
        <v>2021Mark11</v>
      </c>
      <c r="B1326">
        <f t="shared" si="120"/>
        <v>70</v>
      </c>
      <c r="C1326">
        <f t="shared" si="121"/>
        <v>714</v>
      </c>
      <c r="D1326" t="s">
        <v>22</v>
      </c>
      <c r="E1326" t="str">
        <f>D1327</f>
        <v>Emily</v>
      </c>
      <c r="F1326">
        <v>2021</v>
      </c>
      <c r="G1326">
        <v>11</v>
      </c>
      <c r="H1326">
        <v>5.0999999999999996</v>
      </c>
      <c r="I1326">
        <v>99</v>
      </c>
      <c r="J1326">
        <f>I1326-I1327</f>
        <v>57</v>
      </c>
      <c r="K1326" t="str">
        <f t="shared" si="125"/>
        <v>W</v>
      </c>
      <c r="L1326" t="str">
        <f t="shared" si="122"/>
        <v>Mark</v>
      </c>
      <c r="M1326" t="str">
        <f>VLOOKUP(L1326,References!$A$2:$B$16,2,FALSE)</f>
        <v>AKCOVA</v>
      </c>
      <c r="N1326" s="19" t="str">
        <f>IF(M1326=M1327,"N","Y")</f>
        <v>Y</v>
      </c>
      <c r="O1326">
        <f>SUM(I1326:I1327)</f>
        <v>141</v>
      </c>
      <c r="P1326">
        <f t="shared" si="124"/>
        <v>42</v>
      </c>
    </row>
    <row r="1327" spans="1:16" hidden="1" x14ac:dyDescent="0.3">
      <c r="A1327" t="str">
        <f t="shared" si="123"/>
        <v>2021Emily11</v>
      </c>
      <c r="B1327">
        <f t="shared" si="120"/>
        <v>2018</v>
      </c>
      <c r="C1327">
        <f t="shared" si="121"/>
        <v>2081</v>
      </c>
      <c r="D1327" t="s">
        <v>43</v>
      </c>
      <c r="E1327" t="str">
        <f>D1326</f>
        <v>Mark</v>
      </c>
      <c r="F1327">
        <v>2021</v>
      </c>
      <c r="G1327">
        <v>11</v>
      </c>
      <c r="H1327">
        <v>5.2</v>
      </c>
      <c r="I1327">
        <v>42</v>
      </c>
      <c r="J1327">
        <f>I1327-I1326</f>
        <v>-57</v>
      </c>
      <c r="K1327" t="str">
        <f t="shared" si="125"/>
        <v>L</v>
      </c>
      <c r="L1327" t="str">
        <f t="shared" si="122"/>
        <v>Emily</v>
      </c>
      <c r="M1327" t="str">
        <f>VLOOKUP(L1327,References!$A$2:$B$16,2,FALSE)</f>
        <v>TEXAROK</v>
      </c>
      <c r="N1327" s="19" t="str">
        <f>IF(M1327=M1326,"N","Y")</f>
        <v>Y</v>
      </c>
      <c r="O1327">
        <f>SUM(I1326:I1327)</f>
        <v>141</v>
      </c>
      <c r="P1327">
        <f t="shared" si="124"/>
        <v>99</v>
      </c>
    </row>
    <row r="1328" spans="1:16" hidden="1" x14ac:dyDescent="0.3">
      <c r="A1328" t="str">
        <f t="shared" si="123"/>
        <v>2021Arnold11</v>
      </c>
      <c r="B1328">
        <f t="shared" si="120"/>
        <v>1952</v>
      </c>
      <c r="C1328">
        <f t="shared" si="121"/>
        <v>1833</v>
      </c>
      <c r="D1328" t="s">
        <v>227</v>
      </c>
      <c r="E1328" t="str">
        <f>D1329</f>
        <v>David</v>
      </c>
      <c r="F1328">
        <v>2021</v>
      </c>
      <c r="G1328">
        <v>11</v>
      </c>
      <c r="H1328">
        <v>6.1</v>
      </c>
      <c r="I1328">
        <v>66</v>
      </c>
      <c r="J1328">
        <f>I1328-I1329</f>
        <v>-46</v>
      </c>
      <c r="K1328" t="str">
        <f t="shared" si="125"/>
        <v>L</v>
      </c>
      <c r="L1328" t="str">
        <f t="shared" si="122"/>
        <v>Arnold</v>
      </c>
      <c r="M1328" t="str">
        <f>VLOOKUP(L1328,References!$A$2:$B$16,2,FALSE)</f>
        <v>AKCOVA</v>
      </c>
      <c r="N1328" s="19" t="str">
        <f>IF(M1328=M1329,"N","Y")</f>
        <v>Y</v>
      </c>
      <c r="O1328">
        <f>SUM(I1328:I1329)</f>
        <v>178</v>
      </c>
      <c r="P1328">
        <f t="shared" si="124"/>
        <v>112</v>
      </c>
    </row>
    <row r="1329" spans="1:16" hidden="1" x14ac:dyDescent="0.3">
      <c r="A1329" t="str">
        <f t="shared" si="123"/>
        <v>2021David11</v>
      </c>
      <c r="B1329">
        <f t="shared" si="120"/>
        <v>130</v>
      </c>
      <c r="C1329">
        <f t="shared" si="121"/>
        <v>364</v>
      </c>
      <c r="D1329" t="s">
        <v>29</v>
      </c>
      <c r="E1329" t="str">
        <f>D1328</f>
        <v>Arnold</v>
      </c>
      <c r="F1329">
        <v>2021</v>
      </c>
      <c r="G1329">
        <v>11</v>
      </c>
      <c r="H1329">
        <v>6.2</v>
      </c>
      <c r="I1329">
        <v>112</v>
      </c>
      <c r="J1329">
        <f>I1329-I1328</f>
        <v>46</v>
      </c>
      <c r="K1329" t="str">
        <f t="shared" si="125"/>
        <v>W</v>
      </c>
      <c r="L1329" t="str">
        <f t="shared" si="122"/>
        <v>David</v>
      </c>
      <c r="M1329" t="str">
        <f>VLOOKUP(L1329,References!$A$2:$B$16,2,FALSE)</f>
        <v>TEXAROK</v>
      </c>
      <c r="N1329" s="19" t="str">
        <f>IF(M1329=M1328,"N","Y")</f>
        <v>Y</v>
      </c>
      <c r="O1329">
        <f>SUM(I1328:I1329)</f>
        <v>178</v>
      </c>
      <c r="P1329">
        <f t="shared" si="124"/>
        <v>66</v>
      </c>
    </row>
    <row r="1330" spans="1:16" hidden="1" x14ac:dyDescent="0.3">
      <c r="A1330" t="str">
        <f t="shared" si="123"/>
        <v>2021Matt12</v>
      </c>
      <c r="B1330">
        <f t="shared" si="120"/>
        <v>1753</v>
      </c>
      <c r="C1330">
        <f t="shared" si="121"/>
        <v>1241</v>
      </c>
      <c r="D1330" t="s">
        <v>30</v>
      </c>
      <c r="E1330" t="str">
        <f>D1331</f>
        <v>Brian</v>
      </c>
      <c r="F1330">
        <v>2021</v>
      </c>
      <c r="G1330">
        <v>12</v>
      </c>
      <c r="H1330">
        <v>1.1000000000000001</v>
      </c>
      <c r="I1330">
        <v>84</v>
      </c>
      <c r="J1330">
        <f>I1330-I1331</f>
        <v>-30</v>
      </c>
      <c r="K1330" t="str">
        <f t="shared" si="125"/>
        <v>L</v>
      </c>
      <c r="L1330" t="str">
        <f t="shared" si="122"/>
        <v>Matt</v>
      </c>
      <c r="M1330" t="str">
        <f>VLOOKUP(L1330,References!$A$2:$B$16,2,FALSE)</f>
        <v>TEXAROK</v>
      </c>
      <c r="N1330" s="19" t="str">
        <f>IF(M1330=M1331,"N","Y")</f>
        <v>N</v>
      </c>
      <c r="O1330">
        <f>SUM(I1330:I1331)</f>
        <v>198</v>
      </c>
      <c r="P1330">
        <f t="shared" si="124"/>
        <v>114</v>
      </c>
    </row>
    <row r="1331" spans="1:16" hidden="1" x14ac:dyDescent="0.3">
      <c r="A1331" t="str">
        <f t="shared" si="123"/>
        <v>2021Brian12</v>
      </c>
      <c r="B1331">
        <f t="shared" si="120"/>
        <v>319</v>
      </c>
      <c r="C1331">
        <f t="shared" si="121"/>
        <v>321</v>
      </c>
      <c r="D1331" t="s">
        <v>26</v>
      </c>
      <c r="E1331" t="str">
        <f>D1330</f>
        <v>Matt</v>
      </c>
      <c r="F1331">
        <v>2021</v>
      </c>
      <c r="G1331">
        <v>12</v>
      </c>
      <c r="H1331">
        <v>1.2</v>
      </c>
      <c r="I1331">
        <v>114</v>
      </c>
      <c r="J1331">
        <f>I1331-I1330</f>
        <v>30</v>
      </c>
      <c r="K1331" t="str">
        <f t="shared" si="125"/>
        <v>W</v>
      </c>
      <c r="L1331" t="str">
        <f t="shared" si="122"/>
        <v>Brian</v>
      </c>
      <c r="M1331" t="str">
        <f>VLOOKUP(L1331,References!$A$2:$B$16,2,FALSE)</f>
        <v>TEXAROK</v>
      </c>
      <c r="N1331" s="19" t="str">
        <f>IF(M1331=M1330,"N","Y")</f>
        <v>N</v>
      </c>
      <c r="O1331">
        <f>SUM(I1330:I1331)</f>
        <v>198</v>
      </c>
      <c r="P1331">
        <f t="shared" si="124"/>
        <v>84</v>
      </c>
    </row>
    <row r="1332" spans="1:16" hidden="1" x14ac:dyDescent="0.3">
      <c r="A1332" t="str">
        <f t="shared" si="123"/>
        <v>2021Brent12</v>
      </c>
      <c r="B1332">
        <f t="shared" si="120"/>
        <v>803</v>
      </c>
      <c r="C1332">
        <f t="shared" si="121"/>
        <v>1241</v>
      </c>
      <c r="D1332" t="s">
        <v>47</v>
      </c>
      <c r="E1332" t="str">
        <f>D1333</f>
        <v>Russell</v>
      </c>
      <c r="F1332">
        <v>2021</v>
      </c>
      <c r="G1332">
        <v>12</v>
      </c>
      <c r="H1332">
        <v>2.1</v>
      </c>
      <c r="I1332">
        <v>84</v>
      </c>
      <c r="J1332">
        <f>I1332-I1333</f>
        <v>8</v>
      </c>
      <c r="K1332" t="str">
        <f t="shared" si="125"/>
        <v>W</v>
      </c>
      <c r="L1332" t="str">
        <f t="shared" si="122"/>
        <v>Brent</v>
      </c>
      <c r="M1332" t="str">
        <f>VLOOKUP(L1332,References!$A$2:$B$16,2,FALSE)</f>
        <v>TEXAROK</v>
      </c>
      <c r="N1332" s="19" t="str">
        <f>IF(M1332=M1333,"N","Y")</f>
        <v>N</v>
      </c>
      <c r="O1332">
        <f>SUM(I1332:I1333)</f>
        <v>160</v>
      </c>
      <c r="P1332">
        <f t="shared" si="124"/>
        <v>76</v>
      </c>
    </row>
    <row r="1333" spans="1:16" hidden="1" x14ac:dyDescent="0.3">
      <c r="A1333" t="str">
        <f t="shared" si="123"/>
        <v>2021Russell12</v>
      </c>
      <c r="B1333">
        <f t="shared" si="120"/>
        <v>1258</v>
      </c>
      <c r="C1333">
        <f t="shared" si="121"/>
        <v>1549</v>
      </c>
      <c r="D1333" t="s">
        <v>28</v>
      </c>
      <c r="E1333" t="str">
        <f>D1332</f>
        <v>Brent</v>
      </c>
      <c r="F1333">
        <v>2021</v>
      </c>
      <c r="G1333">
        <v>12</v>
      </c>
      <c r="H1333">
        <v>2.2000000000000002</v>
      </c>
      <c r="I1333">
        <v>76</v>
      </c>
      <c r="J1333">
        <f>I1333-I1332</f>
        <v>-8</v>
      </c>
      <c r="K1333" t="str">
        <f t="shared" si="125"/>
        <v>L</v>
      </c>
      <c r="L1333" t="str">
        <f t="shared" si="122"/>
        <v>Russell</v>
      </c>
      <c r="M1333" t="str">
        <f>VLOOKUP(L1333,References!$A$2:$B$16,2,FALSE)</f>
        <v>TEXAROK</v>
      </c>
      <c r="N1333" s="19" t="str">
        <f>IF(M1333=M1332,"N","Y")</f>
        <v>N</v>
      </c>
      <c r="O1333">
        <f>SUM(I1332:I1333)</f>
        <v>160</v>
      </c>
      <c r="P1333">
        <f t="shared" si="124"/>
        <v>84</v>
      </c>
    </row>
    <row r="1334" spans="1:16" hidden="1" x14ac:dyDescent="0.3">
      <c r="A1334" t="str">
        <f t="shared" si="123"/>
        <v>2021David12</v>
      </c>
      <c r="B1334">
        <f t="shared" si="120"/>
        <v>782</v>
      </c>
      <c r="C1334">
        <f t="shared" si="121"/>
        <v>1282</v>
      </c>
      <c r="D1334" t="s">
        <v>29</v>
      </c>
      <c r="E1334" t="str">
        <f>D1335</f>
        <v>Emily</v>
      </c>
      <c r="F1334">
        <v>2021</v>
      </c>
      <c r="G1334">
        <v>12</v>
      </c>
      <c r="H1334">
        <v>3.1</v>
      </c>
      <c r="I1334">
        <v>83</v>
      </c>
      <c r="J1334">
        <f>I1334-I1335</f>
        <v>9</v>
      </c>
      <c r="K1334" t="str">
        <f t="shared" si="125"/>
        <v>W</v>
      </c>
      <c r="L1334" t="str">
        <f t="shared" si="122"/>
        <v>David</v>
      </c>
      <c r="M1334" t="str">
        <f>VLOOKUP(L1334,References!$A$2:$B$16,2,FALSE)</f>
        <v>TEXAROK</v>
      </c>
      <c r="N1334" s="19" t="str">
        <f>IF(M1334=M1335,"N","Y")</f>
        <v>N</v>
      </c>
      <c r="O1334">
        <f>SUM(I1334:I1335)</f>
        <v>157</v>
      </c>
      <c r="P1334">
        <f t="shared" si="124"/>
        <v>74</v>
      </c>
    </row>
    <row r="1335" spans="1:16" hidden="1" x14ac:dyDescent="0.3">
      <c r="A1335" t="str">
        <f t="shared" si="123"/>
        <v>2021Emily12</v>
      </c>
      <c r="B1335">
        <f t="shared" si="120"/>
        <v>1291</v>
      </c>
      <c r="C1335">
        <f t="shared" si="121"/>
        <v>1618</v>
      </c>
      <c r="D1335" t="s">
        <v>43</v>
      </c>
      <c r="E1335" t="str">
        <f>D1334</f>
        <v>David</v>
      </c>
      <c r="F1335">
        <v>2021</v>
      </c>
      <c r="G1335">
        <v>12</v>
      </c>
      <c r="H1335">
        <v>3.2</v>
      </c>
      <c r="I1335">
        <v>74</v>
      </c>
      <c r="J1335">
        <f>I1335-I1334</f>
        <v>-9</v>
      </c>
      <c r="K1335" t="str">
        <f t="shared" si="125"/>
        <v>L</v>
      </c>
      <c r="L1335" t="str">
        <f t="shared" si="122"/>
        <v>Emily</v>
      </c>
      <c r="M1335" t="str">
        <f>VLOOKUP(L1335,References!$A$2:$B$16,2,FALSE)</f>
        <v>TEXAROK</v>
      </c>
      <c r="N1335" s="19" t="str">
        <f>IF(M1335=M1334,"N","Y")</f>
        <v>N</v>
      </c>
      <c r="O1335">
        <f>SUM(I1334:I1335)</f>
        <v>157</v>
      </c>
      <c r="P1335">
        <f t="shared" si="124"/>
        <v>83</v>
      </c>
    </row>
    <row r="1336" spans="1:16" hidden="1" x14ac:dyDescent="0.3">
      <c r="A1336" t="str">
        <f t="shared" si="123"/>
        <v>2021Charles12</v>
      </c>
      <c r="B1336">
        <f t="shared" si="120"/>
        <v>1840</v>
      </c>
      <c r="C1336">
        <f t="shared" si="121"/>
        <v>1885</v>
      </c>
      <c r="D1336" t="s">
        <v>48</v>
      </c>
      <c r="E1336" t="str">
        <f>D1337</f>
        <v>Michael</v>
      </c>
      <c r="F1336">
        <v>2021</v>
      </c>
      <c r="G1336">
        <v>12</v>
      </c>
      <c r="H1336">
        <v>4.0999999999999996</v>
      </c>
      <c r="I1336">
        <v>63</v>
      </c>
      <c r="J1336">
        <f>I1336-I1337</f>
        <v>-36</v>
      </c>
      <c r="K1336" t="str">
        <f t="shared" si="125"/>
        <v>L</v>
      </c>
      <c r="L1336" t="str">
        <f t="shared" si="122"/>
        <v>Charles</v>
      </c>
      <c r="M1336" t="str">
        <f>VLOOKUP(L1336,References!$A$2:$B$16,2,FALSE)</f>
        <v>AKCOVA</v>
      </c>
      <c r="N1336" s="19" t="str">
        <f>IF(M1336=M1337,"N","Y")</f>
        <v>N</v>
      </c>
      <c r="O1336">
        <f>SUM(I1336:I1337)</f>
        <v>162</v>
      </c>
      <c r="P1336">
        <f t="shared" si="124"/>
        <v>99</v>
      </c>
    </row>
    <row r="1337" spans="1:16" hidden="1" x14ac:dyDescent="0.3">
      <c r="A1337" t="str">
        <f t="shared" si="123"/>
        <v>2021Michael12</v>
      </c>
      <c r="B1337">
        <f t="shared" si="120"/>
        <v>238</v>
      </c>
      <c r="C1337">
        <f t="shared" si="121"/>
        <v>714</v>
      </c>
      <c r="D1337" t="s">
        <v>23</v>
      </c>
      <c r="E1337" t="str">
        <f>D1336</f>
        <v>Charles</v>
      </c>
      <c r="F1337">
        <v>2021</v>
      </c>
      <c r="G1337">
        <v>12</v>
      </c>
      <c r="H1337">
        <v>4.2</v>
      </c>
      <c r="I1337">
        <v>99</v>
      </c>
      <c r="J1337">
        <f>I1337-I1336</f>
        <v>36</v>
      </c>
      <c r="K1337" t="str">
        <f t="shared" si="125"/>
        <v>W</v>
      </c>
      <c r="L1337" t="str">
        <f t="shared" si="122"/>
        <v>Michael</v>
      </c>
      <c r="M1337" t="str">
        <f>VLOOKUP(L1337,References!$A$2:$B$16,2,FALSE)</f>
        <v>AKCOVA</v>
      </c>
      <c r="N1337" s="19" t="str">
        <f>IF(M1337=M1336,"N","Y")</f>
        <v>N</v>
      </c>
      <c r="O1337">
        <f>SUM(I1336:I1337)</f>
        <v>162</v>
      </c>
      <c r="P1337">
        <f t="shared" si="124"/>
        <v>63</v>
      </c>
    </row>
    <row r="1338" spans="1:16" hidden="1" x14ac:dyDescent="0.3">
      <c r="A1338" t="str">
        <f t="shared" si="123"/>
        <v>2021Arnold12</v>
      </c>
      <c r="B1338">
        <f t="shared" si="120"/>
        <v>1577</v>
      </c>
      <c r="C1338">
        <f t="shared" si="121"/>
        <v>1406</v>
      </c>
      <c r="D1338" t="s">
        <v>227</v>
      </c>
      <c r="E1338" t="str">
        <f>D1339</f>
        <v>BR</v>
      </c>
      <c r="F1338">
        <v>2021</v>
      </c>
      <c r="G1338">
        <v>12</v>
      </c>
      <c r="H1338">
        <v>5.0999999999999996</v>
      </c>
      <c r="I1338">
        <v>80</v>
      </c>
      <c r="J1338">
        <f>I1338-I1339</f>
        <v>-21</v>
      </c>
      <c r="K1338" t="str">
        <f t="shared" si="125"/>
        <v>L</v>
      </c>
      <c r="L1338" t="str">
        <f t="shared" si="122"/>
        <v>Arnold</v>
      </c>
      <c r="M1338" t="str">
        <f>VLOOKUP(L1338,References!$A$2:$B$16,2,FALSE)</f>
        <v>AKCOVA</v>
      </c>
      <c r="N1338" s="19" t="str">
        <f>IF(M1338=M1339,"N","Y")</f>
        <v>N</v>
      </c>
      <c r="O1338">
        <f>SUM(I1338:I1339)</f>
        <v>181</v>
      </c>
      <c r="P1338">
        <f t="shared" si="124"/>
        <v>101</v>
      </c>
    </row>
    <row r="1339" spans="1:16" hidden="1" x14ac:dyDescent="0.3">
      <c r="A1339" t="str">
        <f t="shared" si="123"/>
        <v>2021BR12</v>
      </c>
      <c r="B1339">
        <f t="shared" si="120"/>
        <v>489</v>
      </c>
      <c r="C1339">
        <f t="shared" si="121"/>
        <v>652</v>
      </c>
      <c r="D1339" t="s">
        <v>25</v>
      </c>
      <c r="E1339" t="str">
        <f>D1338</f>
        <v>Arnold</v>
      </c>
      <c r="F1339">
        <v>2021</v>
      </c>
      <c r="G1339">
        <v>12</v>
      </c>
      <c r="H1339">
        <v>5.2</v>
      </c>
      <c r="I1339">
        <v>101</v>
      </c>
      <c r="J1339">
        <f>I1339-I1338</f>
        <v>21</v>
      </c>
      <c r="K1339" t="str">
        <f t="shared" si="125"/>
        <v>W</v>
      </c>
      <c r="L1339" t="str">
        <f t="shared" si="122"/>
        <v>BR</v>
      </c>
      <c r="M1339" t="str">
        <f>VLOOKUP(L1339,References!$A$2:$B$16,2,FALSE)</f>
        <v>AKCOVA</v>
      </c>
      <c r="N1339" s="19" t="str">
        <f>IF(M1339=M1338,"N","Y")</f>
        <v>N</v>
      </c>
      <c r="O1339">
        <f>SUM(I1338:I1339)</f>
        <v>181</v>
      </c>
      <c r="P1339">
        <f t="shared" si="124"/>
        <v>80</v>
      </c>
    </row>
    <row r="1340" spans="1:16" hidden="1" x14ac:dyDescent="0.3">
      <c r="A1340" t="str">
        <f t="shared" si="123"/>
        <v>2021Mark12</v>
      </c>
      <c r="B1340">
        <f t="shared" si="120"/>
        <v>1987</v>
      </c>
      <c r="C1340">
        <f t="shared" si="121"/>
        <v>2034</v>
      </c>
      <c r="D1340" t="s">
        <v>22</v>
      </c>
      <c r="E1340" t="str">
        <f>D1341</f>
        <v>Watty</v>
      </c>
      <c r="F1340">
        <v>2021</v>
      </c>
      <c r="G1340">
        <v>12</v>
      </c>
      <c r="H1340">
        <v>6.1</v>
      </c>
      <c r="I1340">
        <v>52</v>
      </c>
      <c r="J1340">
        <f>I1340-I1341</f>
        <v>-51</v>
      </c>
      <c r="K1340" t="str">
        <f t="shared" si="125"/>
        <v>L</v>
      </c>
      <c r="L1340" t="str">
        <f t="shared" si="122"/>
        <v>Mark</v>
      </c>
      <c r="M1340" t="str">
        <f>VLOOKUP(L1340,References!$A$2:$B$16,2,FALSE)</f>
        <v>AKCOVA</v>
      </c>
      <c r="N1340" s="19" t="str">
        <f>IF(M1340=M1341,"N","Y")</f>
        <v>N</v>
      </c>
      <c r="O1340">
        <f>SUM(I1340:I1341)</f>
        <v>155</v>
      </c>
      <c r="P1340">
        <f t="shared" si="124"/>
        <v>103</v>
      </c>
    </row>
    <row r="1341" spans="1:16" hidden="1" x14ac:dyDescent="0.3">
      <c r="A1341" t="str">
        <f t="shared" si="123"/>
        <v>2021Watty12</v>
      </c>
      <c r="B1341">
        <f t="shared" si="120"/>
        <v>103</v>
      </c>
      <c r="C1341">
        <f t="shared" si="121"/>
        <v>603</v>
      </c>
      <c r="D1341" t="s">
        <v>24</v>
      </c>
      <c r="E1341" t="str">
        <f>D1340</f>
        <v>Mark</v>
      </c>
      <c r="F1341">
        <v>2021</v>
      </c>
      <c r="G1341">
        <v>12</v>
      </c>
      <c r="H1341">
        <v>6.2</v>
      </c>
      <c r="I1341">
        <v>103</v>
      </c>
      <c r="J1341">
        <f>I1341-I1340</f>
        <v>51</v>
      </c>
      <c r="K1341" t="str">
        <f t="shared" si="125"/>
        <v>W</v>
      </c>
      <c r="L1341" t="str">
        <f t="shared" si="122"/>
        <v>Watty</v>
      </c>
      <c r="M1341" t="str">
        <f>VLOOKUP(L1341,References!$A$2:$B$16,2,FALSE)</f>
        <v>AKCOVA</v>
      </c>
      <c r="N1341" s="19" t="str">
        <f>IF(M1341=M1340,"N","Y")</f>
        <v>N</v>
      </c>
      <c r="O1341">
        <f>SUM(I1340:I1341)</f>
        <v>155</v>
      </c>
      <c r="P1341">
        <f t="shared" si="124"/>
        <v>52</v>
      </c>
    </row>
    <row r="1342" spans="1:16" hidden="1" x14ac:dyDescent="0.3">
      <c r="A1342" t="str">
        <f t="shared" si="123"/>
        <v>2021Brian13</v>
      </c>
      <c r="B1342">
        <f t="shared" si="120"/>
        <v>917</v>
      </c>
      <c r="C1342">
        <f t="shared" si="121"/>
        <v>1210</v>
      </c>
      <c r="D1342" t="s">
        <v>26</v>
      </c>
      <c r="E1342" t="str">
        <f>D1343</f>
        <v>David</v>
      </c>
      <c r="F1342">
        <v>2021</v>
      </c>
      <c r="G1342">
        <v>13</v>
      </c>
      <c r="H1342">
        <v>1.1000000000000001</v>
      </c>
      <c r="I1342">
        <v>85</v>
      </c>
      <c r="J1342">
        <f>I1342-I1343</f>
        <v>4</v>
      </c>
      <c r="K1342" t="str">
        <f t="shared" si="125"/>
        <v>W</v>
      </c>
      <c r="L1342" t="str">
        <f t="shared" si="122"/>
        <v>Brian</v>
      </c>
      <c r="M1342" t="str">
        <f>VLOOKUP(L1342,References!$A$2:$B$16,2,FALSE)</f>
        <v>TEXAROK</v>
      </c>
      <c r="N1342" s="19" t="str">
        <f>IF(M1342=M1343,"N","Y")</f>
        <v>N</v>
      </c>
      <c r="O1342">
        <f>SUM(I1342:I1343)</f>
        <v>166</v>
      </c>
      <c r="P1342">
        <f t="shared" si="124"/>
        <v>81</v>
      </c>
    </row>
    <row r="1343" spans="1:16" hidden="1" x14ac:dyDescent="0.3">
      <c r="A1343" t="str">
        <f t="shared" si="123"/>
        <v>2021David13</v>
      </c>
      <c r="B1343">
        <f t="shared" si="120"/>
        <v>1145</v>
      </c>
      <c r="C1343">
        <f t="shared" si="121"/>
        <v>1365</v>
      </c>
      <c r="D1343" t="s">
        <v>29</v>
      </c>
      <c r="E1343" t="str">
        <f>D1342</f>
        <v>Brian</v>
      </c>
      <c r="F1343">
        <v>2021</v>
      </c>
      <c r="G1343">
        <v>13</v>
      </c>
      <c r="H1343">
        <v>1.2</v>
      </c>
      <c r="I1343">
        <v>81</v>
      </c>
      <c r="J1343">
        <f>I1343-I1342</f>
        <v>-4</v>
      </c>
      <c r="K1343" t="str">
        <f t="shared" si="125"/>
        <v>L</v>
      </c>
      <c r="L1343" t="str">
        <f t="shared" si="122"/>
        <v>David</v>
      </c>
      <c r="M1343" t="str">
        <f>VLOOKUP(L1343,References!$A$2:$B$16,2,FALSE)</f>
        <v>TEXAROK</v>
      </c>
      <c r="N1343" s="19" t="str">
        <f>IF(M1343=M1342,"N","Y")</f>
        <v>N</v>
      </c>
      <c r="O1343">
        <f>SUM(I1342:I1343)</f>
        <v>166</v>
      </c>
      <c r="P1343">
        <f t="shared" si="124"/>
        <v>85</v>
      </c>
    </row>
    <row r="1344" spans="1:16" hidden="1" x14ac:dyDescent="0.3">
      <c r="A1344" t="str">
        <f t="shared" si="123"/>
        <v>2021Emily13</v>
      </c>
      <c r="B1344">
        <f t="shared" si="120"/>
        <v>1914</v>
      </c>
      <c r="C1344">
        <f t="shared" si="121"/>
        <v>1468</v>
      </c>
      <c r="D1344" t="s">
        <v>43</v>
      </c>
      <c r="E1344" t="str">
        <f>D1345</f>
        <v>Russell</v>
      </c>
      <c r="F1344">
        <v>2021</v>
      </c>
      <c r="G1344">
        <v>13</v>
      </c>
      <c r="H1344">
        <v>2.1</v>
      </c>
      <c r="I1344">
        <v>78</v>
      </c>
      <c r="J1344">
        <f>I1344-I1345</f>
        <v>-42</v>
      </c>
      <c r="K1344" t="str">
        <f t="shared" si="125"/>
        <v>L</v>
      </c>
      <c r="L1344" t="str">
        <f t="shared" si="122"/>
        <v>Emily</v>
      </c>
      <c r="M1344" t="str">
        <f>VLOOKUP(L1344,References!$A$2:$B$16,2,FALSE)</f>
        <v>TEXAROK</v>
      </c>
      <c r="N1344" s="19" t="str">
        <f>IF(M1344=M1345,"N","Y")</f>
        <v>N</v>
      </c>
      <c r="O1344">
        <f>SUM(I1344:I1345)</f>
        <v>198</v>
      </c>
      <c r="P1344">
        <f t="shared" si="124"/>
        <v>120</v>
      </c>
    </row>
    <row r="1345" spans="1:16" hidden="1" x14ac:dyDescent="0.3">
      <c r="A1345" t="str">
        <f t="shared" si="123"/>
        <v>2021Russell13</v>
      </c>
      <c r="B1345">
        <f t="shared" si="120"/>
        <v>173</v>
      </c>
      <c r="C1345">
        <f t="shared" si="121"/>
        <v>227</v>
      </c>
      <c r="D1345" t="s">
        <v>28</v>
      </c>
      <c r="E1345" t="str">
        <f>D1344</f>
        <v>Emily</v>
      </c>
      <c r="F1345">
        <v>2021</v>
      </c>
      <c r="G1345">
        <v>13</v>
      </c>
      <c r="H1345">
        <v>2.2000000000000002</v>
      </c>
      <c r="I1345">
        <v>120</v>
      </c>
      <c r="J1345">
        <f>I1345-I1344</f>
        <v>42</v>
      </c>
      <c r="K1345" t="str">
        <f t="shared" si="125"/>
        <v>W</v>
      </c>
      <c r="L1345" t="str">
        <f t="shared" si="122"/>
        <v>Russell</v>
      </c>
      <c r="M1345" t="str">
        <f>VLOOKUP(L1345,References!$A$2:$B$16,2,FALSE)</f>
        <v>TEXAROK</v>
      </c>
      <c r="N1345" s="19" t="str">
        <f>IF(M1345=M1344,"N","Y")</f>
        <v>N</v>
      </c>
      <c r="O1345">
        <f>SUM(I1344:I1345)</f>
        <v>198</v>
      </c>
      <c r="P1345">
        <f t="shared" si="124"/>
        <v>78</v>
      </c>
    </row>
    <row r="1346" spans="1:16" hidden="1" x14ac:dyDescent="0.3">
      <c r="A1346" t="str">
        <f t="shared" si="123"/>
        <v>2021Matt13</v>
      </c>
      <c r="B1346">
        <f t="shared" ref="B1346:B1409" si="126">RANK(J1346,diff)</f>
        <v>1291</v>
      </c>
      <c r="C1346">
        <f t="shared" ref="C1346:C1409" si="127">RANK(I1346,points)</f>
        <v>1406</v>
      </c>
      <c r="D1346" t="s">
        <v>30</v>
      </c>
      <c r="E1346" t="str">
        <f>D1347</f>
        <v>Brent</v>
      </c>
      <c r="F1346">
        <v>2021</v>
      </c>
      <c r="G1346">
        <v>13</v>
      </c>
      <c r="H1346">
        <v>3.1</v>
      </c>
      <c r="I1346">
        <v>80</v>
      </c>
      <c r="J1346">
        <f>I1346-I1347</f>
        <v>-9</v>
      </c>
      <c r="K1346" t="str">
        <f t="shared" si="125"/>
        <v>L</v>
      </c>
      <c r="L1346" t="str">
        <f t="shared" ref="L1346:L1409" si="128">D1346</f>
        <v>Matt</v>
      </c>
      <c r="M1346" t="str">
        <f>VLOOKUP(L1346,References!$A$2:$B$16,2,FALSE)</f>
        <v>TEXAROK</v>
      </c>
      <c r="N1346" s="19" t="str">
        <f>IF(M1346=M1347,"N","Y")</f>
        <v>N</v>
      </c>
      <c r="O1346">
        <f>SUM(I1346:I1347)</f>
        <v>169</v>
      </c>
      <c r="P1346">
        <f t="shared" si="124"/>
        <v>89</v>
      </c>
    </row>
    <row r="1347" spans="1:16" hidden="1" x14ac:dyDescent="0.3">
      <c r="A1347" t="str">
        <f t="shared" ref="A1347:A1410" si="129">F1347&amp;D1347&amp;G1347</f>
        <v>2021Brent13</v>
      </c>
      <c r="B1347">
        <f t="shared" si="126"/>
        <v>782</v>
      </c>
      <c r="C1347">
        <f t="shared" si="127"/>
        <v>1055</v>
      </c>
      <c r="D1347" t="s">
        <v>47</v>
      </c>
      <c r="E1347" t="str">
        <f>D1346</f>
        <v>Matt</v>
      </c>
      <c r="F1347">
        <v>2021</v>
      </c>
      <c r="G1347">
        <v>13</v>
      </c>
      <c r="H1347">
        <v>3.2</v>
      </c>
      <c r="I1347">
        <v>89</v>
      </c>
      <c r="J1347">
        <f>I1347-I1346</f>
        <v>9</v>
      </c>
      <c r="K1347" t="str">
        <f t="shared" si="125"/>
        <v>W</v>
      </c>
      <c r="L1347" t="str">
        <f t="shared" si="128"/>
        <v>Brent</v>
      </c>
      <c r="M1347" t="str">
        <f>VLOOKUP(L1347,References!$A$2:$B$16,2,FALSE)</f>
        <v>TEXAROK</v>
      </c>
      <c r="N1347" s="19" t="str">
        <f>IF(M1347=M1346,"N","Y")</f>
        <v>N</v>
      </c>
      <c r="O1347">
        <f>SUM(I1346:I1347)</f>
        <v>169</v>
      </c>
      <c r="P1347">
        <f t="shared" ref="P1347:P1410" si="130">I1347-J1347</f>
        <v>80</v>
      </c>
    </row>
    <row r="1348" spans="1:16" hidden="1" x14ac:dyDescent="0.3">
      <c r="A1348" t="str">
        <f t="shared" si="129"/>
        <v>2021Charles13</v>
      </c>
      <c r="B1348">
        <f t="shared" si="126"/>
        <v>254</v>
      </c>
      <c r="C1348">
        <f t="shared" si="127"/>
        <v>652</v>
      </c>
      <c r="D1348" t="s">
        <v>48</v>
      </c>
      <c r="E1348" t="str">
        <f>D1349</f>
        <v>BR</v>
      </c>
      <c r="F1348">
        <v>2021</v>
      </c>
      <c r="G1348">
        <v>13</v>
      </c>
      <c r="H1348">
        <v>4.0999999999999996</v>
      </c>
      <c r="I1348">
        <v>101</v>
      </c>
      <c r="J1348">
        <f>I1348-I1349</f>
        <v>35</v>
      </c>
      <c r="K1348" t="str">
        <f t="shared" si="125"/>
        <v>W</v>
      </c>
      <c r="L1348" t="str">
        <f t="shared" si="128"/>
        <v>Charles</v>
      </c>
      <c r="M1348" t="str">
        <f>VLOOKUP(L1348,References!$A$2:$B$16,2,FALSE)</f>
        <v>AKCOVA</v>
      </c>
      <c r="N1348" s="19" t="str">
        <f>IF(M1348=M1349,"N","Y")</f>
        <v>N</v>
      </c>
      <c r="O1348">
        <f>SUM(I1348:I1349)</f>
        <v>167</v>
      </c>
      <c r="P1348">
        <f t="shared" si="130"/>
        <v>66</v>
      </c>
    </row>
    <row r="1349" spans="1:16" hidden="1" x14ac:dyDescent="0.3">
      <c r="A1349" t="str">
        <f t="shared" si="129"/>
        <v>2021BR13</v>
      </c>
      <c r="B1349">
        <f t="shared" si="126"/>
        <v>1832</v>
      </c>
      <c r="C1349">
        <f t="shared" si="127"/>
        <v>1833</v>
      </c>
      <c r="D1349" t="s">
        <v>25</v>
      </c>
      <c r="E1349" t="str">
        <f>D1348</f>
        <v>Charles</v>
      </c>
      <c r="F1349">
        <v>2021</v>
      </c>
      <c r="G1349">
        <v>13</v>
      </c>
      <c r="H1349">
        <v>4.2</v>
      </c>
      <c r="I1349">
        <v>66</v>
      </c>
      <c r="J1349">
        <f>I1349-I1348</f>
        <v>-35</v>
      </c>
      <c r="K1349" t="str">
        <f t="shared" si="125"/>
        <v>L</v>
      </c>
      <c r="L1349" t="str">
        <f t="shared" si="128"/>
        <v>BR</v>
      </c>
      <c r="M1349" t="str">
        <f>VLOOKUP(L1349,References!$A$2:$B$16,2,FALSE)</f>
        <v>AKCOVA</v>
      </c>
      <c r="N1349" s="19" t="str">
        <f>IF(M1349=M1348,"N","Y")</f>
        <v>N</v>
      </c>
      <c r="O1349">
        <f>SUM(I1348:I1349)</f>
        <v>167</v>
      </c>
      <c r="P1349">
        <f t="shared" si="130"/>
        <v>101</v>
      </c>
    </row>
    <row r="1350" spans="1:16" hidden="1" x14ac:dyDescent="0.3">
      <c r="A1350" t="str">
        <f t="shared" si="129"/>
        <v>2021Michael13</v>
      </c>
      <c r="B1350">
        <f t="shared" si="126"/>
        <v>59</v>
      </c>
      <c r="C1350">
        <f t="shared" si="127"/>
        <v>462</v>
      </c>
      <c r="D1350" t="s">
        <v>23</v>
      </c>
      <c r="E1350" t="str">
        <f>D1351</f>
        <v>Watty</v>
      </c>
      <c r="F1350">
        <v>2021</v>
      </c>
      <c r="G1350">
        <v>13</v>
      </c>
      <c r="H1350">
        <v>5.0999999999999996</v>
      </c>
      <c r="I1350">
        <v>108</v>
      </c>
      <c r="J1350">
        <f>I1350-I1351</f>
        <v>59</v>
      </c>
      <c r="K1350" t="str">
        <f t="shared" ref="K1350:K1413" si="131">IF(J1350&gt;0,"W",IF(J1350&lt;0,"L","T"))</f>
        <v>W</v>
      </c>
      <c r="L1350" t="str">
        <f t="shared" si="128"/>
        <v>Michael</v>
      </c>
      <c r="M1350" t="str">
        <f>VLOOKUP(L1350,References!$A$2:$B$16,2,FALSE)</f>
        <v>AKCOVA</v>
      </c>
      <c r="N1350" s="19" t="str">
        <f>IF(M1350=M1351,"N","Y")</f>
        <v>N</v>
      </c>
      <c r="O1350">
        <f>SUM(I1350:I1351)</f>
        <v>157</v>
      </c>
      <c r="P1350">
        <f t="shared" si="130"/>
        <v>49</v>
      </c>
    </row>
    <row r="1351" spans="1:16" hidden="1" x14ac:dyDescent="0.3">
      <c r="A1351" t="str">
        <f t="shared" si="129"/>
        <v>2021Watty13</v>
      </c>
      <c r="B1351">
        <f t="shared" si="126"/>
        <v>2032</v>
      </c>
      <c r="C1351">
        <f t="shared" si="127"/>
        <v>2057</v>
      </c>
      <c r="D1351" t="s">
        <v>24</v>
      </c>
      <c r="E1351" t="str">
        <f>D1350</f>
        <v>Michael</v>
      </c>
      <c r="F1351">
        <v>2021</v>
      </c>
      <c r="G1351">
        <v>13</v>
      </c>
      <c r="H1351">
        <v>5.2</v>
      </c>
      <c r="I1351">
        <v>49</v>
      </c>
      <c r="J1351">
        <f>I1351-I1350</f>
        <v>-59</v>
      </c>
      <c r="K1351" t="str">
        <f t="shared" si="131"/>
        <v>L</v>
      </c>
      <c r="L1351" t="str">
        <f t="shared" si="128"/>
        <v>Watty</v>
      </c>
      <c r="M1351" t="str">
        <f>VLOOKUP(L1351,References!$A$2:$B$16,2,FALSE)</f>
        <v>AKCOVA</v>
      </c>
      <c r="N1351" s="19" t="str">
        <f>IF(M1351=M1350,"N","Y")</f>
        <v>N</v>
      </c>
      <c r="O1351">
        <f>SUM(I1350:I1351)</f>
        <v>157</v>
      </c>
      <c r="P1351">
        <f t="shared" si="130"/>
        <v>108</v>
      </c>
    </row>
    <row r="1352" spans="1:16" hidden="1" x14ac:dyDescent="0.3">
      <c r="A1352" t="str">
        <f t="shared" si="129"/>
        <v>2021Arnold13</v>
      </c>
      <c r="B1352">
        <f t="shared" si="126"/>
        <v>319</v>
      </c>
      <c r="C1352">
        <f t="shared" si="127"/>
        <v>746</v>
      </c>
      <c r="D1352" t="s">
        <v>227</v>
      </c>
      <c r="E1352" t="str">
        <f>D1353</f>
        <v>Mark</v>
      </c>
      <c r="F1352">
        <v>2021</v>
      </c>
      <c r="G1352">
        <v>13</v>
      </c>
      <c r="H1352">
        <v>6.1</v>
      </c>
      <c r="I1352">
        <v>98</v>
      </c>
      <c r="J1352">
        <f>I1352-I1353</f>
        <v>30</v>
      </c>
      <c r="K1352" t="str">
        <f t="shared" si="131"/>
        <v>W</v>
      </c>
      <c r="L1352" t="str">
        <f t="shared" si="128"/>
        <v>Arnold</v>
      </c>
      <c r="M1352" t="str">
        <f>VLOOKUP(L1352,References!$A$2:$B$16,2,FALSE)</f>
        <v>AKCOVA</v>
      </c>
      <c r="N1352" s="19" t="str">
        <f>IF(M1352=M1353,"N","Y")</f>
        <v>N</v>
      </c>
      <c r="O1352">
        <f>SUM(I1352:I1353)</f>
        <v>166</v>
      </c>
      <c r="P1352">
        <f t="shared" si="130"/>
        <v>68</v>
      </c>
    </row>
    <row r="1353" spans="1:16" hidden="1" x14ac:dyDescent="0.3">
      <c r="A1353" t="str">
        <f t="shared" si="129"/>
        <v>2021Mark13</v>
      </c>
      <c r="B1353">
        <f t="shared" si="126"/>
        <v>1753</v>
      </c>
      <c r="C1353">
        <f t="shared" si="127"/>
        <v>1793</v>
      </c>
      <c r="D1353" t="s">
        <v>22</v>
      </c>
      <c r="E1353" t="str">
        <f>D1352</f>
        <v>Arnold</v>
      </c>
      <c r="F1353">
        <v>2021</v>
      </c>
      <c r="G1353">
        <v>13</v>
      </c>
      <c r="H1353">
        <v>6.2</v>
      </c>
      <c r="I1353">
        <v>68</v>
      </c>
      <c r="J1353">
        <f>I1353-I1352</f>
        <v>-30</v>
      </c>
      <c r="K1353" t="str">
        <f t="shared" si="131"/>
        <v>L</v>
      </c>
      <c r="L1353" t="str">
        <f t="shared" si="128"/>
        <v>Mark</v>
      </c>
      <c r="M1353" t="str">
        <f>VLOOKUP(L1353,References!$A$2:$B$16,2,FALSE)</f>
        <v>AKCOVA</v>
      </c>
      <c r="N1353" s="19" t="str">
        <f>IF(M1353=M1352,"N","Y")</f>
        <v>N</v>
      </c>
      <c r="O1353">
        <f>SUM(I1352:I1353)</f>
        <v>166</v>
      </c>
      <c r="P1353">
        <f t="shared" si="130"/>
        <v>98</v>
      </c>
    </row>
    <row r="1354" spans="1:16" hidden="1" x14ac:dyDescent="0.3">
      <c r="A1354" t="str">
        <f t="shared" si="129"/>
        <v>2021Matt14</v>
      </c>
      <c r="B1354">
        <f t="shared" si="126"/>
        <v>16</v>
      </c>
      <c r="C1354">
        <f t="shared" si="127"/>
        <v>462</v>
      </c>
      <c r="D1354" t="s">
        <v>30</v>
      </c>
      <c r="E1354" t="str">
        <f>D1355</f>
        <v>David</v>
      </c>
      <c r="F1354">
        <v>2021</v>
      </c>
      <c r="G1354">
        <v>14</v>
      </c>
      <c r="H1354">
        <v>1.1000000000000001</v>
      </c>
      <c r="I1354">
        <v>108</v>
      </c>
      <c r="J1354">
        <f>I1354-I1355</f>
        <v>74</v>
      </c>
      <c r="K1354" t="str">
        <f t="shared" si="131"/>
        <v>W</v>
      </c>
      <c r="L1354" t="str">
        <f t="shared" si="128"/>
        <v>Matt</v>
      </c>
      <c r="M1354" t="str">
        <f>VLOOKUP(L1354,References!$A$2:$B$16,2,FALSE)</f>
        <v>TEXAROK</v>
      </c>
      <c r="N1354" s="19" t="str">
        <f>IF(M1354=M1355,"N","Y")</f>
        <v>N</v>
      </c>
      <c r="O1354">
        <f>SUM(I1354:I1355)</f>
        <v>142</v>
      </c>
      <c r="P1354">
        <f t="shared" si="130"/>
        <v>34</v>
      </c>
    </row>
    <row r="1355" spans="1:16" hidden="1" x14ac:dyDescent="0.3">
      <c r="A1355" t="str">
        <f t="shared" si="129"/>
        <v>2021David14</v>
      </c>
      <c r="B1355">
        <f t="shared" si="126"/>
        <v>2077</v>
      </c>
      <c r="C1355">
        <f t="shared" si="127"/>
        <v>2090</v>
      </c>
      <c r="D1355" t="s">
        <v>29</v>
      </c>
      <c r="E1355" t="str">
        <f>D1354</f>
        <v>Matt</v>
      </c>
      <c r="F1355">
        <v>2021</v>
      </c>
      <c r="G1355">
        <v>14</v>
      </c>
      <c r="H1355">
        <v>1.2</v>
      </c>
      <c r="I1355">
        <v>34</v>
      </c>
      <c r="J1355">
        <f>I1355-I1354</f>
        <v>-74</v>
      </c>
      <c r="K1355" t="str">
        <f t="shared" si="131"/>
        <v>L</v>
      </c>
      <c r="L1355" t="str">
        <f t="shared" si="128"/>
        <v>David</v>
      </c>
      <c r="M1355" t="str">
        <f>VLOOKUP(L1355,References!$A$2:$B$16,2,FALSE)</f>
        <v>TEXAROK</v>
      </c>
      <c r="N1355" s="19" t="str">
        <f>IF(M1355=M1354,"N","Y")</f>
        <v>N</v>
      </c>
      <c r="O1355">
        <f>SUM(I1354:I1355)</f>
        <v>142</v>
      </c>
      <c r="P1355">
        <f t="shared" si="130"/>
        <v>108</v>
      </c>
    </row>
    <row r="1356" spans="1:16" hidden="1" x14ac:dyDescent="0.3">
      <c r="A1356" t="str">
        <f t="shared" si="129"/>
        <v>2021Michael14</v>
      </c>
      <c r="B1356">
        <f t="shared" si="126"/>
        <v>1291</v>
      </c>
      <c r="C1356">
        <f t="shared" si="127"/>
        <v>383</v>
      </c>
      <c r="D1356" t="s">
        <v>23</v>
      </c>
      <c r="E1356" t="str">
        <f>D1357</f>
        <v>BR</v>
      </c>
      <c r="F1356">
        <v>2021</v>
      </c>
      <c r="G1356">
        <v>14</v>
      </c>
      <c r="H1356">
        <v>2.1</v>
      </c>
      <c r="I1356">
        <v>111</v>
      </c>
      <c r="J1356">
        <f>I1356-I1357</f>
        <v>-9</v>
      </c>
      <c r="K1356" t="str">
        <f t="shared" si="131"/>
        <v>L</v>
      </c>
      <c r="L1356" t="str">
        <f t="shared" si="128"/>
        <v>Michael</v>
      </c>
      <c r="M1356" t="str">
        <f>VLOOKUP(L1356,References!$A$2:$B$16,2,FALSE)</f>
        <v>AKCOVA</v>
      </c>
      <c r="N1356" s="19" t="str">
        <f>IF(M1356=M1357,"N","Y")</f>
        <v>N</v>
      </c>
      <c r="O1356">
        <f>SUM(I1356:I1357)</f>
        <v>231</v>
      </c>
      <c r="P1356">
        <f t="shared" si="130"/>
        <v>120</v>
      </c>
    </row>
    <row r="1357" spans="1:16" hidden="1" x14ac:dyDescent="0.3">
      <c r="A1357" t="str">
        <f t="shared" si="129"/>
        <v>2021BR14</v>
      </c>
      <c r="B1357">
        <f t="shared" si="126"/>
        <v>782</v>
      </c>
      <c r="C1357">
        <f t="shared" si="127"/>
        <v>227</v>
      </c>
      <c r="D1357" t="s">
        <v>25</v>
      </c>
      <c r="E1357" t="str">
        <f>D1356</f>
        <v>Michael</v>
      </c>
      <c r="F1357">
        <v>2021</v>
      </c>
      <c r="G1357">
        <v>14</v>
      </c>
      <c r="H1357">
        <v>2.2000000000000002</v>
      </c>
      <c r="I1357">
        <v>120</v>
      </c>
      <c r="J1357">
        <f>I1357-I1356</f>
        <v>9</v>
      </c>
      <c r="K1357" t="str">
        <f t="shared" si="131"/>
        <v>W</v>
      </c>
      <c r="L1357" t="str">
        <f t="shared" si="128"/>
        <v>BR</v>
      </c>
      <c r="M1357" t="str">
        <f>VLOOKUP(L1357,References!$A$2:$B$16,2,FALSE)</f>
        <v>AKCOVA</v>
      </c>
      <c r="N1357" s="19" t="str">
        <f>IF(M1357=M1356,"N","Y")</f>
        <v>N</v>
      </c>
      <c r="O1357">
        <f>SUM(I1356:I1357)</f>
        <v>231</v>
      </c>
      <c r="P1357">
        <f t="shared" si="130"/>
        <v>111</v>
      </c>
    </row>
    <row r="1358" spans="1:16" hidden="1" x14ac:dyDescent="0.3">
      <c r="A1358" t="str">
        <f t="shared" si="129"/>
        <v>2021Brian14</v>
      </c>
      <c r="B1358">
        <f t="shared" si="126"/>
        <v>737</v>
      </c>
      <c r="C1358">
        <f t="shared" si="127"/>
        <v>631</v>
      </c>
      <c r="D1358" t="s">
        <v>26</v>
      </c>
      <c r="E1358" t="str">
        <f>D1359</f>
        <v>Brent</v>
      </c>
      <c r="F1358">
        <v>2021</v>
      </c>
      <c r="G1358">
        <v>14</v>
      </c>
      <c r="H1358">
        <v>3.1</v>
      </c>
      <c r="I1358">
        <v>102</v>
      </c>
      <c r="J1358">
        <f>I1358-I1359</f>
        <v>11</v>
      </c>
      <c r="K1358" t="str">
        <f t="shared" si="131"/>
        <v>W</v>
      </c>
      <c r="L1358" t="str">
        <f t="shared" si="128"/>
        <v>Brian</v>
      </c>
      <c r="M1358" t="str">
        <f>VLOOKUP(L1358,References!$A$2:$B$16,2,FALSE)</f>
        <v>TEXAROK</v>
      </c>
      <c r="N1358" s="19" t="str">
        <f>IF(M1358=M1359,"N","Y")</f>
        <v>N</v>
      </c>
      <c r="O1358">
        <f>SUM(I1358:I1359)</f>
        <v>193</v>
      </c>
      <c r="P1358">
        <f t="shared" si="130"/>
        <v>91</v>
      </c>
    </row>
    <row r="1359" spans="1:16" hidden="1" x14ac:dyDescent="0.3">
      <c r="A1359" t="str">
        <f t="shared" si="129"/>
        <v>2021Brent14</v>
      </c>
      <c r="B1359">
        <f t="shared" si="126"/>
        <v>1336</v>
      </c>
      <c r="C1359">
        <f t="shared" si="127"/>
        <v>992</v>
      </c>
      <c r="D1359" t="s">
        <v>47</v>
      </c>
      <c r="E1359" t="str">
        <f>D1358</f>
        <v>Brian</v>
      </c>
      <c r="F1359">
        <v>2021</v>
      </c>
      <c r="G1359">
        <v>14</v>
      </c>
      <c r="H1359">
        <v>3.2</v>
      </c>
      <c r="I1359">
        <v>91</v>
      </c>
      <c r="J1359">
        <f>I1359-I1358</f>
        <v>-11</v>
      </c>
      <c r="K1359" t="str">
        <f t="shared" si="131"/>
        <v>L</v>
      </c>
      <c r="L1359" t="str">
        <f t="shared" si="128"/>
        <v>Brent</v>
      </c>
      <c r="M1359" t="str">
        <f>VLOOKUP(L1359,References!$A$2:$B$16,2,FALSE)</f>
        <v>TEXAROK</v>
      </c>
      <c r="N1359" s="19" t="str">
        <f>IF(M1359=M1358,"N","Y")</f>
        <v>N</v>
      </c>
      <c r="O1359">
        <f>SUM(I1358:I1359)</f>
        <v>193</v>
      </c>
      <c r="P1359">
        <f t="shared" si="130"/>
        <v>102</v>
      </c>
    </row>
    <row r="1360" spans="1:16" hidden="1" x14ac:dyDescent="0.3">
      <c r="A1360" t="str">
        <f t="shared" si="129"/>
        <v>2021Charles14</v>
      </c>
      <c r="B1360">
        <f t="shared" si="126"/>
        <v>1145</v>
      </c>
      <c r="C1360">
        <f t="shared" si="127"/>
        <v>746</v>
      </c>
      <c r="D1360" t="s">
        <v>48</v>
      </c>
      <c r="E1360" t="str">
        <f>D1361</f>
        <v>Russell</v>
      </c>
      <c r="F1360">
        <v>2021</v>
      </c>
      <c r="G1360">
        <v>14</v>
      </c>
      <c r="H1360">
        <v>4.0999999999999996</v>
      </c>
      <c r="I1360">
        <v>98</v>
      </c>
      <c r="J1360">
        <f>I1360-I1361</f>
        <v>-4</v>
      </c>
      <c r="K1360" t="str">
        <f t="shared" si="131"/>
        <v>L</v>
      </c>
      <c r="L1360" t="str">
        <f t="shared" si="128"/>
        <v>Charles</v>
      </c>
      <c r="M1360" t="str">
        <f>VLOOKUP(L1360,References!$A$2:$B$16,2,FALSE)</f>
        <v>AKCOVA</v>
      </c>
      <c r="N1360" s="19" t="str">
        <f>IF(M1360=M1361,"N","Y")</f>
        <v>Y</v>
      </c>
      <c r="O1360">
        <f>SUM(I1360:I1361)</f>
        <v>200</v>
      </c>
      <c r="P1360">
        <f t="shared" si="130"/>
        <v>102</v>
      </c>
    </row>
    <row r="1361" spans="1:16" hidden="1" x14ac:dyDescent="0.3">
      <c r="A1361" t="str">
        <f t="shared" si="129"/>
        <v>2021Russell14</v>
      </c>
      <c r="B1361">
        <f t="shared" si="126"/>
        <v>917</v>
      </c>
      <c r="C1361">
        <f t="shared" si="127"/>
        <v>631</v>
      </c>
      <c r="D1361" t="s">
        <v>28</v>
      </c>
      <c r="E1361" t="str">
        <f>D1360</f>
        <v>Charles</v>
      </c>
      <c r="F1361">
        <v>2021</v>
      </c>
      <c r="G1361">
        <v>14</v>
      </c>
      <c r="H1361">
        <v>4.2</v>
      </c>
      <c r="I1361">
        <v>102</v>
      </c>
      <c r="J1361">
        <f>I1361-I1360</f>
        <v>4</v>
      </c>
      <c r="K1361" t="str">
        <f t="shared" si="131"/>
        <v>W</v>
      </c>
      <c r="L1361" t="str">
        <f t="shared" si="128"/>
        <v>Russell</v>
      </c>
      <c r="M1361" t="str">
        <f>VLOOKUP(L1361,References!$A$2:$B$16,2,FALSE)</f>
        <v>TEXAROK</v>
      </c>
      <c r="N1361" s="19" t="str">
        <f>IF(M1361=M1360,"N","Y")</f>
        <v>Y</v>
      </c>
      <c r="O1361">
        <f>SUM(I1360:I1361)</f>
        <v>200</v>
      </c>
      <c r="P1361">
        <f t="shared" si="130"/>
        <v>98</v>
      </c>
    </row>
    <row r="1362" spans="1:16" hidden="1" x14ac:dyDescent="0.3">
      <c r="A1362" t="str">
        <f t="shared" si="129"/>
        <v>2021Arnold14</v>
      </c>
      <c r="B1362">
        <f t="shared" si="126"/>
        <v>897</v>
      </c>
      <c r="C1362">
        <f t="shared" si="127"/>
        <v>777</v>
      </c>
      <c r="D1362" t="s">
        <v>227</v>
      </c>
      <c r="E1362" t="str">
        <f>D1363</f>
        <v>Watty</v>
      </c>
      <c r="F1362">
        <v>2021</v>
      </c>
      <c r="G1362">
        <v>14</v>
      </c>
      <c r="H1362">
        <v>5.0999999999999996</v>
      </c>
      <c r="I1362">
        <v>97</v>
      </c>
      <c r="J1362">
        <f>I1362-I1363</f>
        <v>5</v>
      </c>
      <c r="K1362" t="str">
        <f t="shared" si="131"/>
        <v>W</v>
      </c>
      <c r="L1362" t="str">
        <f t="shared" si="128"/>
        <v>Arnold</v>
      </c>
      <c r="M1362" t="str">
        <f>VLOOKUP(L1362,References!$A$2:$B$16,2,FALSE)</f>
        <v>AKCOVA</v>
      </c>
      <c r="N1362" s="19" t="str">
        <f>IF(M1362=M1363,"N","Y")</f>
        <v>N</v>
      </c>
      <c r="O1362">
        <f>SUM(I1362:I1363)</f>
        <v>189</v>
      </c>
      <c r="P1362">
        <f t="shared" si="130"/>
        <v>92</v>
      </c>
    </row>
    <row r="1363" spans="1:16" hidden="1" x14ac:dyDescent="0.3">
      <c r="A1363" t="str">
        <f t="shared" si="129"/>
        <v>2021Watty14</v>
      </c>
      <c r="B1363">
        <f t="shared" si="126"/>
        <v>1177</v>
      </c>
      <c r="C1363">
        <f t="shared" si="127"/>
        <v>958</v>
      </c>
      <c r="D1363" t="s">
        <v>24</v>
      </c>
      <c r="E1363" t="str">
        <f>D1362</f>
        <v>Arnold</v>
      </c>
      <c r="F1363">
        <v>2021</v>
      </c>
      <c r="G1363">
        <v>14</v>
      </c>
      <c r="H1363">
        <v>5.2</v>
      </c>
      <c r="I1363">
        <v>92</v>
      </c>
      <c r="J1363">
        <f>I1363-I1362</f>
        <v>-5</v>
      </c>
      <c r="K1363" t="str">
        <f t="shared" si="131"/>
        <v>L</v>
      </c>
      <c r="L1363" t="str">
        <f t="shared" si="128"/>
        <v>Watty</v>
      </c>
      <c r="M1363" t="str">
        <f>VLOOKUP(L1363,References!$A$2:$B$16,2,FALSE)</f>
        <v>AKCOVA</v>
      </c>
      <c r="N1363" s="19" t="str">
        <f>IF(M1363=M1362,"N","Y")</f>
        <v>N</v>
      </c>
      <c r="O1363">
        <f>SUM(I1362:I1363)</f>
        <v>189</v>
      </c>
      <c r="P1363">
        <f t="shared" si="130"/>
        <v>97</v>
      </c>
    </row>
    <row r="1364" spans="1:16" hidden="1" x14ac:dyDescent="0.3">
      <c r="A1364" t="str">
        <f t="shared" si="129"/>
        <v>2021Mark14</v>
      </c>
      <c r="B1364">
        <f t="shared" si="126"/>
        <v>1312</v>
      </c>
      <c r="C1364">
        <f t="shared" si="127"/>
        <v>1833</v>
      </c>
      <c r="D1364" t="s">
        <v>22</v>
      </c>
      <c r="E1364" t="str">
        <f>D1365</f>
        <v>Emily</v>
      </c>
      <c r="F1364">
        <v>2021</v>
      </c>
      <c r="G1364">
        <v>14</v>
      </c>
      <c r="H1364">
        <v>6.1</v>
      </c>
      <c r="I1364">
        <v>66</v>
      </c>
      <c r="J1364">
        <f>I1364-I1365</f>
        <v>-10</v>
      </c>
      <c r="K1364" t="str">
        <f t="shared" si="131"/>
        <v>L</v>
      </c>
      <c r="L1364" t="str">
        <f t="shared" si="128"/>
        <v>Mark</v>
      </c>
      <c r="M1364" t="str">
        <f>VLOOKUP(L1364,References!$A$2:$B$16,2,FALSE)</f>
        <v>AKCOVA</v>
      </c>
      <c r="N1364" s="19" t="str">
        <f>IF(M1364=M1365,"N","Y")</f>
        <v>Y</v>
      </c>
      <c r="O1364">
        <f>SUM(I1364:I1365)</f>
        <v>142</v>
      </c>
      <c r="P1364">
        <f t="shared" si="130"/>
        <v>76</v>
      </c>
    </row>
    <row r="1365" spans="1:16" hidden="1" x14ac:dyDescent="0.3">
      <c r="A1365" t="str">
        <f t="shared" si="129"/>
        <v>2021Emily14</v>
      </c>
      <c r="B1365">
        <f t="shared" si="126"/>
        <v>758</v>
      </c>
      <c r="C1365">
        <f t="shared" si="127"/>
        <v>1549</v>
      </c>
      <c r="D1365" t="s">
        <v>43</v>
      </c>
      <c r="E1365" t="str">
        <f>D1364</f>
        <v>Mark</v>
      </c>
      <c r="F1365">
        <v>2021</v>
      </c>
      <c r="G1365">
        <v>14</v>
      </c>
      <c r="H1365">
        <v>6.2</v>
      </c>
      <c r="I1365">
        <v>76</v>
      </c>
      <c r="J1365">
        <f>I1365-I1364</f>
        <v>10</v>
      </c>
      <c r="K1365" t="str">
        <f t="shared" si="131"/>
        <v>W</v>
      </c>
      <c r="L1365" t="str">
        <f t="shared" si="128"/>
        <v>Emily</v>
      </c>
      <c r="M1365" t="str">
        <f>VLOOKUP(L1365,References!$A$2:$B$16,2,FALSE)</f>
        <v>TEXAROK</v>
      </c>
      <c r="N1365" s="19" t="str">
        <f>IF(M1365=M1364,"N","Y")</f>
        <v>Y</v>
      </c>
      <c r="O1365">
        <f>SUM(I1364:I1365)</f>
        <v>142</v>
      </c>
      <c r="P1365">
        <f t="shared" si="130"/>
        <v>66</v>
      </c>
    </row>
    <row r="1366" spans="1:16" hidden="1" x14ac:dyDescent="0.3">
      <c r="A1366" t="str">
        <f t="shared" si="129"/>
        <v>2022BR1</v>
      </c>
      <c r="B1366">
        <f t="shared" si="126"/>
        <v>917</v>
      </c>
      <c r="C1366">
        <f t="shared" si="127"/>
        <v>1365</v>
      </c>
      <c r="D1366" t="s">
        <v>25</v>
      </c>
      <c r="E1366" t="str">
        <f>D1367</f>
        <v>Matt</v>
      </c>
      <c r="F1366">
        <v>2022</v>
      </c>
      <c r="G1366">
        <v>1</v>
      </c>
      <c r="H1366">
        <v>1.1000000000000001</v>
      </c>
      <c r="I1366">
        <v>81</v>
      </c>
      <c r="J1366">
        <f>I1366-I1367</f>
        <v>4</v>
      </c>
      <c r="K1366" t="str">
        <f t="shared" si="131"/>
        <v>W</v>
      </c>
      <c r="L1366" t="str">
        <f t="shared" si="128"/>
        <v>BR</v>
      </c>
      <c r="M1366" t="str">
        <f>VLOOKUP(L1366,References!$A$2:$B$16,2,FALSE)</f>
        <v>AKCOVA</v>
      </c>
      <c r="N1366" s="19" t="str">
        <f>IF(M1366=M1367,"N","Y")</f>
        <v>Y</v>
      </c>
      <c r="O1366">
        <f>SUM(I1366:I1367)</f>
        <v>158</v>
      </c>
      <c r="P1366">
        <f t="shared" si="130"/>
        <v>77</v>
      </c>
    </row>
    <row r="1367" spans="1:16" hidden="1" x14ac:dyDescent="0.3">
      <c r="A1367" t="str">
        <f t="shared" si="129"/>
        <v>2022Matt1</v>
      </c>
      <c r="B1367">
        <f t="shared" si="126"/>
        <v>1145</v>
      </c>
      <c r="C1367">
        <f t="shared" si="127"/>
        <v>1512</v>
      </c>
      <c r="D1367" t="s">
        <v>30</v>
      </c>
      <c r="E1367" t="str">
        <f>D1366</f>
        <v>BR</v>
      </c>
      <c r="F1367">
        <v>2022</v>
      </c>
      <c r="G1367">
        <v>1</v>
      </c>
      <c r="H1367">
        <v>1.2</v>
      </c>
      <c r="I1367">
        <v>77</v>
      </c>
      <c r="J1367">
        <f>I1367-I1366</f>
        <v>-4</v>
      </c>
      <c r="K1367" t="str">
        <f t="shared" si="131"/>
        <v>L</v>
      </c>
      <c r="L1367" t="str">
        <f t="shared" si="128"/>
        <v>Matt</v>
      </c>
      <c r="M1367" t="str">
        <f>VLOOKUP(L1367,References!$A$2:$B$16,2,FALSE)</f>
        <v>TEXAROK</v>
      </c>
      <c r="N1367" s="19" t="str">
        <f>IF(M1367=M1366,"N","Y")</f>
        <v>Y</v>
      </c>
      <c r="O1367">
        <f>SUM(I1366:I1367)</f>
        <v>158</v>
      </c>
      <c r="P1367">
        <f t="shared" si="130"/>
        <v>81</v>
      </c>
    </row>
    <row r="1368" spans="1:16" hidden="1" x14ac:dyDescent="0.3">
      <c r="A1368" t="str">
        <f t="shared" si="129"/>
        <v>2022Watty1</v>
      </c>
      <c r="B1368">
        <f t="shared" si="126"/>
        <v>1577</v>
      </c>
      <c r="C1368">
        <f t="shared" si="127"/>
        <v>1815</v>
      </c>
      <c r="D1368" t="s">
        <v>24</v>
      </c>
      <c r="E1368" t="str">
        <f>D1369</f>
        <v>Russell</v>
      </c>
      <c r="F1368">
        <v>2022</v>
      </c>
      <c r="G1368">
        <v>1</v>
      </c>
      <c r="H1368">
        <v>2.1</v>
      </c>
      <c r="I1368">
        <v>67</v>
      </c>
      <c r="J1368">
        <f>I1368-I1369</f>
        <v>-21</v>
      </c>
      <c r="K1368" t="str">
        <f t="shared" si="131"/>
        <v>L</v>
      </c>
      <c r="L1368" t="str">
        <f t="shared" si="128"/>
        <v>Watty</v>
      </c>
      <c r="M1368" t="str">
        <f>VLOOKUP(L1368,References!$A$2:$B$16,2,FALSE)</f>
        <v>AKCOVA</v>
      </c>
      <c r="N1368" s="19" t="str">
        <f>IF(M1368=M1369,"N","Y")</f>
        <v>Y</v>
      </c>
      <c r="O1368">
        <f>SUM(I1368:I1369)</f>
        <v>155</v>
      </c>
      <c r="P1368">
        <f t="shared" si="130"/>
        <v>88</v>
      </c>
    </row>
    <row r="1369" spans="1:16" hidden="1" x14ac:dyDescent="0.3">
      <c r="A1369" t="str">
        <f t="shared" si="129"/>
        <v>2022Russell1</v>
      </c>
      <c r="B1369">
        <f t="shared" si="126"/>
        <v>489</v>
      </c>
      <c r="C1369">
        <f t="shared" si="127"/>
        <v>1100</v>
      </c>
      <c r="D1369" t="s">
        <v>28</v>
      </c>
      <c r="E1369" t="str">
        <f>D1368</f>
        <v>Watty</v>
      </c>
      <c r="F1369">
        <v>2022</v>
      </c>
      <c r="G1369">
        <v>1</v>
      </c>
      <c r="H1369">
        <v>2.2000000000000002</v>
      </c>
      <c r="I1369">
        <v>88</v>
      </c>
      <c r="J1369">
        <f>I1369-I1368</f>
        <v>21</v>
      </c>
      <c r="K1369" t="str">
        <f t="shared" si="131"/>
        <v>W</v>
      </c>
      <c r="L1369" t="str">
        <f t="shared" si="128"/>
        <v>Russell</v>
      </c>
      <c r="M1369" t="str">
        <f>VLOOKUP(L1369,References!$A$2:$B$16,2,FALSE)</f>
        <v>TEXAROK</v>
      </c>
      <c r="N1369" s="19" t="str">
        <f>IF(M1369=M1368,"N","Y")</f>
        <v>Y</v>
      </c>
      <c r="O1369">
        <f>SUM(I1368:I1369)</f>
        <v>155</v>
      </c>
      <c r="P1369">
        <f t="shared" si="130"/>
        <v>67</v>
      </c>
    </row>
    <row r="1370" spans="1:16" hidden="1" x14ac:dyDescent="0.3">
      <c r="A1370" t="str">
        <f t="shared" si="129"/>
        <v>2022Mark1</v>
      </c>
      <c r="B1370">
        <f t="shared" si="126"/>
        <v>107</v>
      </c>
      <c r="C1370">
        <f t="shared" si="127"/>
        <v>435</v>
      </c>
      <c r="D1370" t="s">
        <v>22</v>
      </c>
      <c r="E1370" t="str">
        <f>D1371</f>
        <v>Emily</v>
      </c>
      <c r="F1370">
        <v>2022</v>
      </c>
      <c r="G1370">
        <v>1</v>
      </c>
      <c r="H1370">
        <v>3.1</v>
      </c>
      <c r="I1370">
        <v>109</v>
      </c>
      <c r="J1370">
        <f>I1370-I1371</f>
        <v>50</v>
      </c>
      <c r="K1370" t="str">
        <f t="shared" si="131"/>
        <v>W</v>
      </c>
      <c r="L1370" t="str">
        <f t="shared" si="128"/>
        <v>Mark</v>
      </c>
      <c r="M1370" t="str">
        <f>VLOOKUP(L1370,References!$A$2:$B$16,2,FALSE)</f>
        <v>AKCOVA</v>
      </c>
      <c r="N1370" s="19" t="str">
        <f>IF(M1370=M1371,"N","Y")</f>
        <v>Y</v>
      </c>
      <c r="O1370">
        <f>SUM(I1370:I1371)</f>
        <v>168</v>
      </c>
      <c r="P1370">
        <f t="shared" si="130"/>
        <v>59</v>
      </c>
    </row>
    <row r="1371" spans="1:16" hidden="1" x14ac:dyDescent="0.3">
      <c r="A1371" t="str">
        <f t="shared" si="129"/>
        <v>2022Emily1</v>
      </c>
      <c r="B1371">
        <f t="shared" si="126"/>
        <v>1978</v>
      </c>
      <c r="C1371">
        <f t="shared" si="127"/>
        <v>1951</v>
      </c>
      <c r="D1371" t="s">
        <v>43</v>
      </c>
      <c r="E1371" t="str">
        <f>D1370</f>
        <v>Mark</v>
      </c>
      <c r="F1371">
        <v>2022</v>
      </c>
      <c r="G1371">
        <v>1</v>
      </c>
      <c r="H1371">
        <v>3.2</v>
      </c>
      <c r="I1371">
        <v>59</v>
      </c>
      <c r="J1371">
        <f>I1371-I1370</f>
        <v>-50</v>
      </c>
      <c r="K1371" t="str">
        <f t="shared" si="131"/>
        <v>L</v>
      </c>
      <c r="L1371" t="str">
        <f t="shared" si="128"/>
        <v>Emily</v>
      </c>
      <c r="M1371" t="str">
        <f>VLOOKUP(L1371,References!$A$2:$B$16,2,FALSE)</f>
        <v>TEXAROK</v>
      </c>
      <c r="N1371" s="19" t="str">
        <f>IF(M1371=M1370,"N","Y")</f>
        <v>Y</v>
      </c>
      <c r="O1371">
        <f>SUM(I1370:I1371)</f>
        <v>168</v>
      </c>
      <c r="P1371">
        <f t="shared" si="130"/>
        <v>109</v>
      </c>
    </row>
    <row r="1372" spans="1:16" hidden="1" x14ac:dyDescent="0.3">
      <c r="A1372" t="str">
        <f t="shared" si="129"/>
        <v>2022Brent1</v>
      </c>
      <c r="B1372">
        <f t="shared" si="126"/>
        <v>319</v>
      </c>
      <c r="C1372">
        <f t="shared" si="127"/>
        <v>822</v>
      </c>
      <c r="D1372" t="s">
        <v>47</v>
      </c>
      <c r="E1372" t="str">
        <f>D1373</f>
        <v>Arnold</v>
      </c>
      <c r="F1372">
        <v>2022</v>
      </c>
      <c r="G1372">
        <v>1</v>
      </c>
      <c r="H1372">
        <v>4.0999999999999996</v>
      </c>
      <c r="I1372">
        <v>96</v>
      </c>
      <c r="J1372">
        <f>I1372-I1373</f>
        <v>30</v>
      </c>
      <c r="K1372" t="str">
        <f t="shared" si="131"/>
        <v>W</v>
      </c>
      <c r="L1372" t="str">
        <f t="shared" si="128"/>
        <v>Brent</v>
      </c>
      <c r="M1372" t="str">
        <f>VLOOKUP(L1372,References!$A$2:$B$16,2,FALSE)</f>
        <v>TEXAROK</v>
      </c>
      <c r="N1372" s="19" t="str">
        <f>IF(M1372=M1373,"N","Y")</f>
        <v>Y</v>
      </c>
      <c r="O1372">
        <f>SUM(I1372:I1373)</f>
        <v>162</v>
      </c>
      <c r="P1372">
        <f t="shared" si="130"/>
        <v>66</v>
      </c>
    </row>
    <row r="1373" spans="1:16" hidden="1" x14ac:dyDescent="0.3">
      <c r="A1373" t="str">
        <f t="shared" si="129"/>
        <v>2022Arnold1</v>
      </c>
      <c r="B1373">
        <f t="shared" si="126"/>
        <v>1753</v>
      </c>
      <c r="C1373">
        <f t="shared" si="127"/>
        <v>1833</v>
      </c>
      <c r="D1373" t="s">
        <v>227</v>
      </c>
      <c r="E1373" t="str">
        <f>D1372</f>
        <v>Brent</v>
      </c>
      <c r="F1373">
        <v>2022</v>
      </c>
      <c r="G1373">
        <v>1</v>
      </c>
      <c r="H1373">
        <v>4.2</v>
      </c>
      <c r="I1373">
        <v>66</v>
      </c>
      <c r="J1373">
        <f>I1373-I1372</f>
        <v>-30</v>
      </c>
      <c r="K1373" t="str">
        <f t="shared" si="131"/>
        <v>L</v>
      </c>
      <c r="L1373" t="str">
        <f t="shared" si="128"/>
        <v>Arnold</v>
      </c>
      <c r="M1373" t="str">
        <f>VLOOKUP(L1373,References!$A$2:$B$16,2,FALSE)</f>
        <v>AKCOVA</v>
      </c>
      <c r="N1373" s="19" t="str">
        <f>IF(M1373=M1372,"N","Y")</f>
        <v>Y</v>
      </c>
      <c r="O1373">
        <f>SUM(I1372:I1373)</f>
        <v>162</v>
      </c>
      <c r="P1373">
        <f t="shared" si="130"/>
        <v>96</v>
      </c>
    </row>
    <row r="1374" spans="1:16" hidden="1" x14ac:dyDescent="0.3">
      <c r="A1374" t="str">
        <f t="shared" si="129"/>
        <v>2022Michael1</v>
      </c>
      <c r="B1374">
        <f t="shared" si="126"/>
        <v>341</v>
      </c>
      <c r="C1374">
        <f t="shared" si="127"/>
        <v>540</v>
      </c>
      <c r="D1374" t="s">
        <v>23</v>
      </c>
      <c r="E1374" t="str">
        <f>D1375</f>
        <v>Brian</v>
      </c>
      <c r="F1374">
        <v>2022</v>
      </c>
      <c r="G1374">
        <v>1</v>
      </c>
      <c r="H1374">
        <v>5.0999999999999996</v>
      </c>
      <c r="I1374">
        <v>105</v>
      </c>
      <c r="J1374">
        <f>I1374-I1375</f>
        <v>29</v>
      </c>
      <c r="K1374" t="str">
        <f t="shared" si="131"/>
        <v>W</v>
      </c>
      <c r="L1374" t="str">
        <f t="shared" si="128"/>
        <v>Michael</v>
      </c>
      <c r="M1374" t="str">
        <f>VLOOKUP(L1374,References!$A$2:$B$16,2,FALSE)</f>
        <v>AKCOVA</v>
      </c>
      <c r="N1374" s="19" t="str">
        <f>IF(M1374=M1375,"N","Y")</f>
        <v>Y</v>
      </c>
      <c r="O1374">
        <f>SUM(I1374:I1375)</f>
        <v>181</v>
      </c>
      <c r="P1374">
        <f t="shared" si="130"/>
        <v>76</v>
      </c>
    </row>
    <row r="1375" spans="1:16" hidden="1" x14ac:dyDescent="0.3">
      <c r="A1375" t="str">
        <f t="shared" si="129"/>
        <v>2022Brian1</v>
      </c>
      <c r="B1375">
        <f t="shared" si="126"/>
        <v>1738</v>
      </c>
      <c r="C1375">
        <f t="shared" si="127"/>
        <v>1549</v>
      </c>
      <c r="D1375" t="s">
        <v>26</v>
      </c>
      <c r="E1375" t="str">
        <f>D1374</f>
        <v>Michael</v>
      </c>
      <c r="F1375">
        <v>2022</v>
      </c>
      <c r="G1375">
        <v>1</v>
      </c>
      <c r="H1375">
        <v>5.2</v>
      </c>
      <c r="I1375">
        <v>76</v>
      </c>
      <c r="J1375">
        <f>I1375-I1374</f>
        <v>-29</v>
      </c>
      <c r="K1375" t="str">
        <f t="shared" si="131"/>
        <v>L</v>
      </c>
      <c r="L1375" t="str">
        <f t="shared" si="128"/>
        <v>Brian</v>
      </c>
      <c r="M1375" t="str">
        <f>VLOOKUP(L1375,References!$A$2:$B$16,2,FALSE)</f>
        <v>TEXAROK</v>
      </c>
      <c r="N1375" s="19" t="str">
        <f>IF(M1375=M1374,"N","Y")</f>
        <v>Y</v>
      </c>
      <c r="O1375">
        <f>SUM(I1374:I1375)</f>
        <v>181</v>
      </c>
      <c r="P1375">
        <f t="shared" si="130"/>
        <v>105</v>
      </c>
    </row>
    <row r="1376" spans="1:16" hidden="1" x14ac:dyDescent="0.3">
      <c r="A1376" t="str">
        <f t="shared" si="129"/>
        <v>2022David1</v>
      </c>
      <c r="B1376">
        <f t="shared" si="126"/>
        <v>410</v>
      </c>
      <c r="C1376">
        <f t="shared" si="127"/>
        <v>364</v>
      </c>
      <c r="D1376" t="s">
        <v>29</v>
      </c>
      <c r="E1376" t="str">
        <f>D1377</f>
        <v>Charles</v>
      </c>
      <c r="F1376">
        <v>2022</v>
      </c>
      <c r="G1376">
        <v>1</v>
      </c>
      <c r="H1376">
        <v>6.1</v>
      </c>
      <c r="I1376">
        <v>112</v>
      </c>
      <c r="J1376">
        <f>I1376-I1377</f>
        <v>25</v>
      </c>
      <c r="K1376" t="str">
        <f t="shared" si="131"/>
        <v>W</v>
      </c>
      <c r="L1376" t="str">
        <f t="shared" si="128"/>
        <v>David</v>
      </c>
      <c r="M1376" t="str">
        <f>VLOOKUP(L1376,References!$A$2:$B$16,2,FALSE)</f>
        <v>TEXAROK</v>
      </c>
      <c r="N1376" s="19" t="str">
        <f>IF(M1376=M1377,"N","Y")</f>
        <v>Y</v>
      </c>
      <c r="O1376">
        <f>SUM(I1376:I1377)</f>
        <v>199</v>
      </c>
      <c r="P1376">
        <f t="shared" si="130"/>
        <v>87</v>
      </c>
    </row>
    <row r="1377" spans="1:16" hidden="1" x14ac:dyDescent="0.3">
      <c r="A1377" t="str">
        <f t="shared" si="129"/>
        <v>2022Charles1</v>
      </c>
      <c r="B1377">
        <f t="shared" si="126"/>
        <v>1661</v>
      </c>
      <c r="C1377">
        <f t="shared" si="127"/>
        <v>1143</v>
      </c>
      <c r="D1377" t="s">
        <v>48</v>
      </c>
      <c r="E1377" t="str">
        <f>D1376</f>
        <v>David</v>
      </c>
      <c r="F1377">
        <v>2022</v>
      </c>
      <c r="G1377">
        <v>1</v>
      </c>
      <c r="H1377">
        <v>6.2</v>
      </c>
      <c r="I1377">
        <v>87</v>
      </c>
      <c r="J1377">
        <f>I1377-I1376</f>
        <v>-25</v>
      </c>
      <c r="K1377" t="str">
        <f t="shared" si="131"/>
        <v>L</v>
      </c>
      <c r="L1377" t="str">
        <f t="shared" si="128"/>
        <v>Charles</v>
      </c>
      <c r="M1377" t="str">
        <f>VLOOKUP(L1377,References!$A$2:$B$16,2,FALSE)</f>
        <v>AKCOVA</v>
      </c>
      <c r="N1377" s="19" t="str">
        <f>IF(M1377=M1376,"N","Y")</f>
        <v>Y</v>
      </c>
      <c r="O1377">
        <f>SUM(I1376:I1377)</f>
        <v>199</v>
      </c>
      <c r="P1377">
        <f t="shared" si="130"/>
        <v>112</v>
      </c>
    </row>
    <row r="1378" spans="1:16" hidden="1" x14ac:dyDescent="0.3">
      <c r="A1378" t="str">
        <f t="shared" si="129"/>
        <v>2022David2</v>
      </c>
      <c r="B1378">
        <f t="shared" si="126"/>
        <v>917</v>
      </c>
      <c r="C1378">
        <f t="shared" si="127"/>
        <v>926</v>
      </c>
      <c r="D1378" t="s">
        <v>29</v>
      </c>
      <c r="E1378" t="str">
        <f>D1379</f>
        <v>Russell</v>
      </c>
      <c r="F1378">
        <v>2022</v>
      </c>
      <c r="G1378">
        <v>2</v>
      </c>
      <c r="H1378">
        <v>1.1000000000000001</v>
      </c>
      <c r="I1378">
        <v>93</v>
      </c>
      <c r="J1378">
        <f>I1378-I1379</f>
        <v>4</v>
      </c>
      <c r="K1378" t="str">
        <f t="shared" si="131"/>
        <v>W</v>
      </c>
      <c r="L1378" t="str">
        <f t="shared" si="128"/>
        <v>David</v>
      </c>
      <c r="M1378" t="str">
        <f>VLOOKUP(L1378,References!$A$2:$B$16,2,FALSE)</f>
        <v>TEXAROK</v>
      </c>
      <c r="N1378" s="19" t="str">
        <f>IF(M1378=M1379,"N","Y")</f>
        <v>N</v>
      </c>
      <c r="O1378">
        <f>SUM(I1378:I1379)</f>
        <v>182</v>
      </c>
      <c r="P1378">
        <f t="shared" si="130"/>
        <v>89</v>
      </c>
    </row>
    <row r="1379" spans="1:16" hidden="1" x14ac:dyDescent="0.3">
      <c r="A1379" t="str">
        <f t="shared" si="129"/>
        <v>2022Russell2</v>
      </c>
      <c r="B1379">
        <f t="shared" si="126"/>
        <v>1145</v>
      </c>
      <c r="C1379">
        <f t="shared" si="127"/>
        <v>1055</v>
      </c>
      <c r="D1379" t="s">
        <v>28</v>
      </c>
      <c r="E1379" t="str">
        <f>D1378</f>
        <v>David</v>
      </c>
      <c r="F1379">
        <v>2022</v>
      </c>
      <c r="G1379">
        <v>2</v>
      </c>
      <c r="H1379">
        <v>1.2</v>
      </c>
      <c r="I1379">
        <v>89</v>
      </c>
      <c r="J1379">
        <f>I1379-I1378</f>
        <v>-4</v>
      </c>
      <c r="K1379" t="str">
        <f t="shared" si="131"/>
        <v>L</v>
      </c>
      <c r="L1379" t="str">
        <f t="shared" si="128"/>
        <v>Russell</v>
      </c>
      <c r="M1379" t="str">
        <f>VLOOKUP(L1379,References!$A$2:$B$16,2,FALSE)</f>
        <v>TEXAROK</v>
      </c>
      <c r="N1379" s="19" t="str">
        <f>IF(M1379=M1378,"N","Y")</f>
        <v>N</v>
      </c>
      <c r="O1379">
        <f>SUM(I1378:I1379)</f>
        <v>182</v>
      </c>
      <c r="P1379">
        <f t="shared" si="130"/>
        <v>93</v>
      </c>
    </row>
    <row r="1380" spans="1:16" hidden="1" x14ac:dyDescent="0.3">
      <c r="A1380" t="str">
        <f t="shared" si="129"/>
        <v>2022Brian2</v>
      </c>
      <c r="B1380">
        <f t="shared" si="126"/>
        <v>1434</v>
      </c>
      <c r="C1380">
        <f t="shared" si="127"/>
        <v>1439</v>
      </c>
      <c r="D1380" t="s">
        <v>26</v>
      </c>
      <c r="E1380" t="str">
        <f>D1381</f>
        <v>Emily</v>
      </c>
      <c r="F1380">
        <v>2022</v>
      </c>
      <c r="G1380">
        <v>2</v>
      </c>
      <c r="H1380">
        <v>2.1</v>
      </c>
      <c r="I1380">
        <v>79</v>
      </c>
      <c r="J1380">
        <f>I1380-I1381</f>
        <v>-15</v>
      </c>
      <c r="K1380" t="str">
        <f t="shared" si="131"/>
        <v>L</v>
      </c>
      <c r="L1380" t="str">
        <f t="shared" si="128"/>
        <v>Brian</v>
      </c>
      <c r="M1380" t="str">
        <f>VLOOKUP(L1380,References!$A$2:$B$16,2,FALSE)</f>
        <v>TEXAROK</v>
      </c>
      <c r="N1380" s="19" t="str">
        <f>IF(M1380=M1381,"N","Y")</f>
        <v>N</v>
      </c>
      <c r="O1380">
        <f>SUM(I1380:I1381)</f>
        <v>173</v>
      </c>
      <c r="P1380">
        <f t="shared" si="130"/>
        <v>94</v>
      </c>
    </row>
    <row r="1381" spans="1:16" hidden="1" x14ac:dyDescent="0.3">
      <c r="A1381" t="str">
        <f t="shared" si="129"/>
        <v>2022Emily2</v>
      </c>
      <c r="B1381">
        <f t="shared" si="126"/>
        <v>639</v>
      </c>
      <c r="C1381">
        <f t="shared" si="127"/>
        <v>893</v>
      </c>
      <c r="D1381" t="s">
        <v>43</v>
      </c>
      <c r="E1381" t="str">
        <f>D1380</f>
        <v>Brian</v>
      </c>
      <c r="F1381">
        <v>2022</v>
      </c>
      <c r="G1381">
        <v>2</v>
      </c>
      <c r="H1381">
        <v>2.2000000000000002</v>
      </c>
      <c r="I1381">
        <v>94</v>
      </c>
      <c r="J1381">
        <f>I1381-I1380</f>
        <v>15</v>
      </c>
      <c r="K1381" t="str">
        <f t="shared" si="131"/>
        <v>W</v>
      </c>
      <c r="L1381" t="str">
        <f t="shared" si="128"/>
        <v>Emily</v>
      </c>
      <c r="M1381" t="str">
        <f>VLOOKUP(L1381,References!$A$2:$B$16,2,FALSE)</f>
        <v>TEXAROK</v>
      </c>
      <c r="N1381" s="19" t="str">
        <f>IF(M1381=M1380,"N","Y")</f>
        <v>N</v>
      </c>
      <c r="O1381">
        <f>SUM(I1380:I1381)</f>
        <v>173</v>
      </c>
      <c r="P1381">
        <f t="shared" si="130"/>
        <v>79</v>
      </c>
    </row>
    <row r="1382" spans="1:16" hidden="1" x14ac:dyDescent="0.3">
      <c r="A1382" t="str">
        <f t="shared" si="129"/>
        <v>2022Brent2</v>
      </c>
      <c r="B1382">
        <f t="shared" si="126"/>
        <v>42</v>
      </c>
      <c r="C1382">
        <f t="shared" si="127"/>
        <v>462</v>
      </c>
      <c r="D1382" t="s">
        <v>47</v>
      </c>
      <c r="E1382" t="str">
        <f>D1383</f>
        <v>Matt</v>
      </c>
      <c r="F1382">
        <v>2022</v>
      </c>
      <c r="G1382">
        <v>2</v>
      </c>
      <c r="H1382">
        <v>3.1</v>
      </c>
      <c r="I1382">
        <v>108</v>
      </c>
      <c r="J1382">
        <f>I1382-I1383</f>
        <v>63</v>
      </c>
      <c r="K1382" t="str">
        <f t="shared" si="131"/>
        <v>W</v>
      </c>
      <c r="L1382" t="str">
        <f t="shared" si="128"/>
        <v>Brent</v>
      </c>
      <c r="M1382" t="str">
        <f>VLOOKUP(L1382,References!$A$2:$B$16,2,FALSE)</f>
        <v>TEXAROK</v>
      </c>
      <c r="N1382" s="19" t="str">
        <f>IF(M1382=M1383,"N","Y")</f>
        <v>N</v>
      </c>
      <c r="O1382">
        <f>SUM(I1382:I1383)</f>
        <v>153</v>
      </c>
      <c r="P1382">
        <f t="shared" si="130"/>
        <v>45</v>
      </c>
    </row>
    <row r="1383" spans="1:16" hidden="1" x14ac:dyDescent="0.3">
      <c r="A1383" t="str">
        <f t="shared" si="129"/>
        <v>2022Matt2</v>
      </c>
      <c r="B1383">
        <f t="shared" si="126"/>
        <v>2049</v>
      </c>
      <c r="C1383">
        <f t="shared" si="127"/>
        <v>2074</v>
      </c>
      <c r="D1383" t="s">
        <v>30</v>
      </c>
      <c r="E1383" t="str">
        <f>D1382</f>
        <v>Brent</v>
      </c>
      <c r="F1383">
        <v>2022</v>
      </c>
      <c r="G1383">
        <v>2</v>
      </c>
      <c r="H1383">
        <v>3.2</v>
      </c>
      <c r="I1383">
        <v>45</v>
      </c>
      <c r="J1383">
        <f>I1383-I1382</f>
        <v>-63</v>
      </c>
      <c r="K1383" t="str">
        <f t="shared" si="131"/>
        <v>L</v>
      </c>
      <c r="L1383" t="str">
        <f t="shared" si="128"/>
        <v>Matt</v>
      </c>
      <c r="M1383" t="str">
        <f>VLOOKUP(L1383,References!$A$2:$B$16,2,FALSE)</f>
        <v>TEXAROK</v>
      </c>
      <c r="N1383" s="19" t="str">
        <f>IF(M1383=M1382,"N","Y")</f>
        <v>N</v>
      </c>
      <c r="O1383">
        <f>SUM(I1382:I1383)</f>
        <v>153</v>
      </c>
      <c r="P1383">
        <f t="shared" si="130"/>
        <v>108</v>
      </c>
    </row>
    <row r="1384" spans="1:16" hidden="1" x14ac:dyDescent="0.3">
      <c r="A1384" t="str">
        <f t="shared" si="129"/>
        <v>2022Mark2</v>
      </c>
      <c r="B1384">
        <f t="shared" si="126"/>
        <v>548</v>
      </c>
      <c r="C1384">
        <f t="shared" si="127"/>
        <v>777</v>
      </c>
      <c r="D1384" t="s">
        <v>22</v>
      </c>
      <c r="E1384" t="str">
        <f>D1385</f>
        <v>Watty</v>
      </c>
      <c r="F1384">
        <v>2022</v>
      </c>
      <c r="G1384">
        <v>2</v>
      </c>
      <c r="H1384">
        <v>4.0999999999999996</v>
      </c>
      <c r="I1384">
        <v>97</v>
      </c>
      <c r="J1384">
        <f>I1384-I1385</f>
        <v>19</v>
      </c>
      <c r="K1384" t="str">
        <f t="shared" si="131"/>
        <v>W</v>
      </c>
      <c r="L1384" t="str">
        <f t="shared" si="128"/>
        <v>Mark</v>
      </c>
      <c r="M1384" t="str">
        <f>VLOOKUP(L1384,References!$A$2:$B$16,2,FALSE)</f>
        <v>AKCOVA</v>
      </c>
      <c r="N1384" s="19" t="str">
        <f>IF(M1384=M1385,"N","Y")</f>
        <v>N</v>
      </c>
      <c r="O1384">
        <f>SUM(I1384:I1385)</f>
        <v>175</v>
      </c>
      <c r="P1384">
        <f t="shared" si="130"/>
        <v>78</v>
      </c>
    </row>
    <row r="1385" spans="1:16" hidden="1" x14ac:dyDescent="0.3">
      <c r="A1385" t="str">
        <f t="shared" si="129"/>
        <v>2022Watty2</v>
      </c>
      <c r="B1385">
        <f t="shared" si="126"/>
        <v>1523</v>
      </c>
      <c r="C1385">
        <f t="shared" si="127"/>
        <v>1468</v>
      </c>
      <c r="D1385" t="s">
        <v>24</v>
      </c>
      <c r="E1385" t="str">
        <f>D1384</f>
        <v>Mark</v>
      </c>
      <c r="F1385">
        <v>2022</v>
      </c>
      <c r="G1385">
        <v>2</v>
      </c>
      <c r="H1385">
        <v>4.2</v>
      </c>
      <c r="I1385">
        <v>78</v>
      </c>
      <c r="J1385">
        <f>I1385-I1384</f>
        <v>-19</v>
      </c>
      <c r="K1385" t="str">
        <f t="shared" si="131"/>
        <v>L</v>
      </c>
      <c r="L1385" t="str">
        <f t="shared" si="128"/>
        <v>Watty</v>
      </c>
      <c r="M1385" t="str">
        <f>VLOOKUP(L1385,References!$A$2:$B$16,2,FALSE)</f>
        <v>AKCOVA</v>
      </c>
      <c r="N1385" s="19" t="str">
        <f>IF(M1385=M1384,"N","Y")</f>
        <v>N</v>
      </c>
      <c r="O1385">
        <f>SUM(I1384:I1385)</f>
        <v>175</v>
      </c>
      <c r="P1385">
        <f t="shared" si="130"/>
        <v>97</v>
      </c>
    </row>
    <row r="1386" spans="1:16" hidden="1" x14ac:dyDescent="0.3">
      <c r="A1386" t="str">
        <f t="shared" si="129"/>
        <v>2022BR2</v>
      </c>
      <c r="B1386">
        <f t="shared" si="126"/>
        <v>270</v>
      </c>
      <c r="C1386">
        <f t="shared" si="127"/>
        <v>926</v>
      </c>
      <c r="D1386" t="s">
        <v>25</v>
      </c>
      <c r="E1386" t="str">
        <f>D1387</f>
        <v>Michael</v>
      </c>
      <c r="F1386">
        <v>2022</v>
      </c>
      <c r="G1386">
        <v>2</v>
      </c>
      <c r="H1386">
        <v>5.0999999999999996</v>
      </c>
      <c r="I1386">
        <v>93</v>
      </c>
      <c r="J1386">
        <f>I1386-I1387</f>
        <v>33</v>
      </c>
      <c r="K1386" t="str">
        <f t="shared" si="131"/>
        <v>W</v>
      </c>
      <c r="L1386" t="str">
        <f t="shared" si="128"/>
        <v>BR</v>
      </c>
      <c r="M1386" t="str">
        <f>VLOOKUP(L1386,References!$A$2:$B$16,2,FALSE)</f>
        <v>AKCOVA</v>
      </c>
      <c r="N1386" s="19" t="str">
        <f>IF(M1386=M1387,"N","Y")</f>
        <v>N</v>
      </c>
      <c r="O1386">
        <f>SUM(I1386:I1387)</f>
        <v>153</v>
      </c>
      <c r="P1386">
        <f t="shared" si="130"/>
        <v>60</v>
      </c>
    </row>
    <row r="1387" spans="1:16" hidden="1" x14ac:dyDescent="0.3">
      <c r="A1387" t="str">
        <f t="shared" si="129"/>
        <v>2022Michael2</v>
      </c>
      <c r="B1387">
        <f t="shared" si="126"/>
        <v>1810</v>
      </c>
      <c r="C1387">
        <f t="shared" si="127"/>
        <v>1936</v>
      </c>
      <c r="D1387" t="s">
        <v>23</v>
      </c>
      <c r="E1387" t="str">
        <f>D1386</f>
        <v>BR</v>
      </c>
      <c r="F1387">
        <v>2022</v>
      </c>
      <c r="G1387">
        <v>2</v>
      </c>
      <c r="H1387">
        <v>5.2</v>
      </c>
      <c r="I1387">
        <v>60</v>
      </c>
      <c r="J1387">
        <f>I1387-I1386</f>
        <v>-33</v>
      </c>
      <c r="K1387" t="str">
        <f t="shared" si="131"/>
        <v>L</v>
      </c>
      <c r="L1387" t="str">
        <f t="shared" si="128"/>
        <v>Michael</v>
      </c>
      <c r="M1387" t="str">
        <f>VLOOKUP(L1387,References!$A$2:$B$16,2,FALSE)</f>
        <v>AKCOVA</v>
      </c>
      <c r="N1387" s="19" t="str">
        <f>IF(M1387=M1386,"N","Y")</f>
        <v>N</v>
      </c>
      <c r="O1387">
        <f>SUM(I1386:I1387)</f>
        <v>153</v>
      </c>
      <c r="P1387">
        <f t="shared" si="130"/>
        <v>93</v>
      </c>
    </row>
    <row r="1388" spans="1:16" hidden="1" x14ac:dyDescent="0.3">
      <c r="A1388" t="str">
        <f t="shared" si="129"/>
        <v>2022Arnold2</v>
      </c>
      <c r="B1388">
        <f t="shared" si="126"/>
        <v>161</v>
      </c>
      <c r="C1388">
        <f t="shared" si="127"/>
        <v>227</v>
      </c>
      <c r="D1388" t="s">
        <v>227</v>
      </c>
      <c r="E1388" t="str">
        <f>D1389</f>
        <v>Charles</v>
      </c>
      <c r="F1388">
        <v>2022</v>
      </c>
      <c r="G1388">
        <v>2</v>
      </c>
      <c r="H1388">
        <v>6.1</v>
      </c>
      <c r="I1388">
        <v>120</v>
      </c>
      <c r="J1388">
        <f>I1388-I1389</f>
        <v>43</v>
      </c>
      <c r="K1388" t="str">
        <f t="shared" si="131"/>
        <v>W</v>
      </c>
      <c r="L1388" t="str">
        <f t="shared" si="128"/>
        <v>Arnold</v>
      </c>
      <c r="M1388" t="str">
        <f>VLOOKUP(L1388,References!$A$2:$B$16,2,FALSE)</f>
        <v>AKCOVA</v>
      </c>
      <c r="N1388" s="19" t="str">
        <f>IF(M1388=M1389,"N","Y")</f>
        <v>N</v>
      </c>
      <c r="O1388">
        <f>SUM(I1388:I1389)</f>
        <v>197</v>
      </c>
      <c r="P1388">
        <f t="shared" si="130"/>
        <v>77</v>
      </c>
    </row>
    <row r="1389" spans="1:16" hidden="1" x14ac:dyDescent="0.3">
      <c r="A1389" t="str">
        <f t="shared" si="129"/>
        <v>2022Charles2</v>
      </c>
      <c r="B1389">
        <f t="shared" si="126"/>
        <v>1921</v>
      </c>
      <c r="C1389">
        <f t="shared" si="127"/>
        <v>1512</v>
      </c>
      <c r="D1389" t="s">
        <v>48</v>
      </c>
      <c r="E1389" t="str">
        <f>D1388</f>
        <v>Arnold</v>
      </c>
      <c r="F1389">
        <v>2022</v>
      </c>
      <c r="G1389">
        <v>2</v>
      </c>
      <c r="H1389">
        <v>6.2</v>
      </c>
      <c r="I1389">
        <v>77</v>
      </c>
      <c r="J1389">
        <f>I1389-I1388</f>
        <v>-43</v>
      </c>
      <c r="K1389" t="str">
        <f t="shared" si="131"/>
        <v>L</v>
      </c>
      <c r="L1389" t="str">
        <f t="shared" si="128"/>
        <v>Charles</v>
      </c>
      <c r="M1389" t="str">
        <f>VLOOKUP(L1389,References!$A$2:$B$16,2,FALSE)</f>
        <v>AKCOVA</v>
      </c>
      <c r="N1389" s="19" t="str">
        <f>IF(M1389=M1388,"N","Y")</f>
        <v>N</v>
      </c>
      <c r="O1389">
        <f>SUM(I1388:I1389)</f>
        <v>197</v>
      </c>
      <c r="P1389">
        <f t="shared" si="130"/>
        <v>120</v>
      </c>
    </row>
    <row r="1390" spans="1:16" hidden="1" x14ac:dyDescent="0.3">
      <c r="A1390" t="str">
        <f t="shared" si="129"/>
        <v>2022Russell3</v>
      </c>
      <c r="B1390">
        <f t="shared" si="126"/>
        <v>1291</v>
      </c>
      <c r="C1390">
        <f t="shared" si="127"/>
        <v>992</v>
      </c>
      <c r="D1390" t="s">
        <v>28</v>
      </c>
      <c r="E1390" t="str">
        <f>D1391</f>
        <v>Emily</v>
      </c>
      <c r="F1390">
        <v>2022</v>
      </c>
      <c r="G1390">
        <v>3</v>
      </c>
      <c r="H1390">
        <v>1.1000000000000001</v>
      </c>
      <c r="I1390">
        <v>91</v>
      </c>
      <c r="J1390">
        <f>I1390-I1391</f>
        <v>-9</v>
      </c>
      <c r="K1390" t="str">
        <f t="shared" si="131"/>
        <v>L</v>
      </c>
      <c r="L1390" t="str">
        <f t="shared" si="128"/>
        <v>Russell</v>
      </c>
      <c r="M1390" t="str">
        <f>VLOOKUP(L1390,References!$A$2:$B$16,2,FALSE)</f>
        <v>TEXAROK</v>
      </c>
      <c r="N1390" s="19" t="str">
        <f>IF(M1390=M1391,"N","Y")</f>
        <v>N</v>
      </c>
      <c r="O1390">
        <f>SUM(I1390:I1391)</f>
        <v>191</v>
      </c>
      <c r="P1390">
        <f t="shared" si="130"/>
        <v>100</v>
      </c>
    </row>
    <row r="1391" spans="1:16" hidden="1" x14ac:dyDescent="0.3">
      <c r="A1391" t="str">
        <f t="shared" si="129"/>
        <v>2022Emily3</v>
      </c>
      <c r="B1391">
        <f t="shared" si="126"/>
        <v>782</v>
      </c>
      <c r="C1391">
        <f t="shared" si="127"/>
        <v>678</v>
      </c>
      <c r="D1391" t="s">
        <v>43</v>
      </c>
      <c r="E1391" t="str">
        <f>D1390</f>
        <v>Russell</v>
      </c>
      <c r="F1391">
        <v>2022</v>
      </c>
      <c r="G1391">
        <v>3</v>
      </c>
      <c r="H1391">
        <v>1.2</v>
      </c>
      <c r="I1391">
        <v>100</v>
      </c>
      <c r="J1391">
        <f>I1391-I1390</f>
        <v>9</v>
      </c>
      <c r="K1391" t="str">
        <f t="shared" si="131"/>
        <v>W</v>
      </c>
      <c r="L1391" t="str">
        <f t="shared" si="128"/>
        <v>Emily</v>
      </c>
      <c r="M1391" t="str">
        <f>VLOOKUP(L1391,References!$A$2:$B$16,2,FALSE)</f>
        <v>TEXAROK</v>
      </c>
      <c r="N1391" s="19" t="str">
        <f>IF(M1391=M1390,"N","Y")</f>
        <v>N</v>
      </c>
      <c r="O1391">
        <f>SUM(I1390:I1391)</f>
        <v>191</v>
      </c>
      <c r="P1391">
        <f t="shared" si="130"/>
        <v>91</v>
      </c>
    </row>
    <row r="1392" spans="1:16" hidden="1" x14ac:dyDescent="0.3">
      <c r="A1392" t="str">
        <f t="shared" si="129"/>
        <v>2022Matt3</v>
      </c>
      <c r="B1392">
        <f t="shared" si="126"/>
        <v>1117</v>
      </c>
      <c r="C1392">
        <f t="shared" si="127"/>
        <v>1738</v>
      </c>
      <c r="D1392" t="s">
        <v>30</v>
      </c>
      <c r="E1392" t="str">
        <f>D1393</f>
        <v>David</v>
      </c>
      <c r="F1392">
        <v>2022</v>
      </c>
      <c r="G1392">
        <v>3</v>
      </c>
      <c r="H1392">
        <v>2.1</v>
      </c>
      <c r="I1392">
        <v>70</v>
      </c>
      <c r="J1392">
        <f>I1392-I1393</f>
        <v>-3</v>
      </c>
      <c r="K1392" t="str">
        <f t="shared" si="131"/>
        <v>L</v>
      </c>
      <c r="L1392" t="str">
        <f t="shared" si="128"/>
        <v>Matt</v>
      </c>
      <c r="M1392" t="str">
        <f>VLOOKUP(L1392,References!$A$2:$B$16,2,FALSE)</f>
        <v>TEXAROK</v>
      </c>
      <c r="N1392" s="19" t="str">
        <f>IF(M1392=M1393,"N","Y")</f>
        <v>N</v>
      </c>
      <c r="O1392">
        <f>SUM(I1392:I1393)</f>
        <v>143</v>
      </c>
      <c r="P1392">
        <f t="shared" si="130"/>
        <v>73</v>
      </c>
    </row>
    <row r="1393" spans="1:16" hidden="1" x14ac:dyDescent="0.3">
      <c r="A1393" t="str">
        <f t="shared" si="129"/>
        <v>2022David3</v>
      </c>
      <c r="B1393">
        <f t="shared" si="126"/>
        <v>949</v>
      </c>
      <c r="C1393">
        <f t="shared" si="127"/>
        <v>1648</v>
      </c>
      <c r="D1393" t="s">
        <v>29</v>
      </c>
      <c r="E1393" t="str">
        <f>D1392</f>
        <v>Matt</v>
      </c>
      <c r="F1393">
        <v>2022</v>
      </c>
      <c r="G1393">
        <v>3</v>
      </c>
      <c r="H1393">
        <v>2.2000000000000002</v>
      </c>
      <c r="I1393">
        <v>73</v>
      </c>
      <c r="J1393">
        <f>I1393-I1392</f>
        <v>3</v>
      </c>
      <c r="K1393" t="str">
        <f t="shared" si="131"/>
        <v>W</v>
      </c>
      <c r="L1393" t="str">
        <f t="shared" si="128"/>
        <v>David</v>
      </c>
      <c r="M1393" t="str">
        <f>VLOOKUP(L1393,References!$A$2:$B$16,2,FALSE)</f>
        <v>TEXAROK</v>
      </c>
      <c r="N1393" s="19" t="str">
        <f>IF(M1393=M1392,"N","Y")</f>
        <v>N</v>
      </c>
      <c r="O1393">
        <f>SUM(I1392:I1393)</f>
        <v>143</v>
      </c>
      <c r="P1393">
        <f t="shared" si="130"/>
        <v>70</v>
      </c>
    </row>
    <row r="1394" spans="1:16" hidden="1" x14ac:dyDescent="0.3">
      <c r="A1394" t="str">
        <f t="shared" si="129"/>
        <v>2022Brian3</v>
      </c>
      <c r="B1394">
        <f t="shared" si="126"/>
        <v>1336</v>
      </c>
      <c r="C1394">
        <f t="shared" si="127"/>
        <v>1318</v>
      </c>
      <c r="D1394" t="s">
        <v>26</v>
      </c>
      <c r="E1394" t="str">
        <f>D1395</f>
        <v>Brent</v>
      </c>
      <c r="F1394">
        <v>2022</v>
      </c>
      <c r="G1394">
        <v>3</v>
      </c>
      <c r="H1394">
        <v>3.1</v>
      </c>
      <c r="I1394">
        <v>82</v>
      </c>
      <c r="J1394">
        <f>I1394-I1395</f>
        <v>-11</v>
      </c>
      <c r="K1394" t="str">
        <f t="shared" si="131"/>
        <v>L</v>
      </c>
      <c r="L1394" t="str">
        <f t="shared" si="128"/>
        <v>Brian</v>
      </c>
      <c r="M1394" t="str">
        <f>VLOOKUP(L1394,References!$A$2:$B$16,2,FALSE)</f>
        <v>TEXAROK</v>
      </c>
      <c r="N1394" s="19" t="str">
        <f>IF(M1394=M1395,"N","Y")</f>
        <v>N</v>
      </c>
      <c r="O1394">
        <f>SUM(I1394:I1395)</f>
        <v>175</v>
      </c>
      <c r="P1394">
        <f t="shared" si="130"/>
        <v>93</v>
      </c>
    </row>
    <row r="1395" spans="1:16" hidden="1" x14ac:dyDescent="0.3">
      <c r="A1395" t="str">
        <f t="shared" si="129"/>
        <v>2022Brent3</v>
      </c>
      <c r="B1395">
        <f t="shared" si="126"/>
        <v>737</v>
      </c>
      <c r="C1395">
        <f t="shared" si="127"/>
        <v>926</v>
      </c>
      <c r="D1395" t="s">
        <v>47</v>
      </c>
      <c r="E1395" t="str">
        <f>D1394</f>
        <v>Brian</v>
      </c>
      <c r="F1395">
        <v>2022</v>
      </c>
      <c r="G1395">
        <v>3</v>
      </c>
      <c r="H1395">
        <v>3.2</v>
      </c>
      <c r="I1395">
        <v>93</v>
      </c>
      <c r="J1395">
        <f>I1395-I1394</f>
        <v>11</v>
      </c>
      <c r="K1395" t="str">
        <f t="shared" si="131"/>
        <v>W</v>
      </c>
      <c r="L1395" t="str">
        <f t="shared" si="128"/>
        <v>Brent</v>
      </c>
      <c r="M1395" t="str">
        <f>VLOOKUP(L1395,References!$A$2:$B$16,2,FALSE)</f>
        <v>TEXAROK</v>
      </c>
      <c r="N1395" s="19" t="str">
        <f>IF(M1395=M1394,"N","Y")</f>
        <v>N</v>
      </c>
      <c r="O1395">
        <f>SUM(I1394:I1395)</f>
        <v>175</v>
      </c>
      <c r="P1395">
        <f t="shared" si="130"/>
        <v>82</v>
      </c>
    </row>
    <row r="1396" spans="1:16" hidden="1" x14ac:dyDescent="0.3">
      <c r="A1396" t="str">
        <f t="shared" si="129"/>
        <v>2022Watty3</v>
      </c>
      <c r="B1396">
        <f t="shared" si="126"/>
        <v>392</v>
      </c>
      <c r="C1396">
        <f t="shared" si="127"/>
        <v>1055</v>
      </c>
      <c r="D1396" t="s">
        <v>24</v>
      </c>
      <c r="E1396" t="str">
        <f>D1397</f>
        <v>Michael</v>
      </c>
      <c r="F1396">
        <v>2022</v>
      </c>
      <c r="G1396">
        <v>3</v>
      </c>
      <c r="H1396">
        <v>4.0999999999999996</v>
      </c>
      <c r="I1396">
        <v>89</v>
      </c>
      <c r="J1396">
        <f>I1396-I1397</f>
        <v>26</v>
      </c>
      <c r="K1396" t="str">
        <f t="shared" si="131"/>
        <v>W</v>
      </c>
      <c r="L1396" t="str">
        <f t="shared" si="128"/>
        <v>Watty</v>
      </c>
      <c r="M1396" t="str">
        <f>VLOOKUP(L1396,References!$A$2:$B$16,2,FALSE)</f>
        <v>AKCOVA</v>
      </c>
      <c r="N1396" s="19" t="str">
        <f>IF(M1396=M1397,"N","Y")</f>
        <v>N</v>
      </c>
      <c r="O1396">
        <f>SUM(I1396:I1397)</f>
        <v>152</v>
      </c>
      <c r="P1396">
        <f t="shared" si="130"/>
        <v>63</v>
      </c>
    </row>
    <row r="1397" spans="1:16" hidden="1" x14ac:dyDescent="0.3">
      <c r="A1397" t="str">
        <f t="shared" si="129"/>
        <v>2022Michael3</v>
      </c>
      <c r="B1397">
        <f t="shared" si="126"/>
        <v>1684</v>
      </c>
      <c r="C1397">
        <f t="shared" si="127"/>
        <v>1885</v>
      </c>
      <c r="D1397" t="s">
        <v>23</v>
      </c>
      <c r="E1397" t="str">
        <f>D1396</f>
        <v>Watty</v>
      </c>
      <c r="F1397">
        <v>2022</v>
      </c>
      <c r="G1397">
        <v>3</v>
      </c>
      <c r="H1397">
        <v>4.2</v>
      </c>
      <c r="I1397">
        <v>63</v>
      </c>
      <c r="J1397">
        <f>I1397-I1396</f>
        <v>-26</v>
      </c>
      <c r="K1397" t="str">
        <f t="shared" si="131"/>
        <v>L</v>
      </c>
      <c r="L1397" t="str">
        <f t="shared" si="128"/>
        <v>Michael</v>
      </c>
      <c r="M1397" t="str">
        <f>VLOOKUP(L1397,References!$A$2:$B$16,2,FALSE)</f>
        <v>AKCOVA</v>
      </c>
      <c r="N1397" s="19" t="str">
        <f>IF(M1397=M1396,"N","Y")</f>
        <v>N</v>
      </c>
      <c r="O1397">
        <f>SUM(I1396:I1397)</f>
        <v>152</v>
      </c>
      <c r="P1397">
        <f t="shared" si="130"/>
        <v>89</v>
      </c>
    </row>
    <row r="1398" spans="1:16" hidden="1" x14ac:dyDescent="0.3">
      <c r="A1398" t="str">
        <f t="shared" si="129"/>
        <v>2022Arnold3</v>
      </c>
      <c r="B1398">
        <f t="shared" si="126"/>
        <v>1997</v>
      </c>
      <c r="C1398">
        <f t="shared" si="127"/>
        <v>2078</v>
      </c>
      <c r="D1398" t="s">
        <v>227</v>
      </c>
      <c r="E1398" t="str">
        <f>D1399</f>
        <v>Mark</v>
      </c>
      <c r="F1398">
        <v>2022</v>
      </c>
      <c r="G1398">
        <v>3</v>
      </c>
      <c r="H1398">
        <v>5.0999999999999996</v>
      </c>
      <c r="I1398">
        <v>43</v>
      </c>
      <c r="J1398">
        <f>I1398-I1399</f>
        <v>-53</v>
      </c>
      <c r="K1398" t="str">
        <f t="shared" si="131"/>
        <v>L</v>
      </c>
      <c r="L1398" t="str">
        <f t="shared" si="128"/>
        <v>Arnold</v>
      </c>
      <c r="M1398" t="str">
        <f>VLOOKUP(L1398,References!$A$2:$B$16,2,FALSE)</f>
        <v>AKCOVA</v>
      </c>
      <c r="N1398" s="19" t="str">
        <f>IF(M1398=M1399,"N","Y")</f>
        <v>N</v>
      </c>
      <c r="O1398">
        <f>SUM(I1398:I1399)</f>
        <v>139</v>
      </c>
      <c r="P1398">
        <f t="shared" si="130"/>
        <v>96</v>
      </c>
    </row>
    <row r="1399" spans="1:16" hidden="1" x14ac:dyDescent="0.3">
      <c r="A1399" t="str">
        <f t="shared" si="129"/>
        <v>2022Mark3</v>
      </c>
      <c r="B1399">
        <f t="shared" si="126"/>
        <v>89</v>
      </c>
      <c r="C1399">
        <f t="shared" si="127"/>
        <v>822</v>
      </c>
      <c r="D1399" t="s">
        <v>22</v>
      </c>
      <c r="E1399" t="str">
        <f>D1398</f>
        <v>Arnold</v>
      </c>
      <c r="F1399">
        <v>2022</v>
      </c>
      <c r="G1399">
        <v>3</v>
      </c>
      <c r="H1399">
        <v>5.2</v>
      </c>
      <c r="I1399">
        <v>96</v>
      </c>
      <c r="J1399">
        <f>I1399-I1398</f>
        <v>53</v>
      </c>
      <c r="K1399" t="str">
        <f t="shared" si="131"/>
        <v>W</v>
      </c>
      <c r="L1399" t="str">
        <f t="shared" si="128"/>
        <v>Mark</v>
      </c>
      <c r="M1399" t="str">
        <f>VLOOKUP(L1399,References!$A$2:$B$16,2,FALSE)</f>
        <v>AKCOVA</v>
      </c>
      <c r="N1399" s="19" t="str">
        <f>IF(M1399=M1398,"N","Y")</f>
        <v>N</v>
      </c>
      <c r="O1399">
        <f>SUM(I1398:I1399)</f>
        <v>139</v>
      </c>
      <c r="P1399">
        <f t="shared" si="130"/>
        <v>43</v>
      </c>
    </row>
    <row r="1400" spans="1:16" hidden="1" x14ac:dyDescent="0.3">
      <c r="A1400" t="str">
        <f t="shared" si="129"/>
        <v>2022Charles3</v>
      </c>
      <c r="B1400">
        <f t="shared" si="126"/>
        <v>619</v>
      </c>
      <c r="C1400">
        <f t="shared" si="127"/>
        <v>1100</v>
      </c>
      <c r="D1400" t="s">
        <v>48</v>
      </c>
      <c r="E1400" t="str">
        <f>D1401</f>
        <v>BR</v>
      </c>
      <c r="F1400">
        <v>2022</v>
      </c>
      <c r="G1400">
        <v>3</v>
      </c>
      <c r="H1400">
        <v>6.1</v>
      </c>
      <c r="I1400">
        <v>88</v>
      </c>
      <c r="J1400">
        <f>I1400-I1401</f>
        <v>16</v>
      </c>
      <c r="K1400" t="str">
        <f t="shared" si="131"/>
        <v>W</v>
      </c>
      <c r="L1400" t="str">
        <f t="shared" si="128"/>
        <v>Charles</v>
      </c>
      <c r="M1400" t="str">
        <f>VLOOKUP(L1400,References!$A$2:$B$16,2,FALSE)</f>
        <v>AKCOVA</v>
      </c>
      <c r="N1400" s="19" t="str">
        <f>IF(M1400=M1401,"N","Y")</f>
        <v>N</v>
      </c>
      <c r="O1400">
        <f>SUM(I1400:I1401)</f>
        <v>160</v>
      </c>
      <c r="P1400">
        <f t="shared" si="130"/>
        <v>72</v>
      </c>
    </row>
    <row r="1401" spans="1:16" hidden="1" x14ac:dyDescent="0.3">
      <c r="A1401" t="str">
        <f t="shared" si="129"/>
        <v>2022BR3</v>
      </c>
      <c r="B1401">
        <f t="shared" si="126"/>
        <v>1455</v>
      </c>
      <c r="C1401">
        <f t="shared" si="127"/>
        <v>1684</v>
      </c>
      <c r="D1401" t="s">
        <v>25</v>
      </c>
      <c r="E1401" t="str">
        <f>D1400</f>
        <v>Charles</v>
      </c>
      <c r="F1401">
        <v>2022</v>
      </c>
      <c r="G1401">
        <v>3</v>
      </c>
      <c r="H1401">
        <v>6.2</v>
      </c>
      <c r="I1401">
        <v>72</v>
      </c>
      <c r="J1401">
        <f>I1401-I1400</f>
        <v>-16</v>
      </c>
      <c r="K1401" t="str">
        <f t="shared" si="131"/>
        <v>L</v>
      </c>
      <c r="L1401" t="str">
        <f t="shared" si="128"/>
        <v>BR</v>
      </c>
      <c r="M1401" t="str">
        <f>VLOOKUP(L1401,References!$A$2:$B$16,2,FALSE)</f>
        <v>AKCOVA</v>
      </c>
      <c r="N1401" s="19" t="str">
        <f>IF(M1401=M1400,"N","Y")</f>
        <v>N</v>
      </c>
      <c r="O1401">
        <f>SUM(I1400:I1401)</f>
        <v>160</v>
      </c>
      <c r="P1401">
        <f t="shared" si="130"/>
        <v>88</v>
      </c>
    </row>
    <row r="1402" spans="1:16" hidden="1" x14ac:dyDescent="0.3">
      <c r="A1402" t="str">
        <f t="shared" si="129"/>
        <v>2022Brian4</v>
      </c>
      <c r="B1402">
        <f t="shared" si="126"/>
        <v>199</v>
      </c>
      <c r="C1402">
        <f t="shared" si="127"/>
        <v>822</v>
      </c>
      <c r="D1402" t="s">
        <v>26</v>
      </c>
      <c r="E1402" t="str">
        <f>D1403</f>
        <v>Russell</v>
      </c>
      <c r="F1402">
        <v>2022</v>
      </c>
      <c r="G1402">
        <v>4</v>
      </c>
      <c r="H1402">
        <v>1.1000000000000001</v>
      </c>
      <c r="I1402">
        <v>96</v>
      </c>
      <c r="J1402">
        <f>I1402-I1403</f>
        <v>39</v>
      </c>
      <c r="K1402" t="str">
        <f t="shared" si="131"/>
        <v>W</v>
      </c>
      <c r="L1402" t="str">
        <f t="shared" si="128"/>
        <v>Brian</v>
      </c>
      <c r="M1402" t="str">
        <f>VLOOKUP(L1402,References!$A$2:$B$16,2,FALSE)</f>
        <v>TEXAROK</v>
      </c>
      <c r="N1402" s="19" t="str">
        <f>IF(M1402=M1403,"N","Y")</f>
        <v>N</v>
      </c>
      <c r="O1402">
        <f>SUM(I1402:I1403)</f>
        <v>153</v>
      </c>
      <c r="P1402">
        <f t="shared" si="130"/>
        <v>57</v>
      </c>
    </row>
    <row r="1403" spans="1:16" hidden="1" x14ac:dyDescent="0.3">
      <c r="A1403" t="str">
        <f t="shared" si="129"/>
        <v>2022Russell4</v>
      </c>
      <c r="B1403">
        <f t="shared" si="126"/>
        <v>1884</v>
      </c>
      <c r="C1403">
        <f t="shared" si="127"/>
        <v>1988</v>
      </c>
      <c r="D1403" t="s">
        <v>28</v>
      </c>
      <c r="E1403" t="str">
        <f>D1402</f>
        <v>Brian</v>
      </c>
      <c r="F1403">
        <v>2022</v>
      </c>
      <c r="G1403">
        <v>4</v>
      </c>
      <c r="H1403">
        <v>1.2</v>
      </c>
      <c r="I1403">
        <v>57</v>
      </c>
      <c r="J1403">
        <f>I1403-I1402</f>
        <v>-39</v>
      </c>
      <c r="K1403" t="str">
        <f t="shared" si="131"/>
        <v>L</v>
      </c>
      <c r="L1403" t="str">
        <f t="shared" si="128"/>
        <v>Russell</v>
      </c>
      <c r="M1403" t="str">
        <f>VLOOKUP(L1403,References!$A$2:$B$16,2,FALSE)</f>
        <v>TEXAROK</v>
      </c>
      <c r="N1403" s="19" t="str">
        <f>IF(M1403=M1402,"N","Y")</f>
        <v>N</v>
      </c>
      <c r="O1403">
        <f>SUM(I1402:I1403)</f>
        <v>153</v>
      </c>
      <c r="P1403">
        <f t="shared" si="130"/>
        <v>96</v>
      </c>
    </row>
    <row r="1404" spans="1:16" hidden="1" x14ac:dyDescent="0.3">
      <c r="A1404" t="str">
        <f t="shared" si="129"/>
        <v>2022Brent4</v>
      </c>
      <c r="B1404">
        <f t="shared" si="126"/>
        <v>1312</v>
      </c>
      <c r="C1404">
        <f t="shared" si="127"/>
        <v>509</v>
      </c>
      <c r="D1404" t="s">
        <v>47</v>
      </c>
      <c r="E1404" t="str">
        <f>D1405</f>
        <v>David</v>
      </c>
      <c r="F1404">
        <v>2022</v>
      </c>
      <c r="G1404">
        <v>4</v>
      </c>
      <c r="H1404">
        <v>2.1</v>
      </c>
      <c r="I1404">
        <v>106</v>
      </c>
      <c r="J1404">
        <f>I1404-I1405</f>
        <v>-10</v>
      </c>
      <c r="K1404" t="str">
        <f t="shared" si="131"/>
        <v>L</v>
      </c>
      <c r="L1404" t="str">
        <f t="shared" si="128"/>
        <v>Brent</v>
      </c>
      <c r="M1404" t="str">
        <f>VLOOKUP(L1404,References!$A$2:$B$16,2,FALSE)</f>
        <v>TEXAROK</v>
      </c>
      <c r="N1404" s="19" t="str">
        <f>IF(M1404=M1405,"N","Y")</f>
        <v>N</v>
      </c>
      <c r="O1404">
        <f>SUM(I1404:I1405)</f>
        <v>222</v>
      </c>
      <c r="P1404">
        <f t="shared" si="130"/>
        <v>116</v>
      </c>
    </row>
    <row r="1405" spans="1:16" hidden="1" x14ac:dyDescent="0.3">
      <c r="A1405" t="str">
        <f t="shared" si="129"/>
        <v>2022David4</v>
      </c>
      <c r="B1405">
        <f t="shared" si="126"/>
        <v>758</v>
      </c>
      <c r="C1405">
        <f t="shared" si="127"/>
        <v>292</v>
      </c>
      <c r="D1405" t="s">
        <v>29</v>
      </c>
      <c r="E1405" t="str">
        <f>D1404</f>
        <v>Brent</v>
      </c>
      <c r="F1405">
        <v>2022</v>
      </c>
      <c r="G1405">
        <v>4</v>
      </c>
      <c r="H1405">
        <v>2.2000000000000002</v>
      </c>
      <c r="I1405">
        <v>116</v>
      </c>
      <c r="J1405">
        <f>I1405-I1404</f>
        <v>10</v>
      </c>
      <c r="K1405" t="str">
        <f t="shared" si="131"/>
        <v>W</v>
      </c>
      <c r="L1405" t="str">
        <f t="shared" si="128"/>
        <v>David</v>
      </c>
      <c r="M1405" t="str">
        <f>VLOOKUP(L1405,References!$A$2:$B$16,2,FALSE)</f>
        <v>TEXAROK</v>
      </c>
      <c r="N1405" s="19" t="str">
        <f>IF(M1405=M1404,"N","Y")</f>
        <v>N</v>
      </c>
      <c r="O1405">
        <f>SUM(I1404:I1405)</f>
        <v>222</v>
      </c>
      <c r="P1405">
        <f t="shared" si="130"/>
        <v>106</v>
      </c>
    </row>
    <row r="1406" spans="1:16" hidden="1" x14ac:dyDescent="0.3">
      <c r="A1406" t="str">
        <f t="shared" si="129"/>
        <v>2022Matt4</v>
      </c>
      <c r="B1406">
        <f t="shared" si="126"/>
        <v>371</v>
      </c>
      <c r="C1406">
        <f t="shared" si="127"/>
        <v>678</v>
      </c>
      <c r="D1406" t="s">
        <v>30</v>
      </c>
      <c r="E1406" t="str">
        <f>D1407</f>
        <v>Emily</v>
      </c>
      <c r="F1406">
        <v>2022</v>
      </c>
      <c r="G1406">
        <v>4</v>
      </c>
      <c r="H1406">
        <v>3.1</v>
      </c>
      <c r="I1406">
        <v>100</v>
      </c>
      <c r="J1406">
        <f>I1406-I1407</f>
        <v>27</v>
      </c>
      <c r="K1406" t="str">
        <f t="shared" si="131"/>
        <v>W</v>
      </c>
      <c r="L1406" t="str">
        <f t="shared" si="128"/>
        <v>Matt</v>
      </c>
      <c r="M1406" t="str">
        <f>VLOOKUP(L1406,References!$A$2:$B$16,2,FALSE)</f>
        <v>TEXAROK</v>
      </c>
      <c r="N1406" s="19" t="str">
        <f>IF(M1406=M1407,"N","Y")</f>
        <v>N</v>
      </c>
      <c r="O1406">
        <f>SUM(I1406:I1407)</f>
        <v>173</v>
      </c>
      <c r="P1406">
        <f t="shared" si="130"/>
        <v>73</v>
      </c>
    </row>
    <row r="1407" spans="1:16" hidden="1" x14ac:dyDescent="0.3">
      <c r="A1407" t="str">
        <f t="shared" si="129"/>
        <v>2022Emily4</v>
      </c>
      <c r="B1407">
        <f t="shared" si="126"/>
        <v>1702</v>
      </c>
      <c r="C1407">
        <f t="shared" si="127"/>
        <v>1648</v>
      </c>
      <c r="D1407" t="s">
        <v>43</v>
      </c>
      <c r="E1407" t="str">
        <f>D1406</f>
        <v>Matt</v>
      </c>
      <c r="F1407">
        <v>2022</v>
      </c>
      <c r="G1407">
        <v>4</v>
      </c>
      <c r="H1407">
        <v>3.2</v>
      </c>
      <c r="I1407">
        <v>73</v>
      </c>
      <c r="J1407">
        <f>I1407-I1406</f>
        <v>-27</v>
      </c>
      <c r="K1407" t="str">
        <f t="shared" si="131"/>
        <v>L</v>
      </c>
      <c r="L1407" t="str">
        <f t="shared" si="128"/>
        <v>Emily</v>
      </c>
      <c r="M1407" t="str">
        <f>VLOOKUP(L1407,References!$A$2:$B$16,2,FALSE)</f>
        <v>TEXAROK</v>
      </c>
      <c r="N1407" s="19" t="str">
        <f>IF(M1407=M1406,"N","Y")</f>
        <v>N</v>
      </c>
      <c r="O1407">
        <f>SUM(I1406:I1407)</f>
        <v>173</v>
      </c>
      <c r="P1407">
        <f t="shared" si="130"/>
        <v>100</v>
      </c>
    </row>
    <row r="1408" spans="1:16" hidden="1" x14ac:dyDescent="0.3">
      <c r="A1408" t="str">
        <f t="shared" si="129"/>
        <v>2022BR4</v>
      </c>
      <c r="B1408">
        <f t="shared" si="126"/>
        <v>1644</v>
      </c>
      <c r="C1408">
        <f t="shared" si="127"/>
        <v>1684</v>
      </c>
      <c r="D1408" t="s">
        <v>25</v>
      </c>
      <c r="E1408" t="str">
        <f>D1409</f>
        <v>Watty</v>
      </c>
      <c r="F1408">
        <v>2022</v>
      </c>
      <c r="G1408">
        <v>4</v>
      </c>
      <c r="H1408">
        <v>4.0999999999999996</v>
      </c>
      <c r="I1408">
        <v>72</v>
      </c>
      <c r="J1408">
        <f>I1408-I1409</f>
        <v>-24</v>
      </c>
      <c r="K1408" t="str">
        <f t="shared" si="131"/>
        <v>L</v>
      </c>
      <c r="L1408" t="str">
        <f t="shared" si="128"/>
        <v>BR</v>
      </c>
      <c r="M1408" t="str">
        <f>VLOOKUP(L1408,References!$A$2:$B$16,2,FALSE)</f>
        <v>AKCOVA</v>
      </c>
      <c r="N1408" s="19" t="str">
        <f>IF(M1408=M1409,"N","Y")</f>
        <v>N</v>
      </c>
      <c r="O1408">
        <f>SUM(I1408:I1409)</f>
        <v>168</v>
      </c>
      <c r="P1408">
        <f t="shared" si="130"/>
        <v>96</v>
      </c>
    </row>
    <row r="1409" spans="1:16" hidden="1" x14ac:dyDescent="0.3">
      <c r="A1409" t="str">
        <f t="shared" si="129"/>
        <v>2022Watty4</v>
      </c>
      <c r="B1409">
        <f t="shared" si="126"/>
        <v>433</v>
      </c>
      <c r="C1409">
        <f t="shared" si="127"/>
        <v>822</v>
      </c>
      <c r="D1409" t="s">
        <v>24</v>
      </c>
      <c r="E1409" t="str">
        <f>D1408</f>
        <v>BR</v>
      </c>
      <c r="F1409">
        <v>2022</v>
      </c>
      <c r="G1409">
        <v>4</v>
      </c>
      <c r="H1409">
        <v>4.2</v>
      </c>
      <c r="I1409">
        <v>96</v>
      </c>
      <c r="J1409">
        <f>I1409-I1408</f>
        <v>24</v>
      </c>
      <c r="K1409" t="str">
        <f t="shared" si="131"/>
        <v>W</v>
      </c>
      <c r="L1409" t="str">
        <f t="shared" si="128"/>
        <v>Watty</v>
      </c>
      <c r="M1409" t="str">
        <f>VLOOKUP(L1409,References!$A$2:$B$16,2,FALSE)</f>
        <v>AKCOVA</v>
      </c>
      <c r="N1409" s="19" t="str">
        <f>IF(M1409=M1408,"N","Y")</f>
        <v>N</v>
      </c>
      <c r="O1409">
        <f>SUM(I1408:I1409)</f>
        <v>168</v>
      </c>
      <c r="P1409">
        <f t="shared" si="130"/>
        <v>72</v>
      </c>
    </row>
    <row r="1410" spans="1:16" hidden="1" x14ac:dyDescent="0.3">
      <c r="A1410" t="str">
        <f t="shared" si="129"/>
        <v>2022Charles4</v>
      </c>
      <c r="B1410">
        <f t="shared" ref="B1410:B1473" si="132">RANK(J1410,diff)</f>
        <v>685</v>
      </c>
      <c r="C1410">
        <f t="shared" ref="C1410:C1473" si="133">RANK(I1410,points)</f>
        <v>1027</v>
      </c>
      <c r="D1410" t="s">
        <v>48</v>
      </c>
      <c r="E1410" t="str">
        <f>D1411</f>
        <v>Mark</v>
      </c>
      <c r="F1410">
        <v>2022</v>
      </c>
      <c r="G1410">
        <v>4</v>
      </c>
      <c r="H1410">
        <v>5.0999999999999996</v>
      </c>
      <c r="I1410">
        <v>90</v>
      </c>
      <c r="J1410">
        <f>I1410-I1411</f>
        <v>13</v>
      </c>
      <c r="K1410" t="str">
        <f t="shared" si="131"/>
        <v>W</v>
      </c>
      <c r="L1410" t="str">
        <f t="shared" ref="L1410:L1473" si="134">D1410</f>
        <v>Charles</v>
      </c>
      <c r="M1410" t="str">
        <f>VLOOKUP(L1410,References!$A$2:$B$16,2,FALSE)</f>
        <v>AKCOVA</v>
      </c>
      <c r="N1410" s="19" t="str">
        <f>IF(M1410=M1411,"N","Y")</f>
        <v>N</v>
      </c>
      <c r="O1410">
        <f>SUM(I1410:I1411)</f>
        <v>167</v>
      </c>
      <c r="P1410">
        <f t="shared" si="130"/>
        <v>77</v>
      </c>
    </row>
    <row r="1411" spans="1:16" hidden="1" x14ac:dyDescent="0.3">
      <c r="A1411" t="str">
        <f t="shared" ref="A1411:A1474" si="135">F1411&amp;D1411&amp;G1411</f>
        <v>2022Mark4</v>
      </c>
      <c r="B1411">
        <f t="shared" si="132"/>
        <v>1381</v>
      </c>
      <c r="C1411">
        <f t="shared" si="133"/>
        <v>1512</v>
      </c>
      <c r="D1411" t="s">
        <v>22</v>
      </c>
      <c r="E1411" t="str">
        <f>D1410</f>
        <v>Charles</v>
      </c>
      <c r="F1411">
        <v>2022</v>
      </c>
      <c r="G1411">
        <v>4</v>
      </c>
      <c r="H1411">
        <v>5.2</v>
      </c>
      <c r="I1411">
        <v>77</v>
      </c>
      <c r="J1411">
        <f>I1411-I1410</f>
        <v>-13</v>
      </c>
      <c r="K1411" t="str">
        <f t="shared" si="131"/>
        <v>L</v>
      </c>
      <c r="L1411" t="str">
        <f t="shared" si="134"/>
        <v>Mark</v>
      </c>
      <c r="M1411" t="str">
        <f>VLOOKUP(L1411,References!$A$2:$B$16,2,FALSE)</f>
        <v>AKCOVA</v>
      </c>
      <c r="N1411" s="19" t="str">
        <f>IF(M1411=M1410,"N","Y")</f>
        <v>N</v>
      </c>
      <c r="O1411">
        <f>SUM(I1410:I1411)</f>
        <v>167</v>
      </c>
      <c r="P1411">
        <f t="shared" ref="P1411:P1474" si="136">I1411-J1411</f>
        <v>90</v>
      </c>
    </row>
    <row r="1412" spans="1:16" hidden="1" x14ac:dyDescent="0.3">
      <c r="A1412" t="str">
        <f t="shared" si="135"/>
        <v>2022Michael4</v>
      </c>
      <c r="B1412">
        <f t="shared" si="132"/>
        <v>341</v>
      </c>
      <c r="C1412">
        <f t="shared" si="133"/>
        <v>102</v>
      </c>
      <c r="D1412" t="s">
        <v>23</v>
      </c>
      <c r="E1412" t="str">
        <f>D1413</f>
        <v>Arnold</v>
      </c>
      <c r="F1412">
        <v>2022</v>
      </c>
      <c r="G1412">
        <v>4</v>
      </c>
      <c r="H1412">
        <v>6.1</v>
      </c>
      <c r="I1412">
        <v>131</v>
      </c>
      <c r="J1412">
        <f>I1412-I1413</f>
        <v>29</v>
      </c>
      <c r="K1412" t="str">
        <f t="shared" si="131"/>
        <v>W</v>
      </c>
      <c r="L1412" t="str">
        <f t="shared" si="134"/>
        <v>Michael</v>
      </c>
      <c r="M1412" t="str">
        <f>VLOOKUP(L1412,References!$A$2:$B$16,2,FALSE)</f>
        <v>AKCOVA</v>
      </c>
      <c r="N1412" s="19" t="str">
        <f>IF(M1412=M1413,"N","Y")</f>
        <v>N</v>
      </c>
      <c r="O1412">
        <f>SUM(I1412:I1413)</f>
        <v>233</v>
      </c>
      <c r="P1412">
        <f t="shared" si="136"/>
        <v>102</v>
      </c>
    </row>
    <row r="1413" spans="1:16" hidden="1" x14ac:dyDescent="0.3">
      <c r="A1413" t="str">
        <f t="shared" si="135"/>
        <v>2022Arnold4</v>
      </c>
      <c r="B1413">
        <f t="shared" si="132"/>
        <v>1738</v>
      </c>
      <c r="C1413">
        <f t="shared" si="133"/>
        <v>631</v>
      </c>
      <c r="D1413" t="s">
        <v>227</v>
      </c>
      <c r="E1413" t="str">
        <f>D1412</f>
        <v>Michael</v>
      </c>
      <c r="F1413">
        <v>2022</v>
      </c>
      <c r="G1413">
        <v>4</v>
      </c>
      <c r="H1413">
        <v>6.2</v>
      </c>
      <c r="I1413">
        <v>102</v>
      </c>
      <c r="J1413">
        <f>I1413-I1412</f>
        <v>-29</v>
      </c>
      <c r="K1413" t="str">
        <f t="shared" si="131"/>
        <v>L</v>
      </c>
      <c r="L1413" t="str">
        <f t="shared" si="134"/>
        <v>Arnold</v>
      </c>
      <c r="M1413" t="str">
        <f>VLOOKUP(L1413,References!$A$2:$B$16,2,FALSE)</f>
        <v>AKCOVA</v>
      </c>
      <c r="N1413" s="19" t="str">
        <f>IF(M1413=M1412,"N","Y")</f>
        <v>N</v>
      </c>
      <c r="O1413">
        <f>SUM(I1412:I1413)</f>
        <v>233</v>
      </c>
      <c r="P1413">
        <f t="shared" si="136"/>
        <v>131</v>
      </c>
    </row>
    <row r="1414" spans="1:16" hidden="1" x14ac:dyDescent="0.3">
      <c r="A1414" t="str">
        <f t="shared" si="135"/>
        <v>2022Russell5</v>
      </c>
      <c r="B1414">
        <f t="shared" si="132"/>
        <v>1856</v>
      </c>
      <c r="C1414">
        <f t="shared" si="133"/>
        <v>1815</v>
      </c>
      <c r="D1414" t="s">
        <v>28</v>
      </c>
      <c r="E1414" t="str">
        <f>D1415</f>
        <v>Matt</v>
      </c>
      <c r="F1414">
        <v>2022</v>
      </c>
      <c r="G1414">
        <v>5</v>
      </c>
      <c r="H1414">
        <v>1.1000000000000001</v>
      </c>
      <c r="I1414">
        <v>67</v>
      </c>
      <c r="J1414">
        <f>I1414-I1415</f>
        <v>-37</v>
      </c>
      <c r="K1414" t="str">
        <f t="shared" ref="K1414:K1477" si="137">IF(J1414&gt;0,"W",IF(J1414&lt;0,"L","T"))</f>
        <v>L</v>
      </c>
      <c r="L1414" t="str">
        <f t="shared" si="134"/>
        <v>Russell</v>
      </c>
      <c r="M1414" t="str">
        <f>VLOOKUP(L1414,References!$A$2:$B$16,2,FALSE)</f>
        <v>TEXAROK</v>
      </c>
      <c r="N1414" s="19" t="str">
        <f>IF(M1414=M1415,"N","Y")</f>
        <v>N</v>
      </c>
      <c r="O1414">
        <f>SUM(I1414:I1415)</f>
        <v>171</v>
      </c>
      <c r="P1414">
        <f t="shared" si="136"/>
        <v>104</v>
      </c>
    </row>
    <row r="1415" spans="1:16" hidden="1" x14ac:dyDescent="0.3">
      <c r="A1415" t="str">
        <f t="shared" si="135"/>
        <v>2022Matt5</v>
      </c>
      <c r="B1415">
        <f t="shared" si="132"/>
        <v>225</v>
      </c>
      <c r="C1415">
        <f t="shared" si="133"/>
        <v>566</v>
      </c>
      <c r="D1415" t="s">
        <v>30</v>
      </c>
      <c r="E1415" t="str">
        <f>D1414</f>
        <v>Russell</v>
      </c>
      <c r="F1415">
        <v>2022</v>
      </c>
      <c r="G1415">
        <v>5</v>
      </c>
      <c r="H1415">
        <v>1.2</v>
      </c>
      <c r="I1415">
        <v>104</v>
      </c>
      <c r="J1415">
        <f>I1415-I1414</f>
        <v>37</v>
      </c>
      <c r="K1415" t="str">
        <f t="shared" si="137"/>
        <v>W</v>
      </c>
      <c r="L1415" t="str">
        <f t="shared" si="134"/>
        <v>Matt</v>
      </c>
      <c r="M1415" t="str">
        <f>VLOOKUP(L1415,References!$A$2:$B$16,2,FALSE)</f>
        <v>TEXAROK</v>
      </c>
      <c r="N1415" s="19" t="str">
        <f>IF(M1415=M1414,"N","Y")</f>
        <v>N</v>
      </c>
      <c r="O1415">
        <f>SUM(I1414:I1415)</f>
        <v>171</v>
      </c>
      <c r="P1415">
        <f t="shared" si="136"/>
        <v>67</v>
      </c>
    </row>
    <row r="1416" spans="1:16" hidden="1" x14ac:dyDescent="0.3">
      <c r="A1416" t="str">
        <f t="shared" si="135"/>
        <v>2022Brian5</v>
      </c>
      <c r="B1416">
        <f t="shared" si="132"/>
        <v>35</v>
      </c>
      <c r="C1416">
        <f t="shared" si="133"/>
        <v>173</v>
      </c>
      <c r="D1416" t="s">
        <v>26</v>
      </c>
      <c r="E1416" t="str">
        <f>D1417</f>
        <v>David</v>
      </c>
      <c r="F1416">
        <v>2022</v>
      </c>
      <c r="G1416">
        <v>5</v>
      </c>
      <c r="H1416">
        <v>2.1</v>
      </c>
      <c r="I1416">
        <v>124</v>
      </c>
      <c r="J1416">
        <f>I1416-I1417</f>
        <v>65</v>
      </c>
      <c r="K1416" t="str">
        <f t="shared" si="137"/>
        <v>W</v>
      </c>
      <c r="L1416" t="str">
        <f t="shared" si="134"/>
        <v>Brian</v>
      </c>
      <c r="M1416" t="str">
        <f>VLOOKUP(L1416,References!$A$2:$B$16,2,FALSE)</f>
        <v>TEXAROK</v>
      </c>
      <c r="N1416" s="19" t="str">
        <f>IF(M1416=M1417,"N","Y")</f>
        <v>N</v>
      </c>
      <c r="O1416">
        <f>SUM(I1416:I1417)</f>
        <v>183</v>
      </c>
      <c r="P1416">
        <f t="shared" si="136"/>
        <v>59</v>
      </c>
    </row>
    <row r="1417" spans="1:16" hidden="1" x14ac:dyDescent="0.3">
      <c r="A1417" t="str">
        <f t="shared" si="135"/>
        <v>2022David5</v>
      </c>
      <c r="B1417">
        <f t="shared" si="132"/>
        <v>2057</v>
      </c>
      <c r="C1417">
        <f t="shared" si="133"/>
        <v>1951</v>
      </c>
      <c r="D1417" t="s">
        <v>29</v>
      </c>
      <c r="E1417" t="str">
        <f>D1416</f>
        <v>Brian</v>
      </c>
      <c r="F1417">
        <v>2022</v>
      </c>
      <c r="G1417">
        <v>5</v>
      </c>
      <c r="H1417">
        <v>2.2000000000000002</v>
      </c>
      <c r="I1417">
        <v>59</v>
      </c>
      <c r="J1417">
        <f>I1417-I1416</f>
        <v>-65</v>
      </c>
      <c r="K1417" t="str">
        <f t="shared" si="137"/>
        <v>L</v>
      </c>
      <c r="L1417" t="str">
        <f t="shared" si="134"/>
        <v>David</v>
      </c>
      <c r="M1417" t="str">
        <f>VLOOKUP(L1417,References!$A$2:$B$16,2,FALSE)</f>
        <v>TEXAROK</v>
      </c>
      <c r="N1417" s="19" t="str">
        <f>IF(M1417=M1416,"N","Y")</f>
        <v>N</v>
      </c>
      <c r="O1417">
        <f>SUM(I1416:I1417)</f>
        <v>183</v>
      </c>
      <c r="P1417">
        <f t="shared" si="136"/>
        <v>124</v>
      </c>
    </row>
    <row r="1418" spans="1:16" hidden="1" x14ac:dyDescent="0.3">
      <c r="A1418" t="str">
        <f t="shared" si="135"/>
        <v>2022Emily5</v>
      </c>
      <c r="B1418">
        <f t="shared" si="132"/>
        <v>1312</v>
      </c>
      <c r="C1418">
        <f t="shared" si="133"/>
        <v>1439</v>
      </c>
      <c r="D1418" t="s">
        <v>43</v>
      </c>
      <c r="E1418" t="str">
        <f>D1419</f>
        <v>Brent</v>
      </c>
      <c r="F1418">
        <v>2022</v>
      </c>
      <c r="G1418">
        <v>5</v>
      </c>
      <c r="H1418">
        <v>3.1</v>
      </c>
      <c r="I1418">
        <v>79</v>
      </c>
      <c r="J1418">
        <f>I1418-I1419</f>
        <v>-10</v>
      </c>
      <c r="K1418" t="str">
        <f t="shared" si="137"/>
        <v>L</v>
      </c>
      <c r="L1418" t="str">
        <f t="shared" si="134"/>
        <v>Emily</v>
      </c>
      <c r="M1418" t="str">
        <f>VLOOKUP(L1418,References!$A$2:$B$16,2,FALSE)</f>
        <v>TEXAROK</v>
      </c>
      <c r="N1418" s="19" t="str">
        <f>IF(M1418=M1419,"N","Y")</f>
        <v>N</v>
      </c>
      <c r="O1418">
        <f>SUM(I1418:I1419)</f>
        <v>168</v>
      </c>
      <c r="P1418">
        <f t="shared" si="136"/>
        <v>89</v>
      </c>
    </row>
    <row r="1419" spans="1:16" hidden="1" x14ac:dyDescent="0.3">
      <c r="A1419" t="str">
        <f t="shared" si="135"/>
        <v>2022Brent5</v>
      </c>
      <c r="B1419">
        <f t="shared" si="132"/>
        <v>758</v>
      </c>
      <c r="C1419">
        <f t="shared" si="133"/>
        <v>1055</v>
      </c>
      <c r="D1419" t="s">
        <v>47</v>
      </c>
      <c r="E1419" t="str">
        <f>D1418</f>
        <v>Emily</v>
      </c>
      <c r="F1419">
        <v>2022</v>
      </c>
      <c r="G1419">
        <v>5</v>
      </c>
      <c r="H1419">
        <v>3.2</v>
      </c>
      <c r="I1419">
        <v>89</v>
      </c>
      <c r="J1419">
        <f>I1419-I1418</f>
        <v>10</v>
      </c>
      <c r="K1419" t="str">
        <f t="shared" si="137"/>
        <v>W</v>
      </c>
      <c r="L1419" t="str">
        <f t="shared" si="134"/>
        <v>Brent</v>
      </c>
      <c r="M1419" t="str">
        <f>VLOOKUP(L1419,References!$A$2:$B$16,2,FALSE)</f>
        <v>TEXAROK</v>
      </c>
      <c r="N1419" s="19" t="str">
        <f>IF(M1419=M1418,"N","Y")</f>
        <v>N</v>
      </c>
      <c r="O1419">
        <f>SUM(I1418:I1419)</f>
        <v>168</v>
      </c>
      <c r="P1419">
        <f t="shared" si="136"/>
        <v>79</v>
      </c>
    </row>
    <row r="1420" spans="1:16" hidden="1" x14ac:dyDescent="0.3">
      <c r="A1420" t="str">
        <f t="shared" si="135"/>
        <v>2022Arnold5</v>
      </c>
      <c r="B1420">
        <f t="shared" si="132"/>
        <v>1455</v>
      </c>
      <c r="C1420">
        <f t="shared" si="133"/>
        <v>1648</v>
      </c>
      <c r="D1420" t="s">
        <v>227</v>
      </c>
      <c r="E1420" t="str">
        <f>D1421</f>
        <v>Watty</v>
      </c>
      <c r="F1420">
        <v>2022</v>
      </c>
      <c r="G1420">
        <v>5</v>
      </c>
      <c r="H1420">
        <v>4.0999999999999996</v>
      </c>
      <c r="I1420">
        <v>73</v>
      </c>
      <c r="J1420">
        <f>I1420-I1421</f>
        <v>-16</v>
      </c>
      <c r="K1420" t="str">
        <f t="shared" si="137"/>
        <v>L</v>
      </c>
      <c r="L1420" t="str">
        <f t="shared" si="134"/>
        <v>Arnold</v>
      </c>
      <c r="M1420" t="str">
        <f>VLOOKUP(L1420,References!$A$2:$B$16,2,FALSE)</f>
        <v>AKCOVA</v>
      </c>
      <c r="N1420" s="19" t="str">
        <f>IF(M1420=M1421,"N","Y")</f>
        <v>N</v>
      </c>
      <c r="O1420">
        <f>SUM(I1420:I1421)</f>
        <v>162</v>
      </c>
      <c r="P1420">
        <f t="shared" si="136"/>
        <v>89</v>
      </c>
    </row>
    <row r="1421" spans="1:16" hidden="1" x14ac:dyDescent="0.3">
      <c r="A1421" t="str">
        <f t="shared" si="135"/>
        <v>2022Watty5</v>
      </c>
      <c r="B1421">
        <f t="shared" si="132"/>
        <v>619</v>
      </c>
      <c r="C1421">
        <f t="shared" si="133"/>
        <v>1055</v>
      </c>
      <c r="D1421" t="s">
        <v>24</v>
      </c>
      <c r="E1421" t="str">
        <f>D1420</f>
        <v>Arnold</v>
      </c>
      <c r="F1421">
        <v>2022</v>
      </c>
      <c r="G1421">
        <v>5</v>
      </c>
      <c r="H1421">
        <v>4.2</v>
      </c>
      <c r="I1421">
        <v>89</v>
      </c>
      <c r="J1421">
        <f>I1421-I1420</f>
        <v>16</v>
      </c>
      <c r="K1421" t="str">
        <f t="shared" si="137"/>
        <v>W</v>
      </c>
      <c r="L1421" t="str">
        <f t="shared" si="134"/>
        <v>Watty</v>
      </c>
      <c r="M1421" t="str">
        <f>VLOOKUP(L1421,References!$A$2:$B$16,2,FALSE)</f>
        <v>AKCOVA</v>
      </c>
      <c r="N1421" s="19" t="str">
        <f>IF(M1421=M1420,"N","Y")</f>
        <v>N</v>
      </c>
      <c r="O1421">
        <f>SUM(I1420:I1421)</f>
        <v>162</v>
      </c>
      <c r="P1421">
        <f t="shared" si="136"/>
        <v>73</v>
      </c>
    </row>
    <row r="1422" spans="1:16" hidden="1" x14ac:dyDescent="0.3">
      <c r="A1422" t="str">
        <f t="shared" si="135"/>
        <v>2022Mark5</v>
      </c>
      <c r="B1422">
        <f t="shared" si="132"/>
        <v>1605</v>
      </c>
      <c r="C1422">
        <f t="shared" si="133"/>
        <v>678</v>
      </c>
      <c r="D1422" t="s">
        <v>22</v>
      </c>
      <c r="E1422" t="str">
        <f>D1423</f>
        <v>BR</v>
      </c>
      <c r="F1422">
        <v>2022</v>
      </c>
      <c r="G1422">
        <v>5</v>
      </c>
      <c r="H1422">
        <v>5.0999999999999996</v>
      </c>
      <c r="I1422">
        <v>100</v>
      </c>
      <c r="J1422">
        <f>I1422-I1423</f>
        <v>-22</v>
      </c>
      <c r="K1422" t="str">
        <f t="shared" si="137"/>
        <v>L</v>
      </c>
      <c r="L1422" t="str">
        <f t="shared" si="134"/>
        <v>Mark</v>
      </c>
      <c r="M1422" t="str">
        <f>VLOOKUP(L1422,References!$A$2:$B$16,2,FALSE)</f>
        <v>AKCOVA</v>
      </c>
      <c r="N1422" s="19" t="str">
        <f>IF(M1422=M1423,"N","Y")</f>
        <v>N</v>
      </c>
      <c r="O1422">
        <f>SUM(I1422:I1423)</f>
        <v>222</v>
      </c>
      <c r="P1422">
        <f t="shared" si="136"/>
        <v>122</v>
      </c>
    </row>
    <row r="1423" spans="1:16" hidden="1" x14ac:dyDescent="0.3">
      <c r="A1423" t="str">
        <f t="shared" si="135"/>
        <v>2022BR5</v>
      </c>
      <c r="B1423">
        <f t="shared" si="132"/>
        <v>469</v>
      </c>
      <c r="C1423">
        <f t="shared" si="133"/>
        <v>197</v>
      </c>
      <c r="D1423" t="s">
        <v>25</v>
      </c>
      <c r="E1423" t="str">
        <f>D1422</f>
        <v>Mark</v>
      </c>
      <c r="F1423">
        <v>2022</v>
      </c>
      <c r="G1423">
        <v>5</v>
      </c>
      <c r="H1423">
        <v>5.2</v>
      </c>
      <c r="I1423">
        <v>122</v>
      </c>
      <c r="J1423">
        <f>I1423-I1422</f>
        <v>22</v>
      </c>
      <c r="K1423" t="str">
        <f t="shared" si="137"/>
        <v>W</v>
      </c>
      <c r="L1423" t="str">
        <f t="shared" si="134"/>
        <v>BR</v>
      </c>
      <c r="M1423" t="str">
        <f>VLOOKUP(L1423,References!$A$2:$B$16,2,FALSE)</f>
        <v>AKCOVA</v>
      </c>
      <c r="N1423" s="19" t="str">
        <f>IF(M1423=M1422,"N","Y")</f>
        <v>N</v>
      </c>
      <c r="O1423">
        <f>SUM(I1422:I1423)</f>
        <v>222</v>
      </c>
      <c r="P1423">
        <f t="shared" si="136"/>
        <v>100</v>
      </c>
    </row>
    <row r="1424" spans="1:16" hidden="1" x14ac:dyDescent="0.3">
      <c r="A1424" t="str">
        <f t="shared" si="135"/>
        <v>2022Michael5</v>
      </c>
      <c r="B1424">
        <f t="shared" si="132"/>
        <v>660</v>
      </c>
      <c r="C1424">
        <f t="shared" si="133"/>
        <v>777</v>
      </c>
      <c r="D1424" t="s">
        <v>23</v>
      </c>
      <c r="E1424" t="str">
        <f>D1425</f>
        <v>Charles</v>
      </c>
      <c r="F1424">
        <v>2022</v>
      </c>
      <c r="G1424">
        <v>5</v>
      </c>
      <c r="H1424">
        <v>6.1</v>
      </c>
      <c r="I1424">
        <v>97</v>
      </c>
      <c r="J1424">
        <f>I1424-I1425</f>
        <v>14</v>
      </c>
      <c r="K1424" t="str">
        <f t="shared" si="137"/>
        <v>W</v>
      </c>
      <c r="L1424" t="str">
        <f t="shared" si="134"/>
        <v>Michael</v>
      </c>
      <c r="M1424" t="str">
        <f>VLOOKUP(L1424,References!$A$2:$B$16,2,FALSE)</f>
        <v>AKCOVA</v>
      </c>
      <c r="N1424" s="19" t="str">
        <f>IF(M1424=M1425,"N","Y")</f>
        <v>N</v>
      </c>
      <c r="O1424">
        <f>SUM(I1424:I1425)</f>
        <v>180</v>
      </c>
      <c r="P1424">
        <f t="shared" si="136"/>
        <v>83</v>
      </c>
    </row>
    <row r="1425" spans="1:16" hidden="1" x14ac:dyDescent="0.3">
      <c r="A1425" t="str">
        <f t="shared" si="135"/>
        <v>2022Charles5</v>
      </c>
      <c r="B1425">
        <f t="shared" si="132"/>
        <v>1409</v>
      </c>
      <c r="C1425">
        <f t="shared" si="133"/>
        <v>1282</v>
      </c>
      <c r="D1425" t="s">
        <v>48</v>
      </c>
      <c r="E1425" t="str">
        <f>D1424</f>
        <v>Michael</v>
      </c>
      <c r="F1425">
        <v>2022</v>
      </c>
      <c r="G1425">
        <v>5</v>
      </c>
      <c r="H1425">
        <v>6.2</v>
      </c>
      <c r="I1425">
        <v>83</v>
      </c>
      <c r="J1425">
        <f>I1425-I1424</f>
        <v>-14</v>
      </c>
      <c r="K1425" t="str">
        <f t="shared" si="137"/>
        <v>L</v>
      </c>
      <c r="L1425" t="str">
        <f t="shared" si="134"/>
        <v>Charles</v>
      </c>
      <c r="M1425" t="str">
        <f>VLOOKUP(L1425,References!$A$2:$B$16,2,FALSE)</f>
        <v>AKCOVA</v>
      </c>
      <c r="N1425" s="19" t="str">
        <f>IF(M1425=M1424,"N","Y")</f>
        <v>N</v>
      </c>
      <c r="O1425">
        <f>SUM(I1424:I1425)</f>
        <v>180</v>
      </c>
      <c r="P1425">
        <f t="shared" si="136"/>
        <v>97</v>
      </c>
    </row>
    <row r="1426" spans="1:16" hidden="1" x14ac:dyDescent="0.3">
      <c r="A1426" t="str">
        <f t="shared" si="135"/>
        <v>2022Russell6</v>
      </c>
      <c r="B1426">
        <f t="shared" si="132"/>
        <v>803</v>
      </c>
      <c r="C1426">
        <f t="shared" si="133"/>
        <v>1512</v>
      </c>
      <c r="D1426" t="s">
        <v>28</v>
      </c>
      <c r="E1426" t="str">
        <f>D1427</f>
        <v>Brent</v>
      </c>
      <c r="F1426">
        <v>2022</v>
      </c>
      <c r="G1426">
        <v>6</v>
      </c>
      <c r="H1426">
        <v>1.1000000000000001</v>
      </c>
      <c r="I1426">
        <v>77</v>
      </c>
      <c r="J1426">
        <f>I1426-I1427</f>
        <v>8</v>
      </c>
      <c r="K1426" t="str">
        <f t="shared" si="137"/>
        <v>W</v>
      </c>
      <c r="L1426" t="str">
        <f t="shared" si="134"/>
        <v>Russell</v>
      </c>
      <c r="M1426" t="str">
        <f>VLOOKUP(L1426,References!$A$2:$B$16,2,FALSE)</f>
        <v>TEXAROK</v>
      </c>
      <c r="N1426" s="19" t="str">
        <f>IF(M1426=M1427,"N","Y")</f>
        <v>N</v>
      </c>
      <c r="O1426">
        <f>SUM(I1426:I1427)</f>
        <v>146</v>
      </c>
      <c r="P1426">
        <f t="shared" si="136"/>
        <v>69</v>
      </c>
    </row>
    <row r="1427" spans="1:16" hidden="1" x14ac:dyDescent="0.3">
      <c r="A1427" t="str">
        <f t="shared" si="135"/>
        <v>2022Brent6</v>
      </c>
      <c r="B1427">
        <f t="shared" si="132"/>
        <v>1258</v>
      </c>
      <c r="C1427">
        <f t="shared" si="133"/>
        <v>1767</v>
      </c>
      <c r="D1427" t="s">
        <v>47</v>
      </c>
      <c r="E1427" t="str">
        <f>D1426</f>
        <v>Russell</v>
      </c>
      <c r="F1427">
        <v>2022</v>
      </c>
      <c r="G1427">
        <v>6</v>
      </c>
      <c r="H1427">
        <v>1.2</v>
      </c>
      <c r="I1427">
        <v>69</v>
      </c>
      <c r="J1427">
        <f>I1427-I1426</f>
        <v>-8</v>
      </c>
      <c r="K1427" t="str">
        <f t="shared" si="137"/>
        <v>L</v>
      </c>
      <c r="L1427" t="str">
        <f t="shared" si="134"/>
        <v>Brent</v>
      </c>
      <c r="M1427" t="str">
        <f>VLOOKUP(L1427,References!$A$2:$B$16,2,FALSE)</f>
        <v>TEXAROK</v>
      </c>
      <c r="N1427" s="19" t="str">
        <f>IF(M1427=M1426,"N","Y")</f>
        <v>N</v>
      </c>
      <c r="O1427">
        <f>SUM(I1426:I1427)</f>
        <v>146</v>
      </c>
      <c r="P1427">
        <f t="shared" si="136"/>
        <v>77</v>
      </c>
    </row>
    <row r="1428" spans="1:16" hidden="1" x14ac:dyDescent="0.3">
      <c r="A1428" t="str">
        <f t="shared" si="135"/>
        <v>2022Emily6</v>
      </c>
      <c r="B1428">
        <f t="shared" si="132"/>
        <v>392</v>
      </c>
      <c r="C1428">
        <f t="shared" si="133"/>
        <v>1549</v>
      </c>
      <c r="D1428" t="s">
        <v>43</v>
      </c>
      <c r="E1428" t="str">
        <f>D1429</f>
        <v>David</v>
      </c>
      <c r="F1428">
        <v>2022</v>
      </c>
      <c r="G1428">
        <v>6</v>
      </c>
      <c r="H1428">
        <v>2.1</v>
      </c>
      <c r="I1428">
        <v>76</v>
      </c>
      <c r="J1428">
        <f>I1428-I1429</f>
        <v>26</v>
      </c>
      <c r="K1428" t="str">
        <f t="shared" si="137"/>
        <v>W</v>
      </c>
      <c r="L1428" t="str">
        <f t="shared" si="134"/>
        <v>Emily</v>
      </c>
      <c r="M1428" t="str">
        <f>VLOOKUP(L1428,References!$A$2:$B$16,2,FALSE)</f>
        <v>TEXAROK</v>
      </c>
      <c r="N1428" s="19" t="str">
        <f>IF(M1428=M1429,"N","Y")</f>
        <v>N</v>
      </c>
      <c r="O1428">
        <f>SUM(I1428:I1429)</f>
        <v>126</v>
      </c>
      <c r="P1428">
        <f t="shared" si="136"/>
        <v>50</v>
      </c>
    </row>
    <row r="1429" spans="1:16" hidden="1" x14ac:dyDescent="0.3">
      <c r="A1429" t="str">
        <f t="shared" si="135"/>
        <v>2022David6</v>
      </c>
      <c r="B1429">
        <f t="shared" si="132"/>
        <v>1684</v>
      </c>
      <c r="C1429">
        <f t="shared" si="133"/>
        <v>2049</v>
      </c>
      <c r="D1429" t="s">
        <v>29</v>
      </c>
      <c r="E1429" t="str">
        <f>D1428</f>
        <v>Emily</v>
      </c>
      <c r="F1429">
        <v>2022</v>
      </c>
      <c r="G1429">
        <v>6</v>
      </c>
      <c r="H1429">
        <v>2.2000000000000002</v>
      </c>
      <c r="I1429">
        <v>50</v>
      </c>
      <c r="J1429">
        <f>I1429-I1428</f>
        <v>-26</v>
      </c>
      <c r="K1429" t="str">
        <f t="shared" si="137"/>
        <v>L</v>
      </c>
      <c r="L1429" t="str">
        <f t="shared" si="134"/>
        <v>David</v>
      </c>
      <c r="M1429" t="str">
        <f>VLOOKUP(L1429,References!$A$2:$B$16,2,FALSE)</f>
        <v>TEXAROK</v>
      </c>
      <c r="N1429" s="19" t="str">
        <f>IF(M1429=M1428,"N","Y")</f>
        <v>N</v>
      </c>
      <c r="O1429">
        <f>SUM(I1428:I1429)</f>
        <v>126</v>
      </c>
      <c r="P1429">
        <f t="shared" si="136"/>
        <v>76</v>
      </c>
    </row>
    <row r="1430" spans="1:16" hidden="1" x14ac:dyDescent="0.3">
      <c r="A1430" t="str">
        <f t="shared" si="135"/>
        <v>2022Matt6</v>
      </c>
      <c r="B1430">
        <f t="shared" si="132"/>
        <v>1605</v>
      </c>
      <c r="C1430">
        <f t="shared" si="133"/>
        <v>1936</v>
      </c>
      <c r="D1430" t="s">
        <v>30</v>
      </c>
      <c r="E1430" t="str">
        <f>D1431</f>
        <v>Brian</v>
      </c>
      <c r="F1430">
        <v>2022</v>
      </c>
      <c r="G1430">
        <v>6</v>
      </c>
      <c r="H1430">
        <v>3.1</v>
      </c>
      <c r="I1430">
        <v>60</v>
      </c>
      <c r="J1430">
        <f>I1430-I1431</f>
        <v>-22</v>
      </c>
      <c r="K1430" t="str">
        <f t="shared" si="137"/>
        <v>L</v>
      </c>
      <c r="L1430" t="str">
        <f t="shared" si="134"/>
        <v>Matt</v>
      </c>
      <c r="M1430" t="str">
        <f>VLOOKUP(L1430,References!$A$2:$B$16,2,FALSE)</f>
        <v>TEXAROK</v>
      </c>
      <c r="N1430" s="19" t="str">
        <f>IF(M1430=M1431,"N","Y")</f>
        <v>N</v>
      </c>
      <c r="O1430">
        <f>SUM(I1430:I1431)</f>
        <v>142</v>
      </c>
      <c r="P1430">
        <f t="shared" si="136"/>
        <v>82</v>
      </c>
    </row>
    <row r="1431" spans="1:16" hidden="1" x14ac:dyDescent="0.3">
      <c r="A1431" t="str">
        <f t="shared" si="135"/>
        <v>2022Brian6</v>
      </c>
      <c r="B1431">
        <f t="shared" si="132"/>
        <v>469</v>
      </c>
      <c r="C1431">
        <f t="shared" si="133"/>
        <v>1318</v>
      </c>
      <c r="D1431" t="s">
        <v>26</v>
      </c>
      <c r="E1431" t="str">
        <f>D1430</f>
        <v>Matt</v>
      </c>
      <c r="F1431">
        <v>2022</v>
      </c>
      <c r="G1431">
        <v>6</v>
      </c>
      <c r="H1431">
        <v>3.2</v>
      </c>
      <c r="I1431">
        <v>82</v>
      </c>
      <c r="J1431">
        <f>I1431-I1430</f>
        <v>22</v>
      </c>
      <c r="K1431" t="str">
        <f t="shared" si="137"/>
        <v>W</v>
      </c>
      <c r="L1431" t="str">
        <f t="shared" si="134"/>
        <v>Brian</v>
      </c>
      <c r="M1431" t="str">
        <f>VLOOKUP(L1431,References!$A$2:$B$16,2,FALSE)</f>
        <v>TEXAROK</v>
      </c>
      <c r="N1431" s="19" t="str">
        <f>IF(M1431=M1430,"N","Y")</f>
        <v>N</v>
      </c>
      <c r="O1431">
        <f>SUM(I1430:I1431)</f>
        <v>142</v>
      </c>
      <c r="P1431">
        <f t="shared" si="136"/>
        <v>60</v>
      </c>
    </row>
    <row r="1432" spans="1:16" hidden="1" x14ac:dyDescent="0.3">
      <c r="A1432" t="str">
        <f t="shared" si="135"/>
        <v>2022Charles6</v>
      </c>
      <c r="B1432">
        <f t="shared" si="132"/>
        <v>685</v>
      </c>
      <c r="C1432">
        <f t="shared" si="133"/>
        <v>1853</v>
      </c>
      <c r="D1432" t="s">
        <v>48</v>
      </c>
      <c r="E1432" t="str">
        <f>D1433</f>
        <v>Watty</v>
      </c>
      <c r="F1432">
        <v>2022</v>
      </c>
      <c r="G1432">
        <v>6</v>
      </c>
      <c r="H1432">
        <v>4.0999999999999996</v>
      </c>
      <c r="I1432">
        <v>65</v>
      </c>
      <c r="J1432">
        <f>I1432-I1433</f>
        <v>13</v>
      </c>
      <c r="K1432" t="str">
        <f t="shared" si="137"/>
        <v>W</v>
      </c>
      <c r="L1432" t="str">
        <f t="shared" si="134"/>
        <v>Charles</v>
      </c>
      <c r="M1432" t="str">
        <f>VLOOKUP(L1432,References!$A$2:$B$16,2,FALSE)</f>
        <v>AKCOVA</v>
      </c>
      <c r="N1432" s="19" t="str">
        <f>IF(M1432=M1433,"N","Y")</f>
        <v>N</v>
      </c>
      <c r="O1432">
        <f>SUM(I1432:I1433)</f>
        <v>117</v>
      </c>
      <c r="P1432">
        <f t="shared" si="136"/>
        <v>52</v>
      </c>
    </row>
    <row r="1433" spans="1:16" hidden="1" x14ac:dyDescent="0.3">
      <c r="A1433" t="str">
        <f t="shared" si="135"/>
        <v>2022Watty6</v>
      </c>
      <c r="B1433">
        <f t="shared" si="132"/>
        <v>1381</v>
      </c>
      <c r="C1433">
        <f t="shared" si="133"/>
        <v>2034</v>
      </c>
      <c r="D1433" t="s">
        <v>24</v>
      </c>
      <c r="E1433" t="str">
        <f>D1432</f>
        <v>Charles</v>
      </c>
      <c r="F1433">
        <v>2022</v>
      </c>
      <c r="G1433">
        <v>6</v>
      </c>
      <c r="H1433">
        <v>4.2</v>
      </c>
      <c r="I1433">
        <v>52</v>
      </c>
      <c r="J1433">
        <f>I1433-I1432</f>
        <v>-13</v>
      </c>
      <c r="K1433" t="str">
        <f t="shared" si="137"/>
        <v>L</v>
      </c>
      <c r="L1433" t="str">
        <f t="shared" si="134"/>
        <v>Watty</v>
      </c>
      <c r="M1433" t="str">
        <f>VLOOKUP(L1433,References!$A$2:$B$16,2,FALSE)</f>
        <v>AKCOVA</v>
      </c>
      <c r="N1433" s="19" t="str">
        <f>IF(M1433=M1432,"N","Y")</f>
        <v>N</v>
      </c>
      <c r="O1433">
        <f>SUM(I1432:I1433)</f>
        <v>117</v>
      </c>
      <c r="P1433">
        <f t="shared" si="136"/>
        <v>65</v>
      </c>
    </row>
    <row r="1434" spans="1:16" hidden="1" x14ac:dyDescent="0.3">
      <c r="A1434" t="str">
        <f t="shared" si="135"/>
        <v>2022Michael6</v>
      </c>
      <c r="B1434">
        <f t="shared" si="132"/>
        <v>1605</v>
      </c>
      <c r="C1434">
        <f t="shared" si="133"/>
        <v>652</v>
      </c>
      <c r="D1434" t="s">
        <v>23</v>
      </c>
      <c r="E1434" t="str">
        <f>D1435</f>
        <v>Mark</v>
      </c>
      <c r="F1434">
        <v>2022</v>
      </c>
      <c r="G1434">
        <v>6</v>
      </c>
      <c r="H1434">
        <v>5.0999999999999996</v>
      </c>
      <c r="I1434">
        <v>101</v>
      </c>
      <c r="J1434">
        <f>I1434-I1435</f>
        <v>-22</v>
      </c>
      <c r="K1434" t="str">
        <f t="shared" si="137"/>
        <v>L</v>
      </c>
      <c r="L1434" t="str">
        <f t="shared" si="134"/>
        <v>Michael</v>
      </c>
      <c r="M1434" t="str">
        <f>VLOOKUP(L1434,References!$A$2:$B$16,2,FALSE)</f>
        <v>AKCOVA</v>
      </c>
      <c r="N1434" s="19" t="str">
        <f>IF(M1434=M1435,"N","Y")</f>
        <v>N</v>
      </c>
      <c r="O1434">
        <f>SUM(I1434:I1435)</f>
        <v>224</v>
      </c>
      <c r="P1434">
        <f t="shared" si="136"/>
        <v>123</v>
      </c>
    </row>
    <row r="1435" spans="1:16" hidden="1" x14ac:dyDescent="0.3">
      <c r="A1435" t="str">
        <f t="shared" si="135"/>
        <v>2022Mark6</v>
      </c>
      <c r="B1435">
        <f t="shared" si="132"/>
        <v>469</v>
      </c>
      <c r="C1435">
        <f t="shared" si="133"/>
        <v>186</v>
      </c>
      <c r="D1435" t="s">
        <v>22</v>
      </c>
      <c r="E1435" t="str">
        <f>D1434</f>
        <v>Michael</v>
      </c>
      <c r="F1435">
        <v>2022</v>
      </c>
      <c r="G1435">
        <v>6</v>
      </c>
      <c r="H1435">
        <v>5.2</v>
      </c>
      <c r="I1435">
        <v>123</v>
      </c>
      <c r="J1435">
        <f>I1435-I1434</f>
        <v>22</v>
      </c>
      <c r="K1435" t="str">
        <f t="shared" si="137"/>
        <v>W</v>
      </c>
      <c r="L1435" t="str">
        <f t="shared" si="134"/>
        <v>Mark</v>
      </c>
      <c r="M1435" t="str">
        <f>VLOOKUP(L1435,References!$A$2:$B$16,2,FALSE)</f>
        <v>AKCOVA</v>
      </c>
      <c r="N1435" s="19" t="str">
        <f>IF(M1435=M1434,"N","Y")</f>
        <v>N</v>
      </c>
      <c r="O1435">
        <f>SUM(I1434:I1435)</f>
        <v>224</v>
      </c>
      <c r="P1435">
        <f t="shared" si="136"/>
        <v>101</v>
      </c>
    </row>
    <row r="1436" spans="1:16" hidden="1" x14ac:dyDescent="0.3">
      <c r="A1436" t="str">
        <f t="shared" si="135"/>
        <v>2022BR6</v>
      </c>
      <c r="B1436">
        <f t="shared" si="132"/>
        <v>262</v>
      </c>
      <c r="C1436">
        <f t="shared" si="133"/>
        <v>714</v>
      </c>
      <c r="D1436" t="s">
        <v>25</v>
      </c>
      <c r="E1436" t="str">
        <f>D1437</f>
        <v>Arnold</v>
      </c>
      <c r="F1436">
        <v>2022</v>
      </c>
      <c r="G1436">
        <v>6</v>
      </c>
      <c r="H1436">
        <v>6.1</v>
      </c>
      <c r="I1436">
        <v>99</v>
      </c>
      <c r="J1436">
        <f>I1436-I1437</f>
        <v>34</v>
      </c>
      <c r="K1436" t="str">
        <f t="shared" si="137"/>
        <v>W</v>
      </c>
      <c r="L1436" t="str">
        <f t="shared" si="134"/>
        <v>BR</v>
      </c>
      <c r="M1436" t="str">
        <f>VLOOKUP(L1436,References!$A$2:$B$16,2,FALSE)</f>
        <v>AKCOVA</v>
      </c>
      <c r="N1436" s="19" t="str">
        <f>IF(M1436=M1437,"N","Y")</f>
        <v>N</v>
      </c>
      <c r="O1436">
        <f>SUM(I1436:I1437)</f>
        <v>164</v>
      </c>
      <c r="P1436">
        <f t="shared" si="136"/>
        <v>65</v>
      </c>
    </row>
    <row r="1437" spans="1:16" hidden="1" x14ac:dyDescent="0.3">
      <c r="A1437" t="str">
        <f t="shared" si="135"/>
        <v>2022Arnold6</v>
      </c>
      <c r="B1437">
        <f t="shared" si="132"/>
        <v>1824</v>
      </c>
      <c r="C1437">
        <f t="shared" si="133"/>
        <v>1853</v>
      </c>
      <c r="D1437" t="s">
        <v>227</v>
      </c>
      <c r="E1437" t="str">
        <f>D1436</f>
        <v>BR</v>
      </c>
      <c r="F1437">
        <v>2022</v>
      </c>
      <c r="G1437">
        <v>6</v>
      </c>
      <c r="H1437">
        <v>6.2</v>
      </c>
      <c r="I1437">
        <v>65</v>
      </c>
      <c r="J1437">
        <f>I1437-I1436</f>
        <v>-34</v>
      </c>
      <c r="K1437" t="str">
        <f t="shared" si="137"/>
        <v>L</v>
      </c>
      <c r="L1437" t="str">
        <f t="shared" si="134"/>
        <v>Arnold</v>
      </c>
      <c r="M1437" t="str">
        <f>VLOOKUP(L1437,References!$A$2:$B$16,2,FALSE)</f>
        <v>AKCOVA</v>
      </c>
      <c r="N1437" s="19" t="str">
        <f>IF(M1437=M1436,"N","Y")</f>
        <v>N</v>
      </c>
      <c r="O1437">
        <f>SUM(I1436:I1437)</f>
        <v>164</v>
      </c>
      <c r="P1437">
        <f t="shared" si="136"/>
        <v>99</v>
      </c>
    </row>
    <row r="1438" spans="1:16" hidden="1" x14ac:dyDescent="0.3">
      <c r="A1438" t="str">
        <f t="shared" si="135"/>
        <v>2022Watty7</v>
      </c>
      <c r="B1438">
        <f t="shared" si="132"/>
        <v>262</v>
      </c>
      <c r="C1438">
        <f t="shared" si="133"/>
        <v>777</v>
      </c>
      <c r="D1438" t="s">
        <v>24</v>
      </c>
      <c r="E1438" t="str">
        <f>D1439</f>
        <v>Russell</v>
      </c>
      <c r="F1438">
        <v>2022</v>
      </c>
      <c r="G1438">
        <v>7</v>
      </c>
      <c r="H1438">
        <v>1.1000000000000001</v>
      </c>
      <c r="I1438">
        <v>97</v>
      </c>
      <c r="J1438">
        <f>I1438-I1439</f>
        <v>34</v>
      </c>
      <c r="K1438" t="str">
        <f t="shared" si="137"/>
        <v>W</v>
      </c>
      <c r="L1438" t="str">
        <f t="shared" si="134"/>
        <v>Watty</v>
      </c>
      <c r="M1438" t="str">
        <f>VLOOKUP(L1438,References!$A$2:$B$16,2,FALSE)</f>
        <v>AKCOVA</v>
      </c>
      <c r="N1438" s="19" t="str">
        <f>IF(M1438=M1439,"N","Y")</f>
        <v>Y</v>
      </c>
      <c r="O1438">
        <f>SUM(I1438:I1439)</f>
        <v>160</v>
      </c>
      <c r="P1438">
        <f t="shared" si="136"/>
        <v>63</v>
      </c>
    </row>
    <row r="1439" spans="1:16" hidden="1" x14ac:dyDescent="0.3">
      <c r="A1439" t="str">
        <f t="shared" si="135"/>
        <v>2022Russell7</v>
      </c>
      <c r="B1439">
        <f t="shared" si="132"/>
        <v>1824</v>
      </c>
      <c r="C1439">
        <f t="shared" si="133"/>
        <v>1885</v>
      </c>
      <c r="D1439" t="s">
        <v>28</v>
      </c>
      <c r="E1439" t="str">
        <f>D1438</f>
        <v>Watty</v>
      </c>
      <c r="F1439">
        <v>2022</v>
      </c>
      <c r="G1439">
        <v>7</v>
      </c>
      <c r="H1439">
        <v>1.2</v>
      </c>
      <c r="I1439">
        <v>63</v>
      </c>
      <c r="J1439">
        <f>I1439-I1438</f>
        <v>-34</v>
      </c>
      <c r="K1439" t="str">
        <f t="shared" si="137"/>
        <v>L</v>
      </c>
      <c r="L1439" t="str">
        <f t="shared" si="134"/>
        <v>Russell</v>
      </c>
      <c r="M1439" t="str">
        <f>VLOOKUP(L1439,References!$A$2:$B$16,2,FALSE)</f>
        <v>TEXAROK</v>
      </c>
      <c r="N1439" s="19" t="str">
        <f>IF(M1439=M1438,"N","Y")</f>
        <v>Y</v>
      </c>
      <c r="O1439">
        <f>SUM(I1438:I1439)</f>
        <v>160</v>
      </c>
      <c r="P1439">
        <f t="shared" si="136"/>
        <v>97</v>
      </c>
    </row>
    <row r="1440" spans="1:16" hidden="1" x14ac:dyDescent="0.3">
      <c r="A1440" t="str">
        <f t="shared" si="135"/>
        <v>2022Mark7</v>
      </c>
      <c r="B1440">
        <f t="shared" si="132"/>
        <v>803</v>
      </c>
      <c r="C1440">
        <f t="shared" si="133"/>
        <v>1210</v>
      </c>
      <c r="D1440" t="s">
        <v>22</v>
      </c>
      <c r="E1440" t="str">
        <f>D1441</f>
        <v>David</v>
      </c>
      <c r="F1440">
        <v>2022</v>
      </c>
      <c r="G1440">
        <v>7</v>
      </c>
      <c r="H1440">
        <v>2.1</v>
      </c>
      <c r="I1440">
        <v>85</v>
      </c>
      <c r="J1440">
        <f>I1440-I1441</f>
        <v>8</v>
      </c>
      <c r="K1440" t="str">
        <f t="shared" si="137"/>
        <v>W</v>
      </c>
      <c r="L1440" t="str">
        <f t="shared" si="134"/>
        <v>Mark</v>
      </c>
      <c r="M1440" t="str">
        <f>VLOOKUP(L1440,References!$A$2:$B$16,2,FALSE)</f>
        <v>AKCOVA</v>
      </c>
      <c r="N1440" s="19" t="str">
        <f>IF(M1440=M1441,"N","Y")</f>
        <v>Y</v>
      </c>
      <c r="O1440">
        <f>SUM(I1440:I1441)</f>
        <v>162</v>
      </c>
      <c r="P1440">
        <f t="shared" si="136"/>
        <v>77</v>
      </c>
    </row>
    <row r="1441" spans="1:16" hidden="1" x14ac:dyDescent="0.3">
      <c r="A1441" t="str">
        <f t="shared" si="135"/>
        <v>2022David7</v>
      </c>
      <c r="B1441">
        <f t="shared" si="132"/>
        <v>1258</v>
      </c>
      <c r="C1441">
        <f t="shared" si="133"/>
        <v>1512</v>
      </c>
      <c r="D1441" t="s">
        <v>29</v>
      </c>
      <c r="E1441" t="str">
        <f>D1440</f>
        <v>Mark</v>
      </c>
      <c r="F1441">
        <v>2022</v>
      </c>
      <c r="G1441">
        <v>7</v>
      </c>
      <c r="H1441">
        <v>2.2000000000000002</v>
      </c>
      <c r="I1441">
        <v>77</v>
      </c>
      <c r="J1441">
        <f>I1441-I1440</f>
        <v>-8</v>
      </c>
      <c r="K1441" t="str">
        <f t="shared" si="137"/>
        <v>L</v>
      </c>
      <c r="L1441" t="str">
        <f t="shared" si="134"/>
        <v>David</v>
      </c>
      <c r="M1441" t="str">
        <f>VLOOKUP(L1441,References!$A$2:$B$16,2,FALSE)</f>
        <v>TEXAROK</v>
      </c>
      <c r="N1441" s="19" t="str">
        <f>IF(M1441=M1440,"N","Y")</f>
        <v>Y</v>
      </c>
      <c r="O1441">
        <f>SUM(I1440:I1441)</f>
        <v>162</v>
      </c>
      <c r="P1441">
        <f t="shared" si="136"/>
        <v>85</v>
      </c>
    </row>
    <row r="1442" spans="1:16" hidden="1" x14ac:dyDescent="0.3">
      <c r="A1442" t="str">
        <f t="shared" si="135"/>
        <v>2022Michael7</v>
      </c>
      <c r="B1442">
        <f t="shared" si="132"/>
        <v>173</v>
      </c>
      <c r="C1442">
        <f t="shared" si="133"/>
        <v>540</v>
      </c>
      <c r="D1442" t="s">
        <v>23</v>
      </c>
      <c r="E1442" t="str">
        <f>D1443</f>
        <v>Emily</v>
      </c>
      <c r="F1442">
        <v>2022</v>
      </c>
      <c r="G1442">
        <v>7</v>
      </c>
      <c r="H1442">
        <v>3.1</v>
      </c>
      <c r="I1442">
        <v>105</v>
      </c>
      <c r="J1442">
        <f>I1442-I1443</f>
        <v>42</v>
      </c>
      <c r="K1442" t="str">
        <f t="shared" si="137"/>
        <v>W</v>
      </c>
      <c r="L1442" t="str">
        <f t="shared" si="134"/>
        <v>Michael</v>
      </c>
      <c r="M1442" t="str">
        <f>VLOOKUP(L1442,References!$A$2:$B$16,2,FALSE)</f>
        <v>AKCOVA</v>
      </c>
      <c r="N1442" s="19" t="str">
        <f>IF(M1442=M1443,"N","Y")</f>
        <v>Y</v>
      </c>
      <c r="O1442">
        <f>SUM(I1442:I1443)</f>
        <v>168</v>
      </c>
      <c r="P1442">
        <f t="shared" si="136"/>
        <v>63</v>
      </c>
    </row>
    <row r="1443" spans="1:16" hidden="1" x14ac:dyDescent="0.3">
      <c r="A1443" t="str">
        <f t="shared" si="135"/>
        <v>2022Emily7</v>
      </c>
      <c r="B1443">
        <f t="shared" si="132"/>
        <v>1914</v>
      </c>
      <c r="C1443">
        <f t="shared" si="133"/>
        <v>1885</v>
      </c>
      <c r="D1443" t="s">
        <v>43</v>
      </c>
      <c r="E1443" t="str">
        <f>D1442</f>
        <v>Michael</v>
      </c>
      <c r="F1443">
        <v>2022</v>
      </c>
      <c r="G1443">
        <v>7</v>
      </c>
      <c r="H1443">
        <v>3.2</v>
      </c>
      <c r="I1443">
        <v>63</v>
      </c>
      <c r="J1443">
        <f>I1443-I1442</f>
        <v>-42</v>
      </c>
      <c r="K1443" t="str">
        <f t="shared" si="137"/>
        <v>L</v>
      </c>
      <c r="L1443" t="str">
        <f t="shared" si="134"/>
        <v>Emily</v>
      </c>
      <c r="M1443" t="str">
        <f>VLOOKUP(L1443,References!$A$2:$B$16,2,FALSE)</f>
        <v>TEXAROK</v>
      </c>
      <c r="N1443" s="19" t="str">
        <f>IF(M1443=M1442,"N","Y")</f>
        <v>Y</v>
      </c>
      <c r="O1443">
        <f>SUM(I1442:I1443)</f>
        <v>168</v>
      </c>
      <c r="P1443">
        <f t="shared" si="136"/>
        <v>105</v>
      </c>
    </row>
    <row r="1444" spans="1:16" hidden="1" x14ac:dyDescent="0.3">
      <c r="A1444" t="str">
        <f t="shared" si="135"/>
        <v>2022BR7</v>
      </c>
      <c r="B1444">
        <f t="shared" si="132"/>
        <v>1895</v>
      </c>
      <c r="C1444">
        <f t="shared" si="133"/>
        <v>1767</v>
      </c>
      <c r="D1444" t="s">
        <v>25</v>
      </c>
      <c r="E1444" t="str">
        <f>D1445</f>
        <v>Brian</v>
      </c>
      <c r="F1444">
        <v>2022</v>
      </c>
      <c r="G1444">
        <v>7</v>
      </c>
      <c r="H1444">
        <v>4.0999999999999996</v>
      </c>
      <c r="I1444">
        <v>69</v>
      </c>
      <c r="J1444">
        <f>I1444-I1445</f>
        <v>-40</v>
      </c>
      <c r="K1444" t="str">
        <f t="shared" si="137"/>
        <v>L</v>
      </c>
      <c r="L1444" t="str">
        <f t="shared" si="134"/>
        <v>BR</v>
      </c>
      <c r="M1444" t="str">
        <f>VLOOKUP(L1444,References!$A$2:$B$16,2,FALSE)</f>
        <v>AKCOVA</v>
      </c>
      <c r="N1444" s="19" t="str">
        <f>IF(M1444=M1445,"N","Y")</f>
        <v>Y</v>
      </c>
      <c r="O1444">
        <f>SUM(I1444:I1445)</f>
        <v>178</v>
      </c>
      <c r="P1444">
        <f t="shared" si="136"/>
        <v>109</v>
      </c>
    </row>
    <row r="1445" spans="1:16" hidden="1" x14ac:dyDescent="0.3">
      <c r="A1445" t="str">
        <f t="shared" si="135"/>
        <v>2022Brian7</v>
      </c>
      <c r="B1445">
        <f t="shared" si="132"/>
        <v>187</v>
      </c>
      <c r="C1445">
        <f t="shared" si="133"/>
        <v>435</v>
      </c>
      <c r="D1445" t="s">
        <v>26</v>
      </c>
      <c r="E1445" t="str">
        <f>D1444</f>
        <v>BR</v>
      </c>
      <c r="F1445">
        <v>2022</v>
      </c>
      <c r="G1445">
        <v>7</v>
      </c>
      <c r="H1445">
        <v>4.2</v>
      </c>
      <c r="I1445">
        <v>109</v>
      </c>
      <c r="J1445">
        <f>I1445-I1444</f>
        <v>40</v>
      </c>
      <c r="K1445" t="str">
        <f t="shared" si="137"/>
        <v>W</v>
      </c>
      <c r="L1445" t="str">
        <f t="shared" si="134"/>
        <v>Brian</v>
      </c>
      <c r="M1445" t="str">
        <f>VLOOKUP(L1445,References!$A$2:$B$16,2,FALSE)</f>
        <v>TEXAROK</v>
      </c>
      <c r="N1445" s="19" t="str">
        <f>IF(M1445=M1444,"N","Y")</f>
        <v>Y</v>
      </c>
      <c r="O1445">
        <f>SUM(I1444:I1445)</f>
        <v>178</v>
      </c>
      <c r="P1445">
        <f t="shared" si="136"/>
        <v>69</v>
      </c>
    </row>
    <row r="1446" spans="1:16" hidden="1" x14ac:dyDescent="0.3">
      <c r="A1446" t="str">
        <f t="shared" si="135"/>
        <v>2022Arnold7</v>
      </c>
      <c r="B1446">
        <f t="shared" si="132"/>
        <v>356</v>
      </c>
      <c r="C1446">
        <f t="shared" si="133"/>
        <v>1241</v>
      </c>
      <c r="D1446" t="s">
        <v>227</v>
      </c>
      <c r="E1446" t="str">
        <f>D1447</f>
        <v>Matt</v>
      </c>
      <c r="F1446">
        <v>2022</v>
      </c>
      <c r="G1446">
        <v>7</v>
      </c>
      <c r="H1446">
        <v>5.0999999999999996</v>
      </c>
      <c r="I1446">
        <v>84</v>
      </c>
      <c r="J1446">
        <f>I1446-I1447</f>
        <v>28</v>
      </c>
      <c r="K1446" t="str">
        <f t="shared" si="137"/>
        <v>W</v>
      </c>
      <c r="L1446" t="str">
        <f t="shared" si="134"/>
        <v>Arnold</v>
      </c>
      <c r="M1446" t="str">
        <f>VLOOKUP(L1446,References!$A$2:$B$16,2,FALSE)</f>
        <v>AKCOVA</v>
      </c>
      <c r="N1446" s="19" t="str">
        <f>IF(M1446=M1447,"N","Y")</f>
        <v>Y</v>
      </c>
      <c r="O1446">
        <f>SUM(I1446:I1447)</f>
        <v>140</v>
      </c>
      <c r="P1446">
        <f t="shared" si="136"/>
        <v>56</v>
      </c>
    </row>
    <row r="1447" spans="1:16" hidden="1" x14ac:dyDescent="0.3">
      <c r="A1447" t="str">
        <f t="shared" si="135"/>
        <v>2022Matt7</v>
      </c>
      <c r="B1447">
        <f t="shared" si="132"/>
        <v>1723</v>
      </c>
      <c r="C1447">
        <f t="shared" si="133"/>
        <v>2001</v>
      </c>
      <c r="D1447" t="s">
        <v>30</v>
      </c>
      <c r="E1447" t="str">
        <f>D1446</f>
        <v>Arnold</v>
      </c>
      <c r="F1447">
        <v>2022</v>
      </c>
      <c r="G1447">
        <v>7</v>
      </c>
      <c r="H1447">
        <v>5.2</v>
      </c>
      <c r="I1447">
        <v>56</v>
      </c>
      <c r="J1447">
        <f>I1447-I1446</f>
        <v>-28</v>
      </c>
      <c r="K1447" t="str">
        <f t="shared" si="137"/>
        <v>L</v>
      </c>
      <c r="L1447" t="str">
        <f t="shared" si="134"/>
        <v>Matt</v>
      </c>
      <c r="M1447" t="str">
        <f>VLOOKUP(L1447,References!$A$2:$B$16,2,FALSE)</f>
        <v>TEXAROK</v>
      </c>
      <c r="N1447" s="19" t="str">
        <f>IF(M1447=M1446,"N","Y")</f>
        <v>Y</v>
      </c>
      <c r="O1447">
        <f>SUM(I1446:I1447)</f>
        <v>140</v>
      </c>
      <c r="P1447">
        <f t="shared" si="136"/>
        <v>84</v>
      </c>
    </row>
    <row r="1448" spans="1:16" hidden="1" x14ac:dyDescent="0.3">
      <c r="A1448" t="str">
        <f t="shared" si="135"/>
        <v>2022Charles7</v>
      </c>
      <c r="B1448">
        <f t="shared" si="132"/>
        <v>1869</v>
      </c>
      <c r="C1448">
        <f t="shared" si="133"/>
        <v>2017</v>
      </c>
      <c r="D1448" t="s">
        <v>48</v>
      </c>
      <c r="E1448" t="str">
        <f>D1449</f>
        <v>Brent</v>
      </c>
      <c r="F1448">
        <v>2022</v>
      </c>
      <c r="G1448">
        <v>7</v>
      </c>
      <c r="H1448">
        <v>6.1</v>
      </c>
      <c r="I1448">
        <v>54</v>
      </c>
      <c r="J1448">
        <f>I1448-I1449</f>
        <v>-38</v>
      </c>
      <c r="K1448" t="str">
        <f t="shared" si="137"/>
        <v>L</v>
      </c>
      <c r="L1448" t="str">
        <f t="shared" si="134"/>
        <v>Charles</v>
      </c>
      <c r="M1448" t="str">
        <f>VLOOKUP(L1448,References!$A$2:$B$16,2,FALSE)</f>
        <v>AKCOVA</v>
      </c>
      <c r="N1448" s="19" t="str">
        <f>IF(M1448=M1449,"N","Y")</f>
        <v>Y</v>
      </c>
      <c r="O1448">
        <f>SUM(I1448:I1449)</f>
        <v>146</v>
      </c>
      <c r="P1448">
        <f t="shared" si="136"/>
        <v>92</v>
      </c>
    </row>
    <row r="1449" spans="1:16" hidden="1" x14ac:dyDescent="0.3">
      <c r="A1449" t="str">
        <f t="shared" si="135"/>
        <v>2022Brent7</v>
      </c>
      <c r="B1449">
        <f t="shared" si="132"/>
        <v>210</v>
      </c>
      <c r="C1449">
        <f t="shared" si="133"/>
        <v>958</v>
      </c>
      <c r="D1449" t="s">
        <v>47</v>
      </c>
      <c r="E1449" t="str">
        <f>D1448</f>
        <v>Charles</v>
      </c>
      <c r="F1449">
        <v>2022</v>
      </c>
      <c r="G1449">
        <v>7</v>
      </c>
      <c r="H1449">
        <v>6.2</v>
      </c>
      <c r="I1449">
        <v>92</v>
      </c>
      <c r="J1449">
        <f>I1449-I1448</f>
        <v>38</v>
      </c>
      <c r="K1449" t="str">
        <f t="shared" si="137"/>
        <v>W</v>
      </c>
      <c r="L1449" t="str">
        <f t="shared" si="134"/>
        <v>Brent</v>
      </c>
      <c r="M1449" t="str">
        <f>VLOOKUP(L1449,References!$A$2:$B$16,2,FALSE)</f>
        <v>TEXAROK</v>
      </c>
      <c r="N1449" s="19" t="str">
        <f>IF(M1449=M1448,"N","Y")</f>
        <v>Y</v>
      </c>
      <c r="O1449">
        <f>SUM(I1448:I1449)</f>
        <v>146</v>
      </c>
      <c r="P1449">
        <f t="shared" si="136"/>
        <v>54</v>
      </c>
    </row>
    <row r="1450" spans="1:16" hidden="1" x14ac:dyDescent="0.3">
      <c r="A1450" t="str">
        <f t="shared" si="135"/>
        <v>2022Russell8</v>
      </c>
      <c r="B1450">
        <f t="shared" si="132"/>
        <v>284</v>
      </c>
      <c r="C1450">
        <f t="shared" si="133"/>
        <v>566</v>
      </c>
      <c r="D1450" t="s">
        <v>28</v>
      </c>
      <c r="E1450" t="str">
        <f>D1451</f>
        <v>Mark</v>
      </c>
      <c r="F1450">
        <v>2022</v>
      </c>
      <c r="G1450">
        <v>8</v>
      </c>
      <c r="H1450">
        <v>1.1000000000000001</v>
      </c>
      <c r="I1450">
        <v>104</v>
      </c>
      <c r="J1450">
        <f>I1450-I1451</f>
        <v>32</v>
      </c>
      <c r="K1450" t="str">
        <f t="shared" si="137"/>
        <v>W</v>
      </c>
      <c r="L1450" t="str">
        <f t="shared" si="134"/>
        <v>Russell</v>
      </c>
      <c r="M1450" t="str">
        <f>VLOOKUP(L1450,References!$A$2:$B$16,2,FALSE)</f>
        <v>TEXAROK</v>
      </c>
      <c r="N1450" s="19" t="str">
        <f>IF(M1450=M1451,"N","Y")</f>
        <v>Y</v>
      </c>
      <c r="O1450">
        <f>SUM(I1450:I1451)</f>
        <v>176</v>
      </c>
      <c r="P1450">
        <f t="shared" si="136"/>
        <v>72</v>
      </c>
    </row>
    <row r="1451" spans="1:16" hidden="1" x14ac:dyDescent="0.3">
      <c r="A1451" t="str">
        <f t="shared" si="135"/>
        <v>2022Mark8</v>
      </c>
      <c r="B1451">
        <f t="shared" si="132"/>
        <v>1797</v>
      </c>
      <c r="C1451">
        <f t="shared" si="133"/>
        <v>1684</v>
      </c>
      <c r="D1451" t="s">
        <v>22</v>
      </c>
      <c r="E1451" t="str">
        <f>D1450</f>
        <v>Russell</v>
      </c>
      <c r="F1451">
        <v>2022</v>
      </c>
      <c r="G1451">
        <v>8</v>
      </c>
      <c r="H1451">
        <v>1.2</v>
      </c>
      <c r="I1451">
        <v>72</v>
      </c>
      <c r="J1451">
        <f>I1451-I1450</f>
        <v>-32</v>
      </c>
      <c r="K1451" t="str">
        <f t="shared" si="137"/>
        <v>L</v>
      </c>
      <c r="L1451" t="str">
        <f t="shared" si="134"/>
        <v>Mark</v>
      </c>
      <c r="M1451" t="str">
        <f>VLOOKUP(L1451,References!$A$2:$B$16,2,FALSE)</f>
        <v>AKCOVA</v>
      </c>
      <c r="N1451" s="19" t="str">
        <f>IF(M1451=M1450,"N","Y")</f>
        <v>Y</v>
      </c>
      <c r="O1451">
        <f>SUM(I1450:I1451)</f>
        <v>176</v>
      </c>
      <c r="P1451">
        <f t="shared" si="136"/>
        <v>104</v>
      </c>
    </row>
    <row r="1452" spans="1:16" hidden="1" x14ac:dyDescent="0.3">
      <c r="A1452" t="str">
        <f t="shared" si="135"/>
        <v>2022David8</v>
      </c>
      <c r="B1452">
        <f t="shared" si="132"/>
        <v>977</v>
      </c>
      <c r="C1452">
        <f t="shared" si="133"/>
        <v>462</v>
      </c>
      <c r="D1452" t="s">
        <v>29</v>
      </c>
      <c r="E1452" t="str">
        <f>D1453</f>
        <v>Watty</v>
      </c>
      <c r="F1452">
        <v>2022</v>
      </c>
      <c r="G1452">
        <v>8</v>
      </c>
      <c r="H1452">
        <v>2.1</v>
      </c>
      <c r="I1452">
        <v>108</v>
      </c>
      <c r="J1452">
        <f>I1452-I1453</f>
        <v>2</v>
      </c>
      <c r="K1452" t="str">
        <f t="shared" si="137"/>
        <v>W</v>
      </c>
      <c r="L1452" t="str">
        <f t="shared" si="134"/>
        <v>David</v>
      </c>
      <c r="M1452" t="str">
        <f>VLOOKUP(L1452,References!$A$2:$B$16,2,FALSE)</f>
        <v>TEXAROK</v>
      </c>
      <c r="N1452" s="19" t="str">
        <f>IF(M1452=M1453,"N","Y")</f>
        <v>Y</v>
      </c>
      <c r="O1452">
        <f>SUM(I1452:I1453)</f>
        <v>214</v>
      </c>
      <c r="P1452">
        <f t="shared" si="136"/>
        <v>106</v>
      </c>
    </row>
    <row r="1453" spans="1:16" hidden="1" x14ac:dyDescent="0.3">
      <c r="A1453" t="str">
        <f t="shared" si="135"/>
        <v>2022Watty8</v>
      </c>
      <c r="B1453">
        <f t="shared" si="132"/>
        <v>1090</v>
      </c>
      <c r="C1453">
        <f t="shared" si="133"/>
        <v>509</v>
      </c>
      <c r="D1453" t="s">
        <v>24</v>
      </c>
      <c r="E1453" t="str">
        <f>D1452</f>
        <v>David</v>
      </c>
      <c r="F1453">
        <v>2022</v>
      </c>
      <c r="G1453">
        <v>8</v>
      </c>
      <c r="H1453">
        <v>2.2000000000000002</v>
      </c>
      <c r="I1453">
        <v>106</v>
      </c>
      <c r="J1453">
        <f>I1453-I1452</f>
        <v>-2</v>
      </c>
      <c r="K1453" t="str">
        <f t="shared" si="137"/>
        <v>L</v>
      </c>
      <c r="L1453" t="str">
        <f t="shared" si="134"/>
        <v>Watty</v>
      </c>
      <c r="M1453" t="str">
        <f>VLOOKUP(L1453,References!$A$2:$B$16,2,FALSE)</f>
        <v>AKCOVA</v>
      </c>
      <c r="N1453" s="19" t="str">
        <f>IF(M1453=M1452,"N","Y")</f>
        <v>Y</v>
      </c>
      <c r="O1453">
        <f>SUM(I1452:I1453)</f>
        <v>214</v>
      </c>
      <c r="P1453">
        <f t="shared" si="136"/>
        <v>108</v>
      </c>
    </row>
    <row r="1454" spans="1:16" hidden="1" x14ac:dyDescent="0.3">
      <c r="A1454" t="str">
        <f t="shared" si="135"/>
        <v>2022Emily8</v>
      </c>
      <c r="B1454">
        <f t="shared" si="132"/>
        <v>517</v>
      </c>
      <c r="C1454">
        <f t="shared" si="133"/>
        <v>631</v>
      </c>
      <c r="D1454" t="s">
        <v>43</v>
      </c>
      <c r="E1454" t="str">
        <f>D1455</f>
        <v>BR</v>
      </c>
      <c r="F1454">
        <v>2022</v>
      </c>
      <c r="G1454">
        <v>8</v>
      </c>
      <c r="H1454">
        <v>3.1</v>
      </c>
      <c r="I1454">
        <v>102</v>
      </c>
      <c r="J1454">
        <f>I1454-I1455</f>
        <v>20</v>
      </c>
      <c r="K1454" t="str">
        <f t="shared" si="137"/>
        <v>W</v>
      </c>
      <c r="L1454" t="str">
        <f t="shared" si="134"/>
        <v>Emily</v>
      </c>
      <c r="M1454" t="str">
        <f>VLOOKUP(L1454,References!$A$2:$B$16,2,FALSE)</f>
        <v>TEXAROK</v>
      </c>
      <c r="N1454" s="19" t="str">
        <f>IF(M1454=M1455,"N","Y")</f>
        <v>Y</v>
      </c>
      <c r="O1454">
        <f>SUM(I1454:I1455)</f>
        <v>184</v>
      </c>
      <c r="P1454">
        <f t="shared" si="136"/>
        <v>82</v>
      </c>
    </row>
    <row r="1455" spans="1:16" hidden="1" x14ac:dyDescent="0.3">
      <c r="A1455" t="str">
        <f t="shared" si="135"/>
        <v>2022BR8</v>
      </c>
      <c r="B1455">
        <f t="shared" si="132"/>
        <v>1546</v>
      </c>
      <c r="C1455">
        <f t="shared" si="133"/>
        <v>1318</v>
      </c>
      <c r="D1455" t="s">
        <v>25</v>
      </c>
      <c r="E1455" t="str">
        <f>D1454</f>
        <v>Emily</v>
      </c>
      <c r="F1455">
        <v>2022</v>
      </c>
      <c r="G1455">
        <v>8</v>
      </c>
      <c r="H1455">
        <v>3.2</v>
      </c>
      <c r="I1455">
        <v>82</v>
      </c>
      <c r="J1455">
        <f>I1455-I1454</f>
        <v>-20</v>
      </c>
      <c r="K1455" t="str">
        <f t="shared" si="137"/>
        <v>L</v>
      </c>
      <c r="L1455" t="str">
        <f t="shared" si="134"/>
        <v>BR</v>
      </c>
      <c r="M1455" t="str">
        <f>VLOOKUP(L1455,References!$A$2:$B$16,2,FALSE)</f>
        <v>AKCOVA</v>
      </c>
      <c r="N1455" s="19" t="str">
        <f>IF(M1455=M1454,"N","Y")</f>
        <v>Y</v>
      </c>
      <c r="O1455">
        <f>SUM(I1454:I1455)</f>
        <v>184</v>
      </c>
      <c r="P1455">
        <f t="shared" si="136"/>
        <v>102</v>
      </c>
    </row>
    <row r="1456" spans="1:16" hidden="1" x14ac:dyDescent="0.3">
      <c r="A1456" t="str">
        <f t="shared" si="135"/>
        <v>2022Brian8</v>
      </c>
      <c r="B1456">
        <f t="shared" si="132"/>
        <v>1409</v>
      </c>
      <c r="C1456">
        <f t="shared" si="133"/>
        <v>992</v>
      </c>
      <c r="D1456" t="s">
        <v>26</v>
      </c>
      <c r="E1456" t="str">
        <f>D1457</f>
        <v>Arnold</v>
      </c>
      <c r="F1456">
        <v>2022</v>
      </c>
      <c r="G1456">
        <v>8</v>
      </c>
      <c r="H1456">
        <v>4.0999999999999996</v>
      </c>
      <c r="I1456">
        <v>91</v>
      </c>
      <c r="J1456">
        <f>I1456-I1457</f>
        <v>-14</v>
      </c>
      <c r="K1456" t="str">
        <f t="shared" si="137"/>
        <v>L</v>
      </c>
      <c r="L1456" t="str">
        <f t="shared" si="134"/>
        <v>Brian</v>
      </c>
      <c r="M1456" t="str">
        <f>VLOOKUP(L1456,References!$A$2:$B$16,2,FALSE)</f>
        <v>TEXAROK</v>
      </c>
      <c r="N1456" s="19" t="str">
        <f>IF(M1456=M1457,"N","Y")</f>
        <v>Y</v>
      </c>
      <c r="O1456">
        <f>SUM(I1456:I1457)</f>
        <v>196</v>
      </c>
      <c r="P1456">
        <f t="shared" si="136"/>
        <v>105</v>
      </c>
    </row>
    <row r="1457" spans="1:16" hidden="1" x14ac:dyDescent="0.3">
      <c r="A1457" t="str">
        <f t="shared" si="135"/>
        <v>2022Arnold8</v>
      </c>
      <c r="B1457">
        <f t="shared" si="132"/>
        <v>660</v>
      </c>
      <c r="C1457">
        <f t="shared" si="133"/>
        <v>540</v>
      </c>
      <c r="D1457" t="s">
        <v>227</v>
      </c>
      <c r="E1457" t="str">
        <f>D1456</f>
        <v>Brian</v>
      </c>
      <c r="F1457">
        <v>2022</v>
      </c>
      <c r="G1457">
        <v>8</v>
      </c>
      <c r="H1457">
        <v>4.2</v>
      </c>
      <c r="I1457">
        <v>105</v>
      </c>
      <c r="J1457">
        <f>I1457-I1456</f>
        <v>14</v>
      </c>
      <c r="K1457" t="str">
        <f t="shared" si="137"/>
        <v>W</v>
      </c>
      <c r="L1457" t="str">
        <f t="shared" si="134"/>
        <v>Arnold</v>
      </c>
      <c r="M1457" t="str">
        <f>VLOOKUP(L1457,References!$A$2:$B$16,2,FALSE)</f>
        <v>AKCOVA</v>
      </c>
      <c r="N1457" s="19" t="str">
        <f>IF(M1457=M1456,"N","Y")</f>
        <v>Y</v>
      </c>
      <c r="O1457">
        <f>SUM(I1456:I1457)</f>
        <v>196</v>
      </c>
      <c r="P1457">
        <f t="shared" si="136"/>
        <v>91</v>
      </c>
    </row>
    <row r="1458" spans="1:16" hidden="1" x14ac:dyDescent="0.3">
      <c r="A1458" t="str">
        <f t="shared" si="135"/>
        <v>2022Matt8</v>
      </c>
      <c r="B1458">
        <f t="shared" si="132"/>
        <v>865</v>
      </c>
      <c r="C1458">
        <f t="shared" si="133"/>
        <v>631</v>
      </c>
      <c r="D1458" t="s">
        <v>30</v>
      </c>
      <c r="E1458" t="str">
        <f>D1459</f>
        <v>Charles</v>
      </c>
      <c r="F1458">
        <v>2022</v>
      </c>
      <c r="G1458">
        <v>8</v>
      </c>
      <c r="H1458">
        <v>5.0999999999999996</v>
      </c>
      <c r="I1458">
        <v>102</v>
      </c>
      <c r="J1458">
        <f>I1458-I1459</f>
        <v>6</v>
      </c>
      <c r="K1458" t="str">
        <f t="shared" si="137"/>
        <v>W</v>
      </c>
      <c r="L1458" t="str">
        <f t="shared" si="134"/>
        <v>Matt</v>
      </c>
      <c r="M1458" t="str">
        <f>VLOOKUP(L1458,References!$A$2:$B$16,2,FALSE)</f>
        <v>TEXAROK</v>
      </c>
      <c r="N1458" s="19" t="str">
        <f>IF(M1458=M1459,"N","Y")</f>
        <v>Y</v>
      </c>
      <c r="O1458">
        <f>SUM(I1458:I1459)</f>
        <v>198</v>
      </c>
      <c r="P1458">
        <f t="shared" si="136"/>
        <v>96</v>
      </c>
    </row>
    <row r="1459" spans="1:16" hidden="1" x14ac:dyDescent="0.3">
      <c r="A1459" t="str">
        <f t="shared" si="135"/>
        <v>2022Charles8</v>
      </c>
      <c r="B1459">
        <f t="shared" si="132"/>
        <v>1197</v>
      </c>
      <c r="C1459">
        <f t="shared" si="133"/>
        <v>822</v>
      </c>
      <c r="D1459" t="s">
        <v>48</v>
      </c>
      <c r="E1459" t="str">
        <f>D1458</f>
        <v>Matt</v>
      </c>
      <c r="F1459">
        <v>2022</v>
      </c>
      <c r="G1459">
        <v>8</v>
      </c>
      <c r="H1459">
        <v>5.2</v>
      </c>
      <c r="I1459">
        <v>96</v>
      </c>
      <c r="J1459">
        <f>I1459-I1458</f>
        <v>-6</v>
      </c>
      <c r="K1459" t="str">
        <f t="shared" si="137"/>
        <v>L</v>
      </c>
      <c r="L1459" t="str">
        <f t="shared" si="134"/>
        <v>Charles</v>
      </c>
      <c r="M1459" t="str">
        <f>VLOOKUP(L1459,References!$A$2:$B$16,2,FALSE)</f>
        <v>AKCOVA</v>
      </c>
      <c r="N1459" s="19" t="str">
        <f>IF(M1459=M1458,"N","Y")</f>
        <v>Y</v>
      </c>
      <c r="O1459">
        <f>SUM(I1458:I1459)</f>
        <v>198</v>
      </c>
      <c r="P1459">
        <f t="shared" si="136"/>
        <v>102</v>
      </c>
    </row>
    <row r="1460" spans="1:16" hidden="1" x14ac:dyDescent="0.3">
      <c r="A1460" t="str">
        <f t="shared" si="135"/>
        <v>2022Brent8</v>
      </c>
      <c r="B1460">
        <f t="shared" si="132"/>
        <v>45</v>
      </c>
      <c r="C1460">
        <f t="shared" si="133"/>
        <v>48</v>
      </c>
      <c r="D1460" t="s">
        <v>47</v>
      </c>
      <c r="E1460" t="str">
        <f>D1461</f>
        <v>Michael</v>
      </c>
      <c r="F1460">
        <v>2022</v>
      </c>
      <c r="G1460">
        <v>8</v>
      </c>
      <c r="H1460">
        <v>6.1</v>
      </c>
      <c r="I1460">
        <v>142</v>
      </c>
      <c r="J1460">
        <f>I1460-I1461</f>
        <v>62</v>
      </c>
      <c r="K1460" t="str">
        <f t="shared" si="137"/>
        <v>W</v>
      </c>
      <c r="L1460" t="str">
        <f t="shared" si="134"/>
        <v>Brent</v>
      </c>
      <c r="M1460" t="str">
        <f>VLOOKUP(L1460,References!$A$2:$B$16,2,FALSE)</f>
        <v>TEXAROK</v>
      </c>
      <c r="N1460" s="19" t="str">
        <f>IF(M1460=M1461,"N","Y")</f>
        <v>Y</v>
      </c>
      <c r="O1460">
        <f>SUM(I1460:I1461)</f>
        <v>222</v>
      </c>
      <c r="P1460">
        <f t="shared" si="136"/>
        <v>80</v>
      </c>
    </row>
    <row r="1461" spans="1:16" hidden="1" x14ac:dyDescent="0.3">
      <c r="A1461" t="str">
        <f t="shared" si="135"/>
        <v>2022Michael8</v>
      </c>
      <c r="B1461">
        <f t="shared" si="132"/>
        <v>2045</v>
      </c>
      <c r="C1461">
        <f t="shared" si="133"/>
        <v>1406</v>
      </c>
      <c r="D1461" t="s">
        <v>23</v>
      </c>
      <c r="E1461" t="str">
        <f>D1460</f>
        <v>Brent</v>
      </c>
      <c r="F1461">
        <v>2022</v>
      </c>
      <c r="G1461">
        <v>8</v>
      </c>
      <c r="H1461">
        <v>6.2</v>
      </c>
      <c r="I1461">
        <v>80</v>
      </c>
      <c r="J1461">
        <f>I1461-I1460</f>
        <v>-62</v>
      </c>
      <c r="K1461" t="str">
        <f t="shared" si="137"/>
        <v>L</v>
      </c>
      <c r="L1461" t="str">
        <f t="shared" si="134"/>
        <v>Michael</v>
      </c>
      <c r="M1461" t="str">
        <f>VLOOKUP(L1461,References!$A$2:$B$16,2,FALSE)</f>
        <v>AKCOVA</v>
      </c>
      <c r="N1461" s="19" t="str">
        <f>IF(M1461=M1460,"N","Y")</f>
        <v>Y</v>
      </c>
      <c r="O1461">
        <f>SUM(I1460:I1461)</f>
        <v>222</v>
      </c>
      <c r="P1461">
        <f t="shared" si="136"/>
        <v>142</v>
      </c>
    </row>
    <row r="1462" spans="1:16" x14ac:dyDescent="0.3">
      <c r="A1462" t="str">
        <f t="shared" si="135"/>
        <v>2022Michael9</v>
      </c>
      <c r="B1462">
        <f t="shared" si="132"/>
        <v>450</v>
      </c>
      <c r="C1462">
        <f t="shared" si="133"/>
        <v>714</v>
      </c>
      <c r="D1462" t="s">
        <v>23</v>
      </c>
      <c r="E1462" t="str">
        <f>D1463</f>
        <v>Russell</v>
      </c>
      <c r="F1462">
        <v>2022</v>
      </c>
      <c r="G1462">
        <v>9</v>
      </c>
      <c r="H1462">
        <v>1.1000000000000001</v>
      </c>
      <c r="I1462">
        <v>99</v>
      </c>
      <c r="J1462">
        <f>I1462-I1463</f>
        <v>23</v>
      </c>
      <c r="K1462" t="str">
        <f t="shared" si="137"/>
        <v>W</v>
      </c>
      <c r="L1462" t="str">
        <f t="shared" si="134"/>
        <v>Michael</v>
      </c>
      <c r="M1462" t="str">
        <f>VLOOKUP(L1462,References!$A$2:$B$16,2,FALSE)</f>
        <v>AKCOVA</v>
      </c>
      <c r="N1462" s="19" t="str">
        <f>IF(M1462=M1463,"N","Y")</f>
        <v>Y</v>
      </c>
      <c r="O1462">
        <f>SUM(I1462:I1463)</f>
        <v>175</v>
      </c>
      <c r="P1462">
        <f t="shared" si="136"/>
        <v>76</v>
      </c>
    </row>
    <row r="1463" spans="1:16" hidden="1" x14ac:dyDescent="0.3">
      <c r="A1463" t="str">
        <f t="shared" si="135"/>
        <v>2022Russell9</v>
      </c>
      <c r="B1463">
        <f t="shared" si="132"/>
        <v>1625</v>
      </c>
      <c r="C1463">
        <f t="shared" si="133"/>
        <v>1549</v>
      </c>
      <c r="D1463" t="s">
        <v>28</v>
      </c>
      <c r="E1463" t="str">
        <f>D1462</f>
        <v>Michael</v>
      </c>
      <c r="F1463">
        <v>2022</v>
      </c>
      <c r="G1463">
        <v>9</v>
      </c>
      <c r="H1463">
        <v>1.2</v>
      </c>
      <c r="I1463">
        <v>76</v>
      </c>
      <c r="J1463">
        <f>I1463-I1462</f>
        <v>-23</v>
      </c>
      <c r="K1463" t="str">
        <f t="shared" si="137"/>
        <v>L</v>
      </c>
      <c r="L1463" t="str">
        <f t="shared" si="134"/>
        <v>Russell</v>
      </c>
      <c r="M1463" t="str">
        <f>VLOOKUP(L1463,References!$A$2:$B$16,2,FALSE)</f>
        <v>TEXAROK</v>
      </c>
      <c r="N1463" s="19" t="str">
        <f>IF(M1463=M1462,"N","Y")</f>
        <v>Y</v>
      </c>
      <c r="O1463">
        <f>SUM(I1462:I1463)</f>
        <v>175</v>
      </c>
      <c r="P1463">
        <f t="shared" si="136"/>
        <v>99</v>
      </c>
    </row>
    <row r="1464" spans="1:16" hidden="1" x14ac:dyDescent="0.3">
      <c r="A1464" t="str">
        <f t="shared" si="135"/>
        <v>2022BR9</v>
      </c>
      <c r="B1464">
        <f t="shared" si="132"/>
        <v>1434</v>
      </c>
      <c r="C1464">
        <f t="shared" si="133"/>
        <v>1951</v>
      </c>
      <c r="D1464" t="s">
        <v>25</v>
      </c>
      <c r="E1464" t="str">
        <f>D1465</f>
        <v>David</v>
      </c>
      <c r="F1464">
        <v>2022</v>
      </c>
      <c r="G1464">
        <v>9</v>
      </c>
      <c r="H1464">
        <v>2.1</v>
      </c>
      <c r="I1464">
        <v>59</v>
      </c>
      <c r="J1464">
        <f>I1464-I1465</f>
        <v>-15</v>
      </c>
      <c r="K1464" t="str">
        <f t="shared" si="137"/>
        <v>L</v>
      </c>
      <c r="L1464" t="str">
        <f t="shared" si="134"/>
        <v>BR</v>
      </c>
      <c r="M1464" t="str">
        <f>VLOOKUP(L1464,References!$A$2:$B$16,2,FALSE)</f>
        <v>AKCOVA</v>
      </c>
      <c r="N1464" s="19" t="str">
        <f>IF(M1464=M1465,"N","Y")</f>
        <v>Y</v>
      </c>
      <c r="O1464">
        <f>SUM(I1464:I1465)</f>
        <v>133</v>
      </c>
      <c r="P1464">
        <f t="shared" si="136"/>
        <v>74</v>
      </c>
    </row>
    <row r="1465" spans="1:16" hidden="1" x14ac:dyDescent="0.3">
      <c r="A1465" t="str">
        <f t="shared" si="135"/>
        <v>2022David9</v>
      </c>
      <c r="B1465">
        <f t="shared" si="132"/>
        <v>639</v>
      </c>
      <c r="C1465">
        <f t="shared" si="133"/>
        <v>1618</v>
      </c>
      <c r="D1465" t="s">
        <v>29</v>
      </c>
      <c r="E1465" t="str">
        <f>D1464</f>
        <v>BR</v>
      </c>
      <c r="F1465">
        <v>2022</v>
      </c>
      <c r="G1465">
        <v>9</v>
      </c>
      <c r="H1465">
        <v>2.2000000000000002</v>
      </c>
      <c r="I1465">
        <v>74</v>
      </c>
      <c r="J1465">
        <f>I1465-I1464</f>
        <v>15</v>
      </c>
      <c r="K1465" t="str">
        <f t="shared" si="137"/>
        <v>W</v>
      </c>
      <c r="L1465" t="str">
        <f t="shared" si="134"/>
        <v>David</v>
      </c>
      <c r="M1465" t="str">
        <f>VLOOKUP(L1465,References!$A$2:$B$16,2,FALSE)</f>
        <v>TEXAROK</v>
      </c>
      <c r="N1465" s="19" t="str">
        <f>IF(M1465=M1464,"N","Y")</f>
        <v>Y</v>
      </c>
      <c r="O1465">
        <f>SUM(I1464:I1465)</f>
        <v>133</v>
      </c>
      <c r="P1465">
        <f t="shared" si="136"/>
        <v>59</v>
      </c>
    </row>
    <row r="1466" spans="1:16" hidden="1" x14ac:dyDescent="0.3">
      <c r="A1466" t="str">
        <f t="shared" si="135"/>
        <v>2022Arnold9</v>
      </c>
      <c r="B1466">
        <f t="shared" si="132"/>
        <v>639</v>
      </c>
      <c r="C1466">
        <f t="shared" si="133"/>
        <v>1210</v>
      </c>
      <c r="D1466" t="s">
        <v>227</v>
      </c>
      <c r="E1466" t="str">
        <f>D1467</f>
        <v>Emily</v>
      </c>
      <c r="F1466">
        <v>2022</v>
      </c>
      <c r="G1466">
        <v>9</v>
      </c>
      <c r="H1466">
        <v>3.1</v>
      </c>
      <c r="I1466">
        <v>85</v>
      </c>
      <c r="J1466">
        <f>I1466-I1467</f>
        <v>15</v>
      </c>
      <c r="K1466" t="str">
        <f t="shared" si="137"/>
        <v>W</v>
      </c>
      <c r="L1466" t="str">
        <f t="shared" si="134"/>
        <v>Arnold</v>
      </c>
      <c r="M1466" t="str">
        <f>VLOOKUP(L1466,References!$A$2:$B$16,2,FALSE)</f>
        <v>AKCOVA</v>
      </c>
      <c r="N1466" s="19" t="str">
        <f>IF(M1466=M1467,"N","Y")</f>
        <v>Y</v>
      </c>
      <c r="O1466">
        <f>SUM(I1466:I1467)</f>
        <v>155</v>
      </c>
      <c r="P1466">
        <f t="shared" si="136"/>
        <v>70</v>
      </c>
    </row>
    <row r="1467" spans="1:16" hidden="1" x14ac:dyDescent="0.3">
      <c r="A1467" t="str">
        <f t="shared" si="135"/>
        <v>2022Emily9</v>
      </c>
      <c r="B1467">
        <f t="shared" si="132"/>
        <v>1434</v>
      </c>
      <c r="C1467">
        <f t="shared" si="133"/>
        <v>1738</v>
      </c>
      <c r="D1467" t="s">
        <v>43</v>
      </c>
      <c r="E1467" t="str">
        <f>D1466</f>
        <v>Arnold</v>
      </c>
      <c r="F1467">
        <v>2022</v>
      </c>
      <c r="G1467">
        <v>9</v>
      </c>
      <c r="H1467">
        <v>3.2</v>
      </c>
      <c r="I1467">
        <v>70</v>
      </c>
      <c r="J1467">
        <f>I1467-I1466</f>
        <v>-15</v>
      </c>
      <c r="K1467" t="str">
        <f t="shared" si="137"/>
        <v>L</v>
      </c>
      <c r="L1467" t="str">
        <f t="shared" si="134"/>
        <v>Emily</v>
      </c>
      <c r="M1467" t="str">
        <f>VLOOKUP(L1467,References!$A$2:$B$16,2,FALSE)</f>
        <v>TEXAROK</v>
      </c>
      <c r="N1467" s="19" t="str">
        <f>IF(M1467=M1466,"N","Y")</f>
        <v>Y</v>
      </c>
      <c r="O1467">
        <f>SUM(I1466:I1467)</f>
        <v>155</v>
      </c>
      <c r="P1467">
        <f t="shared" si="136"/>
        <v>85</v>
      </c>
    </row>
    <row r="1468" spans="1:16" hidden="1" x14ac:dyDescent="0.3">
      <c r="A1468" t="str">
        <f t="shared" si="135"/>
        <v>2022Charles9</v>
      </c>
      <c r="B1468">
        <f t="shared" si="132"/>
        <v>2024</v>
      </c>
      <c r="C1468">
        <f t="shared" si="133"/>
        <v>1241</v>
      </c>
      <c r="D1468" t="s">
        <v>48</v>
      </c>
      <c r="E1468" t="str">
        <f>D1469</f>
        <v>Brian</v>
      </c>
      <c r="F1468">
        <v>2022</v>
      </c>
      <c r="G1468">
        <v>9</v>
      </c>
      <c r="H1468">
        <v>4.0999999999999996</v>
      </c>
      <c r="I1468">
        <v>84</v>
      </c>
      <c r="J1468">
        <f>I1468-I1469</f>
        <v>-58</v>
      </c>
      <c r="K1468" t="str">
        <f t="shared" si="137"/>
        <v>L</v>
      </c>
      <c r="L1468" t="str">
        <f t="shared" si="134"/>
        <v>Charles</v>
      </c>
      <c r="M1468" t="str">
        <f>VLOOKUP(L1468,References!$A$2:$B$16,2,FALSE)</f>
        <v>AKCOVA</v>
      </c>
      <c r="N1468" s="19" t="str">
        <f>IF(M1468=M1469,"N","Y")</f>
        <v>Y</v>
      </c>
      <c r="O1468">
        <f>SUM(I1468:I1469)</f>
        <v>226</v>
      </c>
      <c r="P1468">
        <f t="shared" si="136"/>
        <v>142</v>
      </c>
    </row>
    <row r="1469" spans="1:16" hidden="1" x14ac:dyDescent="0.3">
      <c r="A1469" t="str">
        <f t="shared" si="135"/>
        <v>2022Brian9</v>
      </c>
      <c r="B1469">
        <f t="shared" si="132"/>
        <v>62</v>
      </c>
      <c r="C1469">
        <f t="shared" si="133"/>
        <v>48</v>
      </c>
      <c r="D1469" t="s">
        <v>26</v>
      </c>
      <c r="E1469" t="str">
        <f>D1468</f>
        <v>Charles</v>
      </c>
      <c r="F1469">
        <v>2022</v>
      </c>
      <c r="G1469">
        <v>9</v>
      </c>
      <c r="H1469">
        <v>4.2</v>
      </c>
      <c r="I1469">
        <v>142</v>
      </c>
      <c r="J1469">
        <f>I1469-I1468</f>
        <v>58</v>
      </c>
      <c r="K1469" t="str">
        <f t="shared" si="137"/>
        <v>W</v>
      </c>
      <c r="L1469" t="str">
        <f t="shared" si="134"/>
        <v>Brian</v>
      </c>
      <c r="M1469" t="str">
        <f>VLOOKUP(L1469,References!$A$2:$B$16,2,FALSE)</f>
        <v>TEXAROK</v>
      </c>
      <c r="N1469" s="19" t="str">
        <f>IF(M1469=M1468,"N","Y")</f>
        <v>Y</v>
      </c>
      <c r="O1469">
        <f>SUM(I1468:I1469)</f>
        <v>226</v>
      </c>
      <c r="P1469">
        <f t="shared" si="136"/>
        <v>84</v>
      </c>
    </row>
    <row r="1470" spans="1:16" hidden="1" x14ac:dyDescent="0.3">
      <c r="A1470" t="str">
        <f t="shared" si="135"/>
        <v>2022Watty9</v>
      </c>
      <c r="B1470">
        <f t="shared" si="132"/>
        <v>254</v>
      </c>
      <c r="C1470">
        <f t="shared" si="133"/>
        <v>777</v>
      </c>
      <c r="D1470" t="s">
        <v>24</v>
      </c>
      <c r="E1470" t="str">
        <f>D1471</f>
        <v>Matt</v>
      </c>
      <c r="F1470">
        <v>2022</v>
      </c>
      <c r="G1470">
        <v>9</v>
      </c>
      <c r="H1470">
        <v>5.0999999999999996</v>
      </c>
      <c r="I1470">
        <v>97</v>
      </c>
      <c r="J1470">
        <f>I1470-I1471</f>
        <v>35</v>
      </c>
      <c r="K1470" t="str">
        <f t="shared" si="137"/>
        <v>W</v>
      </c>
      <c r="L1470" t="str">
        <f t="shared" si="134"/>
        <v>Watty</v>
      </c>
      <c r="M1470" t="str">
        <f>VLOOKUP(L1470,References!$A$2:$B$16,2,FALSE)</f>
        <v>AKCOVA</v>
      </c>
      <c r="N1470" s="19" t="str">
        <f>IF(M1470=M1471,"N","Y")</f>
        <v>Y</v>
      </c>
      <c r="O1470">
        <f>SUM(I1470:I1471)</f>
        <v>159</v>
      </c>
      <c r="P1470">
        <f t="shared" si="136"/>
        <v>62</v>
      </c>
    </row>
    <row r="1471" spans="1:16" hidden="1" x14ac:dyDescent="0.3">
      <c r="A1471" t="str">
        <f t="shared" si="135"/>
        <v>2022Matt9</v>
      </c>
      <c r="B1471">
        <f t="shared" si="132"/>
        <v>1832</v>
      </c>
      <c r="C1471">
        <f t="shared" si="133"/>
        <v>1910</v>
      </c>
      <c r="D1471" t="s">
        <v>30</v>
      </c>
      <c r="E1471" t="str">
        <f>D1470</f>
        <v>Watty</v>
      </c>
      <c r="F1471">
        <v>2022</v>
      </c>
      <c r="G1471">
        <v>9</v>
      </c>
      <c r="H1471">
        <v>5.2</v>
      </c>
      <c r="I1471">
        <v>62</v>
      </c>
      <c r="J1471">
        <f>I1471-I1470</f>
        <v>-35</v>
      </c>
      <c r="K1471" t="str">
        <f t="shared" si="137"/>
        <v>L</v>
      </c>
      <c r="L1471" t="str">
        <f t="shared" si="134"/>
        <v>Matt</v>
      </c>
      <c r="M1471" t="str">
        <f>VLOOKUP(L1471,References!$A$2:$B$16,2,FALSE)</f>
        <v>TEXAROK</v>
      </c>
      <c r="N1471" s="19" t="str">
        <f>IF(M1471=M1470,"N","Y")</f>
        <v>Y</v>
      </c>
      <c r="O1471">
        <f>SUM(I1470:I1471)</f>
        <v>159</v>
      </c>
      <c r="P1471">
        <f t="shared" si="136"/>
        <v>97</v>
      </c>
    </row>
    <row r="1472" spans="1:16" hidden="1" x14ac:dyDescent="0.3">
      <c r="A1472" t="str">
        <f t="shared" si="135"/>
        <v>2022Mark9</v>
      </c>
      <c r="B1472">
        <f t="shared" si="132"/>
        <v>1775</v>
      </c>
      <c r="C1472">
        <f t="shared" si="133"/>
        <v>1318</v>
      </c>
      <c r="D1472" t="s">
        <v>22</v>
      </c>
      <c r="E1472" t="str">
        <f>D1473</f>
        <v>Brent</v>
      </c>
      <c r="F1472">
        <v>2022</v>
      </c>
      <c r="G1472">
        <v>9</v>
      </c>
      <c r="H1472">
        <v>6.1</v>
      </c>
      <c r="I1472">
        <v>82</v>
      </c>
      <c r="J1472">
        <f>I1472-I1473</f>
        <v>-31</v>
      </c>
      <c r="K1472" t="str">
        <f t="shared" si="137"/>
        <v>L</v>
      </c>
      <c r="L1472" t="str">
        <f t="shared" si="134"/>
        <v>Mark</v>
      </c>
      <c r="M1472" t="str">
        <f>VLOOKUP(L1472,References!$A$2:$B$16,2,FALSE)</f>
        <v>AKCOVA</v>
      </c>
      <c r="N1472" s="19" t="str">
        <f>IF(M1472=M1473,"N","Y")</f>
        <v>Y</v>
      </c>
      <c r="O1472">
        <f>SUM(I1472:I1473)</f>
        <v>195</v>
      </c>
      <c r="P1472">
        <f t="shared" si="136"/>
        <v>113</v>
      </c>
    </row>
    <row r="1473" spans="1:16" hidden="1" x14ac:dyDescent="0.3">
      <c r="A1473" t="str">
        <f t="shared" si="135"/>
        <v>2022Brent9</v>
      </c>
      <c r="B1473">
        <f t="shared" si="132"/>
        <v>297</v>
      </c>
      <c r="C1473">
        <f t="shared" si="133"/>
        <v>339</v>
      </c>
      <c r="D1473" t="s">
        <v>47</v>
      </c>
      <c r="E1473" t="str">
        <f>D1472</f>
        <v>Mark</v>
      </c>
      <c r="F1473">
        <v>2022</v>
      </c>
      <c r="G1473">
        <v>9</v>
      </c>
      <c r="H1473">
        <v>6.2</v>
      </c>
      <c r="I1473">
        <v>113</v>
      </c>
      <c r="J1473">
        <f>I1473-I1472</f>
        <v>31</v>
      </c>
      <c r="K1473" t="str">
        <f t="shared" si="137"/>
        <v>W</v>
      </c>
      <c r="L1473" t="str">
        <f t="shared" si="134"/>
        <v>Brent</v>
      </c>
      <c r="M1473" t="str">
        <f>VLOOKUP(L1473,References!$A$2:$B$16,2,FALSE)</f>
        <v>TEXAROK</v>
      </c>
      <c r="N1473" s="19" t="str">
        <f>IF(M1473=M1472,"N","Y")</f>
        <v>Y</v>
      </c>
      <c r="O1473">
        <f>SUM(I1472:I1473)</f>
        <v>195</v>
      </c>
      <c r="P1473">
        <f t="shared" si="136"/>
        <v>82</v>
      </c>
    </row>
    <row r="1474" spans="1:16" hidden="1" x14ac:dyDescent="0.3">
      <c r="A1474" t="str">
        <f t="shared" si="135"/>
        <v>2022Russell10</v>
      </c>
      <c r="B1474">
        <f t="shared" ref="B1474:B1537" si="138">RANK(J1474,diff)</f>
        <v>238</v>
      </c>
      <c r="C1474">
        <f t="shared" ref="C1474:C1537" si="139">RANK(I1474,points)</f>
        <v>540</v>
      </c>
      <c r="D1474" t="s">
        <v>28</v>
      </c>
      <c r="E1474" t="str">
        <f>D1475</f>
        <v>BR</v>
      </c>
      <c r="F1474">
        <v>2022</v>
      </c>
      <c r="G1474">
        <v>10</v>
      </c>
      <c r="H1474">
        <v>1.1000000000000001</v>
      </c>
      <c r="I1474">
        <v>105</v>
      </c>
      <c r="J1474">
        <f>I1474-I1475</f>
        <v>36</v>
      </c>
      <c r="K1474" t="str">
        <f t="shared" si="137"/>
        <v>W</v>
      </c>
      <c r="L1474" t="str">
        <f t="shared" ref="L1474:L1537" si="140">D1474</f>
        <v>Russell</v>
      </c>
      <c r="M1474" t="str">
        <f>VLOOKUP(L1474,References!$A$2:$B$16,2,FALSE)</f>
        <v>TEXAROK</v>
      </c>
      <c r="N1474" s="19" t="str">
        <f>IF(M1474=M1475,"N","Y")</f>
        <v>Y</v>
      </c>
      <c r="O1474">
        <f>SUM(I1474:I1475)</f>
        <v>174</v>
      </c>
      <c r="P1474">
        <f t="shared" si="136"/>
        <v>69</v>
      </c>
    </row>
    <row r="1475" spans="1:16" hidden="1" x14ac:dyDescent="0.3">
      <c r="A1475" t="str">
        <f t="shared" ref="A1475:A1538" si="141">F1475&amp;D1475&amp;G1475</f>
        <v>2022BR10</v>
      </c>
      <c r="B1475">
        <f t="shared" si="138"/>
        <v>1840</v>
      </c>
      <c r="C1475">
        <f t="shared" si="139"/>
        <v>1767</v>
      </c>
      <c r="D1475" t="s">
        <v>25</v>
      </c>
      <c r="E1475" t="str">
        <f>D1474</f>
        <v>Russell</v>
      </c>
      <c r="F1475">
        <v>2022</v>
      </c>
      <c r="G1475">
        <v>10</v>
      </c>
      <c r="H1475">
        <v>1.2</v>
      </c>
      <c r="I1475">
        <v>69</v>
      </c>
      <c r="J1475">
        <f>I1475-I1474</f>
        <v>-36</v>
      </c>
      <c r="K1475" t="str">
        <f t="shared" si="137"/>
        <v>L</v>
      </c>
      <c r="L1475" t="str">
        <f t="shared" si="140"/>
        <v>BR</v>
      </c>
      <c r="M1475" t="str">
        <f>VLOOKUP(L1475,References!$A$2:$B$16,2,FALSE)</f>
        <v>AKCOVA</v>
      </c>
      <c r="N1475" s="19" t="str">
        <f>IF(M1475=M1474,"N","Y")</f>
        <v>Y</v>
      </c>
      <c r="O1475">
        <f>SUM(I1474:I1475)</f>
        <v>174</v>
      </c>
      <c r="P1475">
        <f t="shared" ref="P1475:P1538" si="142">I1475-J1475</f>
        <v>105</v>
      </c>
    </row>
    <row r="1476" spans="1:16" hidden="1" x14ac:dyDescent="0.3">
      <c r="A1476" t="str">
        <f t="shared" si="141"/>
        <v>2022David10</v>
      </c>
      <c r="B1476">
        <f t="shared" si="138"/>
        <v>836</v>
      </c>
      <c r="C1476">
        <f t="shared" si="139"/>
        <v>1549</v>
      </c>
      <c r="D1476" t="s">
        <v>29</v>
      </c>
      <c r="E1476" t="str">
        <f>D1477</f>
        <v>Michael</v>
      </c>
      <c r="F1476">
        <v>2022</v>
      </c>
      <c r="G1476">
        <v>10</v>
      </c>
      <c r="H1476">
        <v>2.1</v>
      </c>
      <c r="I1476">
        <v>76</v>
      </c>
      <c r="J1476">
        <f>I1476-I1477</f>
        <v>7</v>
      </c>
      <c r="K1476" t="str">
        <f t="shared" si="137"/>
        <v>W</v>
      </c>
      <c r="L1476" t="str">
        <f t="shared" si="140"/>
        <v>David</v>
      </c>
      <c r="M1476" t="str">
        <f>VLOOKUP(L1476,References!$A$2:$B$16,2,FALSE)</f>
        <v>TEXAROK</v>
      </c>
      <c r="N1476" s="19" t="str">
        <f>IF(M1476=M1477,"N","Y")</f>
        <v>Y</v>
      </c>
      <c r="O1476">
        <f>SUM(I1476:I1477)</f>
        <v>145</v>
      </c>
      <c r="P1476">
        <f t="shared" si="142"/>
        <v>69</v>
      </c>
    </row>
    <row r="1477" spans="1:16" hidden="1" x14ac:dyDescent="0.3">
      <c r="A1477" t="str">
        <f t="shared" si="141"/>
        <v>2022Michael10</v>
      </c>
      <c r="B1477">
        <f t="shared" si="138"/>
        <v>1229</v>
      </c>
      <c r="C1477">
        <f t="shared" si="139"/>
        <v>1767</v>
      </c>
      <c r="D1477" t="s">
        <v>23</v>
      </c>
      <c r="E1477" t="str">
        <f>D1476</f>
        <v>David</v>
      </c>
      <c r="F1477">
        <v>2022</v>
      </c>
      <c r="G1477">
        <v>10</v>
      </c>
      <c r="H1477">
        <v>2.2000000000000002</v>
      </c>
      <c r="I1477">
        <v>69</v>
      </c>
      <c r="J1477">
        <f>I1477-I1476</f>
        <v>-7</v>
      </c>
      <c r="K1477" t="str">
        <f t="shared" si="137"/>
        <v>L</v>
      </c>
      <c r="L1477" t="str">
        <f t="shared" si="140"/>
        <v>Michael</v>
      </c>
      <c r="M1477" t="str">
        <f>VLOOKUP(L1477,References!$A$2:$B$16,2,FALSE)</f>
        <v>AKCOVA</v>
      </c>
      <c r="N1477" s="19" t="str">
        <f>IF(M1477=M1476,"N","Y")</f>
        <v>Y</v>
      </c>
      <c r="O1477">
        <f>SUM(I1476:I1477)</f>
        <v>145</v>
      </c>
      <c r="P1477">
        <f t="shared" si="142"/>
        <v>76</v>
      </c>
    </row>
    <row r="1478" spans="1:16" hidden="1" x14ac:dyDescent="0.3">
      <c r="A1478" t="str">
        <f t="shared" si="141"/>
        <v>2022Emily10</v>
      </c>
      <c r="B1478">
        <f t="shared" si="138"/>
        <v>1258</v>
      </c>
      <c r="C1478">
        <f t="shared" si="139"/>
        <v>1595</v>
      </c>
      <c r="D1478" t="s">
        <v>43</v>
      </c>
      <c r="E1478" t="str">
        <f>D1479</f>
        <v>Charles</v>
      </c>
      <c r="F1478">
        <v>2022</v>
      </c>
      <c r="G1478">
        <v>10</v>
      </c>
      <c r="H1478">
        <v>3.1</v>
      </c>
      <c r="I1478">
        <v>75</v>
      </c>
      <c r="J1478">
        <f>I1478-I1479</f>
        <v>-8</v>
      </c>
      <c r="K1478" t="str">
        <f t="shared" ref="K1478:K1541" si="143">IF(J1478&gt;0,"W",IF(J1478&lt;0,"L","T"))</f>
        <v>L</v>
      </c>
      <c r="L1478" t="str">
        <f t="shared" si="140"/>
        <v>Emily</v>
      </c>
      <c r="M1478" t="str">
        <f>VLOOKUP(L1478,References!$A$2:$B$16,2,FALSE)</f>
        <v>TEXAROK</v>
      </c>
      <c r="N1478" s="19" t="str">
        <f>IF(M1478=M1479,"N","Y")</f>
        <v>Y</v>
      </c>
      <c r="O1478">
        <f>SUM(I1478:I1479)</f>
        <v>158</v>
      </c>
      <c r="P1478">
        <f t="shared" si="142"/>
        <v>83</v>
      </c>
    </row>
    <row r="1479" spans="1:16" hidden="1" x14ac:dyDescent="0.3">
      <c r="A1479" t="str">
        <f t="shared" si="141"/>
        <v>2022Charles10</v>
      </c>
      <c r="B1479">
        <f t="shared" si="138"/>
        <v>803</v>
      </c>
      <c r="C1479">
        <f t="shared" si="139"/>
        <v>1282</v>
      </c>
      <c r="D1479" t="s">
        <v>48</v>
      </c>
      <c r="E1479" t="str">
        <f>D1478</f>
        <v>Emily</v>
      </c>
      <c r="F1479">
        <v>2022</v>
      </c>
      <c r="G1479">
        <v>10</v>
      </c>
      <c r="H1479">
        <v>3.2</v>
      </c>
      <c r="I1479">
        <v>83</v>
      </c>
      <c r="J1479">
        <f>I1479-I1478</f>
        <v>8</v>
      </c>
      <c r="K1479" t="str">
        <f t="shared" si="143"/>
        <v>W</v>
      </c>
      <c r="L1479" t="str">
        <f t="shared" si="140"/>
        <v>Charles</v>
      </c>
      <c r="M1479" t="str">
        <f>VLOOKUP(L1479,References!$A$2:$B$16,2,FALSE)</f>
        <v>AKCOVA</v>
      </c>
      <c r="N1479" s="19" t="str">
        <f>IF(M1479=M1478,"N","Y")</f>
        <v>Y</v>
      </c>
      <c r="O1479">
        <f>SUM(I1478:I1479)</f>
        <v>158</v>
      </c>
      <c r="P1479">
        <f t="shared" si="142"/>
        <v>75</v>
      </c>
    </row>
    <row r="1480" spans="1:16" hidden="1" x14ac:dyDescent="0.3">
      <c r="A1480" t="str">
        <f t="shared" si="141"/>
        <v>2022Brian10</v>
      </c>
      <c r="B1480">
        <f t="shared" si="138"/>
        <v>1197</v>
      </c>
      <c r="C1480">
        <f t="shared" si="139"/>
        <v>992</v>
      </c>
      <c r="D1480" t="s">
        <v>26</v>
      </c>
      <c r="E1480" t="str">
        <f>D1481</f>
        <v>Watty</v>
      </c>
      <c r="F1480">
        <v>2022</v>
      </c>
      <c r="G1480">
        <v>10</v>
      </c>
      <c r="H1480">
        <v>4.0999999999999996</v>
      </c>
      <c r="I1480">
        <v>91</v>
      </c>
      <c r="J1480">
        <f>I1480-I1481</f>
        <v>-6</v>
      </c>
      <c r="K1480" t="str">
        <f t="shared" si="143"/>
        <v>L</v>
      </c>
      <c r="L1480" t="str">
        <f t="shared" si="140"/>
        <v>Brian</v>
      </c>
      <c r="M1480" t="str">
        <f>VLOOKUP(L1480,References!$A$2:$B$16,2,FALSE)</f>
        <v>TEXAROK</v>
      </c>
      <c r="N1480" s="19" t="str">
        <f>IF(M1480=M1481,"N","Y")</f>
        <v>Y</v>
      </c>
      <c r="O1480">
        <f>SUM(I1480:I1481)</f>
        <v>188</v>
      </c>
      <c r="P1480">
        <f t="shared" si="142"/>
        <v>97</v>
      </c>
    </row>
    <row r="1481" spans="1:16" hidden="1" x14ac:dyDescent="0.3">
      <c r="A1481" t="str">
        <f t="shared" si="141"/>
        <v>2022Watty10</v>
      </c>
      <c r="B1481">
        <f t="shared" si="138"/>
        <v>865</v>
      </c>
      <c r="C1481">
        <f t="shared" si="139"/>
        <v>777</v>
      </c>
      <c r="D1481" t="s">
        <v>24</v>
      </c>
      <c r="E1481" t="str">
        <f>D1480</f>
        <v>Brian</v>
      </c>
      <c r="F1481">
        <v>2022</v>
      </c>
      <c r="G1481">
        <v>10</v>
      </c>
      <c r="H1481">
        <v>4.2</v>
      </c>
      <c r="I1481">
        <v>97</v>
      </c>
      <c r="J1481">
        <f>I1481-I1480</f>
        <v>6</v>
      </c>
      <c r="K1481" t="str">
        <f t="shared" si="143"/>
        <v>W</v>
      </c>
      <c r="L1481" t="str">
        <f t="shared" si="140"/>
        <v>Watty</v>
      </c>
      <c r="M1481" t="str">
        <f>VLOOKUP(L1481,References!$A$2:$B$16,2,FALSE)</f>
        <v>AKCOVA</v>
      </c>
      <c r="N1481" s="19" t="str">
        <f>IF(M1481=M1480,"N","Y")</f>
        <v>Y</v>
      </c>
      <c r="O1481">
        <f>SUM(I1480:I1481)</f>
        <v>188</v>
      </c>
      <c r="P1481">
        <f t="shared" si="142"/>
        <v>91</v>
      </c>
    </row>
    <row r="1482" spans="1:16" hidden="1" x14ac:dyDescent="0.3">
      <c r="A1482" t="str">
        <f t="shared" si="141"/>
        <v>2022Matt10</v>
      </c>
      <c r="B1482">
        <f t="shared" si="138"/>
        <v>1055</v>
      </c>
      <c r="C1482">
        <f t="shared" si="139"/>
        <v>1648</v>
      </c>
      <c r="D1482" t="s">
        <v>30</v>
      </c>
      <c r="E1482" t="str">
        <f>D1483</f>
        <v>Mark</v>
      </c>
      <c r="F1482">
        <v>2022</v>
      </c>
      <c r="G1482">
        <v>10</v>
      </c>
      <c r="H1482">
        <v>5.0999999999999996</v>
      </c>
      <c r="I1482">
        <v>73</v>
      </c>
      <c r="J1482">
        <f>I1482-I1483</f>
        <v>-1</v>
      </c>
      <c r="K1482" t="str">
        <f t="shared" si="143"/>
        <v>L</v>
      </c>
      <c r="L1482" t="str">
        <f t="shared" si="140"/>
        <v>Matt</v>
      </c>
      <c r="M1482" t="str">
        <f>VLOOKUP(L1482,References!$A$2:$B$16,2,FALSE)</f>
        <v>TEXAROK</v>
      </c>
      <c r="N1482" s="19" t="str">
        <f>IF(M1482=M1483,"N","Y")</f>
        <v>Y</v>
      </c>
      <c r="O1482">
        <f>SUM(I1482:I1483)</f>
        <v>147</v>
      </c>
      <c r="P1482">
        <f t="shared" si="142"/>
        <v>74</v>
      </c>
    </row>
    <row r="1483" spans="1:16" hidden="1" x14ac:dyDescent="0.3">
      <c r="A1483" t="str">
        <f t="shared" si="141"/>
        <v>2022Mark10</v>
      </c>
      <c r="B1483">
        <f t="shared" si="138"/>
        <v>1004</v>
      </c>
      <c r="C1483">
        <f t="shared" si="139"/>
        <v>1618</v>
      </c>
      <c r="D1483" t="s">
        <v>22</v>
      </c>
      <c r="E1483" t="str">
        <f>D1482</f>
        <v>Matt</v>
      </c>
      <c r="F1483">
        <v>2022</v>
      </c>
      <c r="G1483">
        <v>10</v>
      </c>
      <c r="H1483">
        <v>5.2</v>
      </c>
      <c r="I1483">
        <v>74</v>
      </c>
      <c r="J1483">
        <f>I1483-I1482</f>
        <v>1</v>
      </c>
      <c r="K1483" t="str">
        <f t="shared" si="143"/>
        <v>W</v>
      </c>
      <c r="L1483" t="str">
        <f t="shared" si="140"/>
        <v>Mark</v>
      </c>
      <c r="M1483" t="str">
        <f>VLOOKUP(L1483,References!$A$2:$B$16,2,FALSE)</f>
        <v>AKCOVA</v>
      </c>
      <c r="N1483" s="19" t="str">
        <f>IF(M1483=M1482,"N","Y")</f>
        <v>Y</v>
      </c>
      <c r="O1483">
        <f>SUM(I1482:I1483)</f>
        <v>147</v>
      </c>
      <c r="P1483">
        <f t="shared" si="142"/>
        <v>73</v>
      </c>
    </row>
    <row r="1484" spans="1:16" hidden="1" x14ac:dyDescent="0.3">
      <c r="A1484" t="str">
        <f t="shared" si="141"/>
        <v>2022Brent10</v>
      </c>
      <c r="B1484">
        <f t="shared" si="138"/>
        <v>450</v>
      </c>
      <c r="C1484">
        <f t="shared" si="139"/>
        <v>305</v>
      </c>
      <c r="D1484" t="s">
        <v>47</v>
      </c>
      <c r="E1484" t="str">
        <f>D1485</f>
        <v>Arnold</v>
      </c>
      <c r="F1484">
        <v>2022</v>
      </c>
      <c r="G1484">
        <v>10</v>
      </c>
      <c r="H1484">
        <v>6.1</v>
      </c>
      <c r="I1484">
        <v>115</v>
      </c>
      <c r="J1484">
        <f>I1484-I1485</f>
        <v>23</v>
      </c>
      <c r="K1484" t="str">
        <f t="shared" si="143"/>
        <v>W</v>
      </c>
      <c r="L1484" t="str">
        <f t="shared" si="140"/>
        <v>Brent</v>
      </c>
      <c r="M1484" t="str">
        <f>VLOOKUP(L1484,References!$A$2:$B$16,2,FALSE)</f>
        <v>TEXAROK</v>
      </c>
      <c r="N1484" s="19" t="str">
        <f>IF(M1484=M1485,"N","Y")</f>
        <v>Y</v>
      </c>
      <c r="O1484">
        <f>SUM(I1484:I1485)</f>
        <v>207</v>
      </c>
      <c r="P1484">
        <f t="shared" si="142"/>
        <v>92</v>
      </c>
    </row>
    <row r="1485" spans="1:16" hidden="1" x14ac:dyDescent="0.3">
      <c r="A1485" t="str">
        <f t="shared" si="141"/>
        <v>2022Arnold10</v>
      </c>
      <c r="B1485">
        <f t="shared" si="138"/>
        <v>1625</v>
      </c>
      <c r="C1485">
        <f t="shared" si="139"/>
        <v>958</v>
      </c>
      <c r="D1485" t="s">
        <v>227</v>
      </c>
      <c r="E1485" t="str">
        <f>D1484</f>
        <v>Brent</v>
      </c>
      <c r="F1485">
        <v>2022</v>
      </c>
      <c r="G1485">
        <v>10</v>
      </c>
      <c r="H1485">
        <v>6.2</v>
      </c>
      <c r="I1485">
        <v>92</v>
      </c>
      <c r="J1485">
        <f>I1485-I1484</f>
        <v>-23</v>
      </c>
      <c r="K1485" t="str">
        <f t="shared" si="143"/>
        <v>L</v>
      </c>
      <c r="L1485" t="str">
        <f t="shared" si="140"/>
        <v>Arnold</v>
      </c>
      <c r="M1485" t="str">
        <f>VLOOKUP(L1485,References!$A$2:$B$16,2,FALSE)</f>
        <v>AKCOVA</v>
      </c>
      <c r="N1485" s="19" t="str">
        <f>IF(M1485=M1484,"N","Y")</f>
        <v>Y</v>
      </c>
      <c r="O1485">
        <f>SUM(I1484:I1485)</f>
        <v>207</v>
      </c>
      <c r="P1485">
        <f t="shared" si="142"/>
        <v>115</v>
      </c>
    </row>
    <row r="1486" spans="1:16" hidden="1" x14ac:dyDescent="0.3">
      <c r="A1486" t="str">
        <f t="shared" si="141"/>
        <v>2022Arnold11</v>
      </c>
      <c r="B1486">
        <f t="shared" si="138"/>
        <v>341</v>
      </c>
      <c r="C1486">
        <f t="shared" si="139"/>
        <v>275</v>
      </c>
      <c r="D1486" t="s">
        <v>227</v>
      </c>
      <c r="E1486" t="str">
        <f>D1487</f>
        <v>Russell</v>
      </c>
      <c r="F1486">
        <v>2022</v>
      </c>
      <c r="G1486">
        <v>11</v>
      </c>
      <c r="H1486">
        <v>1.1000000000000001</v>
      </c>
      <c r="I1486">
        <v>117</v>
      </c>
      <c r="J1486">
        <f>I1486-I1487</f>
        <v>29</v>
      </c>
      <c r="K1486" t="str">
        <f t="shared" si="143"/>
        <v>W</v>
      </c>
      <c r="L1486" t="str">
        <f t="shared" si="140"/>
        <v>Arnold</v>
      </c>
      <c r="M1486" t="str">
        <f>VLOOKUP(L1486,References!$A$2:$B$16,2,FALSE)</f>
        <v>AKCOVA</v>
      </c>
      <c r="N1486" s="19" t="str">
        <f>IF(M1486=M1487,"N","Y")</f>
        <v>Y</v>
      </c>
      <c r="O1486">
        <f>SUM(I1486:I1487)</f>
        <v>205</v>
      </c>
      <c r="P1486">
        <f t="shared" si="142"/>
        <v>88</v>
      </c>
    </row>
    <row r="1487" spans="1:16" hidden="1" x14ac:dyDescent="0.3">
      <c r="A1487" t="str">
        <f t="shared" si="141"/>
        <v>2022Russell11</v>
      </c>
      <c r="B1487">
        <f t="shared" si="138"/>
        <v>1738</v>
      </c>
      <c r="C1487">
        <f t="shared" si="139"/>
        <v>1100</v>
      </c>
      <c r="D1487" t="s">
        <v>28</v>
      </c>
      <c r="E1487" t="str">
        <f>D1486</f>
        <v>Arnold</v>
      </c>
      <c r="F1487">
        <v>2022</v>
      </c>
      <c r="G1487">
        <v>11</v>
      </c>
      <c r="H1487">
        <v>1.2</v>
      </c>
      <c r="I1487">
        <v>88</v>
      </c>
      <c r="J1487">
        <f>I1487-I1486</f>
        <v>-29</v>
      </c>
      <c r="K1487" t="str">
        <f t="shared" si="143"/>
        <v>L</v>
      </c>
      <c r="L1487" t="str">
        <f t="shared" si="140"/>
        <v>Russell</v>
      </c>
      <c r="M1487" t="str">
        <f>VLOOKUP(L1487,References!$A$2:$B$16,2,FALSE)</f>
        <v>TEXAROK</v>
      </c>
      <c r="N1487" s="19" t="str">
        <f>IF(M1487=M1486,"N","Y")</f>
        <v>Y</v>
      </c>
      <c r="O1487">
        <f>SUM(I1486:I1487)</f>
        <v>205</v>
      </c>
      <c r="P1487">
        <f t="shared" si="142"/>
        <v>117</v>
      </c>
    </row>
    <row r="1488" spans="1:16" hidden="1" x14ac:dyDescent="0.3">
      <c r="A1488" t="str">
        <f t="shared" si="141"/>
        <v>2022Charles11</v>
      </c>
      <c r="B1488">
        <f t="shared" si="138"/>
        <v>297</v>
      </c>
      <c r="C1488">
        <f t="shared" si="139"/>
        <v>566</v>
      </c>
      <c r="D1488" t="s">
        <v>48</v>
      </c>
      <c r="E1488" t="str">
        <f>D1489</f>
        <v>David</v>
      </c>
      <c r="F1488">
        <v>2022</v>
      </c>
      <c r="G1488">
        <v>11</v>
      </c>
      <c r="H1488">
        <v>2.1</v>
      </c>
      <c r="I1488">
        <v>104</v>
      </c>
      <c r="J1488">
        <f>I1488-I1489</f>
        <v>31</v>
      </c>
      <c r="K1488" t="str">
        <f t="shared" si="143"/>
        <v>W</v>
      </c>
      <c r="L1488" t="str">
        <f t="shared" si="140"/>
        <v>Charles</v>
      </c>
      <c r="M1488" t="str">
        <f>VLOOKUP(L1488,References!$A$2:$B$16,2,FALSE)</f>
        <v>AKCOVA</v>
      </c>
      <c r="N1488" s="19" t="str">
        <f>IF(M1488=M1489,"N","Y")</f>
        <v>Y</v>
      </c>
      <c r="O1488">
        <f>SUM(I1488:I1489)</f>
        <v>177</v>
      </c>
      <c r="P1488">
        <f t="shared" si="142"/>
        <v>73</v>
      </c>
    </row>
    <row r="1489" spans="1:16" hidden="1" x14ac:dyDescent="0.3">
      <c r="A1489" t="str">
        <f t="shared" si="141"/>
        <v>2022David11</v>
      </c>
      <c r="B1489">
        <f t="shared" si="138"/>
        <v>1775</v>
      </c>
      <c r="C1489">
        <f t="shared" si="139"/>
        <v>1648</v>
      </c>
      <c r="D1489" t="s">
        <v>29</v>
      </c>
      <c r="E1489" t="str">
        <f>D1488</f>
        <v>Charles</v>
      </c>
      <c r="F1489">
        <v>2022</v>
      </c>
      <c r="G1489">
        <v>11</v>
      </c>
      <c r="H1489">
        <v>2.2000000000000002</v>
      </c>
      <c r="I1489">
        <v>73</v>
      </c>
      <c r="J1489">
        <f>I1489-I1488</f>
        <v>-31</v>
      </c>
      <c r="K1489" t="str">
        <f t="shared" si="143"/>
        <v>L</v>
      </c>
      <c r="L1489" t="str">
        <f t="shared" si="140"/>
        <v>David</v>
      </c>
      <c r="M1489" t="str">
        <f>VLOOKUP(L1489,References!$A$2:$B$16,2,FALSE)</f>
        <v>TEXAROK</v>
      </c>
      <c r="N1489" s="19" t="str">
        <f>IF(M1489=M1488,"N","Y")</f>
        <v>Y</v>
      </c>
      <c r="O1489">
        <f>SUM(I1488:I1489)</f>
        <v>177</v>
      </c>
      <c r="P1489">
        <f t="shared" si="142"/>
        <v>104</v>
      </c>
    </row>
    <row r="1490" spans="1:16" hidden="1" x14ac:dyDescent="0.3">
      <c r="A1490" t="str">
        <f t="shared" si="141"/>
        <v>2022Watty11</v>
      </c>
      <c r="B1490">
        <f t="shared" si="138"/>
        <v>433</v>
      </c>
      <c r="C1490">
        <f t="shared" si="139"/>
        <v>631</v>
      </c>
      <c r="D1490" t="s">
        <v>24</v>
      </c>
      <c r="E1490" t="str">
        <f>D1491</f>
        <v>Emily</v>
      </c>
      <c r="F1490">
        <v>2022</v>
      </c>
      <c r="G1490">
        <v>11</v>
      </c>
      <c r="H1490">
        <v>3.1</v>
      </c>
      <c r="I1490">
        <v>102</v>
      </c>
      <c r="J1490">
        <f>I1490-I1491</f>
        <v>24</v>
      </c>
      <c r="K1490" t="str">
        <f t="shared" si="143"/>
        <v>W</v>
      </c>
      <c r="L1490" t="str">
        <f t="shared" si="140"/>
        <v>Watty</v>
      </c>
      <c r="M1490" t="str">
        <f>VLOOKUP(L1490,References!$A$2:$B$16,2,FALSE)</f>
        <v>AKCOVA</v>
      </c>
      <c r="N1490" s="19" t="str">
        <f>IF(M1490=M1491,"N","Y")</f>
        <v>Y</v>
      </c>
      <c r="O1490">
        <f>SUM(I1490:I1491)</f>
        <v>180</v>
      </c>
      <c r="P1490">
        <f t="shared" si="142"/>
        <v>78</v>
      </c>
    </row>
    <row r="1491" spans="1:16" hidden="1" x14ac:dyDescent="0.3">
      <c r="A1491" t="str">
        <f t="shared" si="141"/>
        <v>2022Emily11</v>
      </c>
      <c r="B1491">
        <f t="shared" si="138"/>
        <v>1644</v>
      </c>
      <c r="C1491">
        <f t="shared" si="139"/>
        <v>1468</v>
      </c>
      <c r="D1491" t="s">
        <v>43</v>
      </c>
      <c r="E1491" t="str">
        <f>D1490</f>
        <v>Watty</v>
      </c>
      <c r="F1491">
        <v>2022</v>
      </c>
      <c r="G1491">
        <v>11</v>
      </c>
      <c r="H1491">
        <v>3.2</v>
      </c>
      <c r="I1491">
        <v>78</v>
      </c>
      <c r="J1491">
        <f>I1491-I1490</f>
        <v>-24</v>
      </c>
      <c r="K1491" t="str">
        <f t="shared" si="143"/>
        <v>L</v>
      </c>
      <c r="L1491" t="str">
        <f t="shared" si="140"/>
        <v>Emily</v>
      </c>
      <c r="M1491" t="str">
        <f>VLOOKUP(L1491,References!$A$2:$B$16,2,FALSE)</f>
        <v>TEXAROK</v>
      </c>
      <c r="N1491" s="19" t="str">
        <f>IF(M1491=M1490,"N","Y")</f>
        <v>Y</v>
      </c>
      <c r="O1491">
        <f>SUM(I1490:I1491)</f>
        <v>180</v>
      </c>
      <c r="P1491">
        <f t="shared" si="142"/>
        <v>102</v>
      </c>
    </row>
    <row r="1492" spans="1:16" hidden="1" x14ac:dyDescent="0.3">
      <c r="A1492" t="str">
        <f t="shared" si="141"/>
        <v>2022Mark11</v>
      </c>
      <c r="B1492">
        <f t="shared" si="138"/>
        <v>450</v>
      </c>
      <c r="C1492">
        <f t="shared" si="139"/>
        <v>631</v>
      </c>
      <c r="D1492" t="s">
        <v>22</v>
      </c>
      <c r="E1492" t="str">
        <f>D1493</f>
        <v>Brian</v>
      </c>
      <c r="F1492">
        <v>2022</v>
      </c>
      <c r="G1492">
        <v>11</v>
      </c>
      <c r="H1492">
        <v>4.0999999999999996</v>
      </c>
      <c r="I1492">
        <v>102</v>
      </c>
      <c r="J1492">
        <f>I1492-I1493</f>
        <v>23</v>
      </c>
      <c r="K1492" t="str">
        <f t="shared" si="143"/>
        <v>W</v>
      </c>
      <c r="L1492" t="str">
        <f t="shared" si="140"/>
        <v>Mark</v>
      </c>
      <c r="M1492" t="str">
        <f>VLOOKUP(L1492,References!$A$2:$B$16,2,FALSE)</f>
        <v>AKCOVA</v>
      </c>
      <c r="N1492" s="19" t="str">
        <f>IF(M1492=M1493,"N","Y")</f>
        <v>Y</v>
      </c>
      <c r="O1492">
        <f>SUM(I1492:I1493)</f>
        <v>181</v>
      </c>
      <c r="P1492">
        <f t="shared" si="142"/>
        <v>79</v>
      </c>
    </row>
    <row r="1493" spans="1:16" hidden="1" x14ac:dyDescent="0.3">
      <c r="A1493" t="str">
        <f t="shared" si="141"/>
        <v>2022Brian11</v>
      </c>
      <c r="B1493">
        <f t="shared" si="138"/>
        <v>1625</v>
      </c>
      <c r="C1493">
        <f t="shared" si="139"/>
        <v>1439</v>
      </c>
      <c r="D1493" t="s">
        <v>26</v>
      </c>
      <c r="E1493" t="str">
        <f>D1492</f>
        <v>Mark</v>
      </c>
      <c r="F1493">
        <v>2022</v>
      </c>
      <c r="G1493">
        <v>11</v>
      </c>
      <c r="H1493">
        <v>4.2</v>
      </c>
      <c r="I1493">
        <v>79</v>
      </c>
      <c r="J1493">
        <f>I1493-I1492</f>
        <v>-23</v>
      </c>
      <c r="K1493" t="str">
        <f t="shared" si="143"/>
        <v>L</v>
      </c>
      <c r="L1493" t="str">
        <f t="shared" si="140"/>
        <v>Brian</v>
      </c>
      <c r="M1493" t="str">
        <f>VLOOKUP(L1493,References!$A$2:$B$16,2,FALSE)</f>
        <v>TEXAROK</v>
      </c>
      <c r="N1493" s="19" t="str">
        <f>IF(M1493=M1492,"N","Y")</f>
        <v>Y</v>
      </c>
      <c r="O1493">
        <f>SUM(I1492:I1493)</f>
        <v>181</v>
      </c>
      <c r="P1493">
        <f t="shared" si="142"/>
        <v>102</v>
      </c>
    </row>
    <row r="1494" spans="1:16" hidden="1" x14ac:dyDescent="0.3">
      <c r="A1494" t="str">
        <f t="shared" si="141"/>
        <v>2022Michael11</v>
      </c>
      <c r="B1494">
        <f t="shared" si="138"/>
        <v>1381</v>
      </c>
      <c r="C1494">
        <f t="shared" si="139"/>
        <v>1717</v>
      </c>
      <c r="D1494" t="s">
        <v>23</v>
      </c>
      <c r="E1494" t="str">
        <f>D1495</f>
        <v>Matt</v>
      </c>
      <c r="F1494">
        <v>2022</v>
      </c>
      <c r="G1494">
        <v>11</v>
      </c>
      <c r="H1494">
        <v>5.0999999999999996</v>
      </c>
      <c r="I1494">
        <v>71</v>
      </c>
      <c r="J1494">
        <f>I1494-I1495</f>
        <v>-13</v>
      </c>
      <c r="K1494" t="str">
        <f t="shared" si="143"/>
        <v>L</v>
      </c>
      <c r="L1494" t="str">
        <f t="shared" si="140"/>
        <v>Michael</v>
      </c>
      <c r="M1494" t="str">
        <f>VLOOKUP(L1494,References!$A$2:$B$16,2,FALSE)</f>
        <v>AKCOVA</v>
      </c>
      <c r="N1494" s="19" t="str">
        <f>IF(M1494=M1495,"N","Y")</f>
        <v>Y</v>
      </c>
      <c r="O1494">
        <f>SUM(I1494:I1495)</f>
        <v>155</v>
      </c>
      <c r="P1494">
        <f t="shared" si="142"/>
        <v>84</v>
      </c>
    </row>
    <row r="1495" spans="1:16" hidden="1" x14ac:dyDescent="0.3">
      <c r="A1495" t="str">
        <f t="shared" si="141"/>
        <v>2022Matt11</v>
      </c>
      <c r="B1495">
        <f t="shared" si="138"/>
        <v>685</v>
      </c>
      <c r="C1495">
        <f t="shared" si="139"/>
        <v>1241</v>
      </c>
      <c r="D1495" t="s">
        <v>30</v>
      </c>
      <c r="E1495" t="str">
        <f>D1494</f>
        <v>Michael</v>
      </c>
      <c r="F1495">
        <v>2022</v>
      </c>
      <c r="G1495">
        <v>11</v>
      </c>
      <c r="H1495">
        <v>5.2</v>
      </c>
      <c r="I1495">
        <v>84</v>
      </c>
      <c r="J1495">
        <f>I1495-I1494</f>
        <v>13</v>
      </c>
      <c r="K1495" t="str">
        <f t="shared" si="143"/>
        <v>W</v>
      </c>
      <c r="L1495" t="str">
        <f t="shared" si="140"/>
        <v>Matt</v>
      </c>
      <c r="M1495" t="str">
        <f>VLOOKUP(L1495,References!$A$2:$B$16,2,FALSE)</f>
        <v>TEXAROK</v>
      </c>
      <c r="N1495" s="19" t="str">
        <f>IF(M1495=M1494,"N","Y")</f>
        <v>Y</v>
      </c>
      <c r="O1495">
        <f>SUM(I1494:I1495)</f>
        <v>155</v>
      </c>
      <c r="P1495">
        <f t="shared" si="142"/>
        <v>71</v>
      </c>
    </row>
    <row r="1496" spans="1:16" hidden="1" x14ac:dyDescent="0.3">
      <c r="A1496" t="str">
        <f t="shared" si="141"/>
        <v>2022BR11</v>
      </c>
      <c r="B1496">
        <f t="shared" si="138"/>
        <v>1258</v>
      </c>
      <c r="C1496">
        <f t="shared" si="139"/>
        <v>1648</v>
      </c>
      <c r="D1496" t="s">
        <v>25</v>
      </c>
      <c r="E1496" t="str">
        <f>D1497</f>
        <v>Brent</v>
      </c>
      <c r="F1496">
        <v>2022</v>
      </c>
      <c r="G1496">
        <v>11</v>
      </c>
      <c r="H1496">
        <v>6.1</v>
      </c>
      <c r="I1496">
        <v>73</v>
      </c>
      <c r="J1496">
        <f>I1496-I1497</f>
        <v>-8</v>
      </c>
      <c r="K1496" t="str">
        <f t="shared" si="143"/>
        <v>L</v>
      </c>
      <c r="L1496" t="str">
        <f t="shared" si="140"/>
        <v>BR</v>
      </c>
      <c r="M1496" t="str">
        <f>VLOOKUP(L1496,References!$A$2:$B$16,2,FALSE)</f>
        <v>AKCOVA</v>
      </c>
      <c r="N1496" s="19" t="str">
        <f>IF(M1496=M1497,"N","Y")</f>
        <v>Y</v>
      </c>
      <c r="O1496">
        <f>SUM(I1496:I1497)</f>
        <v>154</v>
      </c>
      <c r="P1496">
        <f t="shared" si="142"/>
        <v>81</v>
      </c>
    </row>
    <row r="1497" spans="1:16" hidden="1" x14ac:dyDescent="0.3">
      <c r="A1497" t="str">
        <f t="shared" si="141"/>
        <v>2022Brent11</v>
      </c>
      <c r="B1497">
        <f t="shared" si="138"/>
        <v>803</v>
      </c>
      <c r="C1497">
        <f t="shared" si="139"/>
        <v>1365</v>
      </c>
      <c r="D1497" t="s">
        <v>47</v>
      </c>
      <c r="E1497" t="str">
        <f>D1496</f>
        <v>BR</v>
      </c>
      <c r="F1497">
        <v>2022</v>
      </c>
      <c r="G1497">
        <v>11</v>
      </c>
      <c r="H1497">
        <v>6.2</v>
      </c>
      <c r="I1497">
        <v>81</v>
      </c>
      <c r="J1497">
        <f>I1497-I1496</f>
        <v>8</v>
      </c>
      <c r="K1497" t="str">
        <f t="shared" si="143"/>
        <v>W</v>
      </c>
      <c r="L1497" t="str">
        <f t="shared" si="140"/>
        <v>Brent</v>
      </c>
      <c r="M1497" t="str">
        <f>VLOOKUP(L1497,References!$A$2:$B$16,2,FALSE)</f>
        <v>TEXAROK</v>
      </c>
      <c r="N1497" s="19" t="str">
        <f>IF(M1497=M1496,"N","Y")</f>
        <v>Y</v>
      </c>
      <c r="O1497">
        <f>SUM(I1496:I1497)</f>
        <v>154</v>
      </c>
      <c r="P1497">
        <f t="shared" si="142"/>
        <v>73</v>
      </c>
    </row>
    <row r="1498" spans="1:16" hidden="1" x14ac:dyDescent="0.3">
      <c r="A1498" t="str">
        <f t="shared" si="141"/>
        <v>2022Russell12</v>
      </c>
      <c r="B1498">
        <f t="shared" si="138"/>
        <v>1145</v>
      </c>
      <c r="C1498">
        <f t="shared" si="139"/>
        <v>1100</v>
      </c>
      <c r="D1498" t="s">
        <v>28</v>
      </c>
      <c r="E1498" t="str">
        <f>D1499</f>
        <v>Charles</v>
      </c>
      <c r="F1498">
        <v>2022</v>
      </c>
      <c r="G1498">
        <v>12</v>
      </c>
      <c r="H1498">
        <v>1.1000000000000001</v>
      </c>
      <c r="I1498">
        <v>88</v>
      </c>
      <c r="J1498">
        <f>I1498-I1499</f>
        <v>-4</v>
      </c>
      <c r="K1498" t="str">
        <f t="shared" si="143"/>
        <v>L</v>
      </c>
      <c r="L1498" t="str">
        <f t="shared" si="140"/>
        <v>Russell</v>
      </c>
      <c r="M1498" t="str">
        <f>VLOOKUP(L1498,References!$A$2:$B$16,2,FALSE)</f>
        <v>TEXAROK</v>
      </c>
      <c r="N1498" s="19" t="str">
        <f>IF(M1498=M1499,"N","Y")</f>
        <v>Y</v>
      </c>
      <c r="O1498">
        <f>SUM(I1498:I1499)</f>
        <v>180</v>
      </c>
      <c r="P1498">
        <f t="shared" si="142"/>
        <v>92</v>
      </c>
    </row>
    <row r="1499" spans="1:16" hidden="1" x14ac:dyDescent="0.3">
      <c r="A1499" t="str">
        <f t="shared" si="141"/>
        <v>2022Charles12</v>
      </c>
      <c r="B1499">
        <f t="shared" si="138"/>
        <v>917</v>
      </c>
      <c r="C1499">
        <f t="shared" si="139"/>
        <v>958</v>
      </c>
      <c r="D1499" t="s">
        <v>48</v>
      </c>
      <c r="E1499" t="str">
        <f>D1498</f>
        <v>Russell</v>
      </c>
      <c r="F1499">
        <v>2022</v>
      </c>
      <c r="G1499">
        <v>12</v>
      </c>
      <c r="H1499">
        <v>1.2</v>
      </c>
      <c r="I1499">
        <v>92</v>
      </c>
      <c r="J1499">
        <f>I1499-I1498</f>
        <v>4</v>
      </c>
      <c r="K1499" t="str">
        <f t="shared" si="143"/>
        <v>W</v>
      </c>
      <c r="L1499" t="str">
        <f t="shared" si="140"/>
        <v>Charles</v>
      </c>
      <c r="M1499" t="str">
        <f>VLOOKUP(L1499,References!$A$2:$B$16,2,FALSE)</f>
        <v>AKCOVA</v>
      </c>
      <c r="N1499" s="19" t="str">
        <f>IF(M1499=M1498,"N","Y")</f>
        <v>Y</v>
      </c>
      <c r="O1499">
        <f>SUM(I1498:I1499)</f>
        <v>180</v>
      </c>
      <c r="P1499">
        <f t="shared" si="142"/>
        <v>88</v>
      </c>
    </row>
    <row r="1500" spans="1:16" hidden="1" x14ac:dyDescent="0.3">
      <c r="A1500" t="str">
        <f t="shared" si="141"/>
        <v>2022David12</v>
      </c>
      <c r="B1500">
        <f t="shared" si="138"/>
        <v>1055</v>
      </c>
      <c r="C1500">
        <f t="shared" si="139"/>
        <v>857</v>
      </c>
      <c r="D1500" t="s">
        <v>29</v>
      </c>
      <c r="E1500" t="str">
        <f>D1501</f>
        <v>Arnold</v>
      </c>
      <c r="F1500">
        <v>2022</v>
      </c>
      <c r="G1500">
        <v>12</v>
      </c>
      <c r="H1500">
        <v>2.1</v>
      </c>
      <c r="I1500">
        <v>95</v>
      </c>
      <c r="J1500">
        <f>I1500-I1501</f>
        <v>-1</v>
      </c>
      <c r="K1500" t="str">
        <f t="shared" si="143"/>
        <v>L</v>
      </c>
      <c r="L1500" t="str">
        <f t="shared" si="140"/>
        <v>David</v>
      </c>
      <c r="M1500" t="str">
        <f>VLOOKUP(L1500,References!$A$2:$B$16,2,FALSE)</f>
        <v>TEXAROK</v>
      </c>
      <c r="N1500" s="19" t="str">
        <f>IF(M1500=M1501,"N","Y")</f>
        <v>Y</v>
      </c>
      <c r="O1500">
        <f>SUM(I1500:I1501)</f>
        <v>191</v>
      </c>
      <c r="P1500">
        <f t="shared" si="142"/>
        <v>96</v>
      </c>
    </row>
    <row r="1501" spans="1:16" hidden="1" x14ac:dyDescent="0.3">
      <c r="A1501" t="str">
        <f t="shared" si="141"/>
        <v>2022Arnold12</v>
      </c>
      <c r="B1501">
        <f t="shared" si="138"/>
        <v>1004</v>
      </c>
      <c r="C1501">
        <f t="shared" si="139"/>
        <v>822</v>
      </c>
      <c r="D1501" t="s">
        <v>227</v>
      </c>
      <c r="E1501" t="str">
        <f>D1500</f>
        <v>David</v>
      </c>
      <c r="F1501">
        <v>2022</v>
      </c>
      <c r="G1501">
        <v>12</v>
      </c>
      <c r="H1501">
        <v>2.2000000000000002</v>
      </c>
      <c r="I1501">
        <v>96</v>
      </c>
      <c r="J1501">
        <f>I1501-I1500</f>
        <v>1</v>
      </c>
      <c r="K1501" t="str">
        <f t="shared" si="143"/>
        <v>W</v>
      </c>
      <c r="L1501" t="str">
        <f t="shared" si="140"/>
        <v>Arnold</v>
      </c>
      <c r="M1501" t="str">
        <f>VLOOKUP(L1501,References!$A$2:$B$16,2,FALSE)</f>
        <v>AKCOVA</v>
      </c>
      <c r="N1501" s="19" t="str">
        <f>IF(M1501=M1500,"N","Y")</f>
        <v>Y</v>
      </c>
      <c r="O1501">
        <f>SUM(I1500:I1501)</f>
        <v>191</v>
      </c>
      <c r="P1501">
        <f t="shared" si="142"/>
        <v>95</v>
      </c>
    </row>
    <row r="1502" spans="1:16" hidden="1" x14ac:dyDescent="0.3">
      <c r="A1502" t="str">
        <f t="shared" si="141"/>
        <v>2022Emily12</v>
      </c>
      <c r="B1502">
        <f t="shared" si="138"/>
        <v>782</v>
      </c>
      <c r="C1502">
        <f t="shared" si="139"/>
        <v>540</v>
      </c>
      <c r="D1502" t="s">
        <v>43</v>
      </c>
      <c r="E1502" t="str">
        <f>D1503</f>
        <v>Mark</v>
      </c>
      <c r="F1502">
        <v>2022</v>
      </c>
      <c r="G1502">
        <v>12</v>
      </c>
      <c r="H1502">
        <v>3.1</v>
      </c>
      <c r="I1502">
        <v>105</v>
      </c>
      <c r="J1502">
        <f>I1502-I1503</f>
        <v>9</v>
      </c>
      <c r="K1502" t="str">
        <f t="shared" si="143"/>
        <v>W</v>
      </c>
      <c r="L1502" t="str">
        <f t="shared" si="140"/>
        <v>Emily</v>
      </c>
      <c r="M1502" t="str">
        <f>VLOOKUP(L1502,References!$A$2:$B$16,2,FALSE)</f>
        <v>TEXAROK</v>
      </c>
      <c r="N1502" s="19" t="str">
        <f>IF(M1502=M1503,"N","Y")</f>
        <v>Y</v>
      </c>
      <c r="O1502">
        <f>SUM(I1502:I1503)</f>
        <v>201</v>
      </c>
      <c r="P1502">
        <f t="shared" si="142"/>
        <v>96</v>
      </c>
    </row>
    <row r="1503" spans="1:16" hidden="1" x14ac:dyDescent="0.3">
      <c r="A1503" t="str">
        <f t="shared" si="141"/>
        <v>2022Mark12</v>
      </c>
      <c r="B1503">
        <f t="shared" si="138"/>
        <v>1291</v>
      </c>
      <c r="C1503">
        <f t="shared" si="139"/>
        <v>822</v>
      </c>
      <c r="D1503" t="s">
        <v>22</v>
      </c>
      <c r="E1503" t="str">
        <f>D1502</f>
        <v>Emily</v>
      </c>
      <c r="F1503">
        <v>2022</v>
      </c>
      <c r="G1503">
        <v>12</v>
      </c>
      <c r="H1503">
        <v>3.2</v>
      </c>
      <c r="I1503">
        <v>96</v>
      </c>
      <c r="J1503">
        <f>I1503-I1502</f>
        <v>-9</v>
      </c>
      <c r="K1503" t="str">
        <f t="shared" si="143"/>
        <v>L</v>
      </c>
      <c r="L1503" t="str">
        <f t="shared" si="140"/>
        <v>Mark</v>
      </c>
      <c r="M1503" t="str">
        <f>VLOOKUP(L1503,References!$A$2:$B$16,2,FALSE)</f>
        <v>AKCOVA</v>
      </c>
      <c r="N1503" s="19" t="str">
        <f>IF(M1503=M1502,"N","Y")</f>
        <v>Y</v>
      </c>
      <c r="O1503">
        <f>SUM(I1502:I1503)</f>
        <v>201</v>
      </c>
      <c r="P1503">
        <f t="shared" si="142"/>
        <v>105</v>
      </c>
    </row>
    <row r="1504" spans="1:16" hidden="1" x14ac:dyDescent="0.3">
      <c r="A1504" t="str">
        <f t="shared" si="141"/>
        <v>2022Brian12</v>
      </c>
      <c r="B1504">
        <f t="shared" si="138"/>
        <v>782</v>
      </c>
      <c r="C1504">
        <f t="shared" si="139"/>
        <v>631</v>
      </c>
      <c r="D1504" t="s">
        <v>26</v>
      </c>
      <c r="E1504" t="str">
        <f>D1505</f>
        <v>Michael</v>
      </c>
      <c r="F1504">
        <v>2022</v>
      </c>
      <c r="G1504">
        <v>12</v>
      </c>
      <c r="H1504">
        <v>4.0999999999999996</v>
      </c>
      <c r="I1504">
        <v>102</v>
      </c>
      <c r="J1504">
        <f>I1504-I1505</f>
        <v>9</v>
      </c>
      <c r="K1504" t="str">
        <f t="shared" si="143"/>
        <v>W</v>
      </c>
      <c r="L1504" t="str">
        <f t="shared" si="140"/>
        <v>Brian</v>
      </c>
      <c r="M1504" t="str">
        <f>VLOOKUP(L1504,References!$A$2:$B$16,2,FALSE)</f>
        <v>TEXAROK</v>
      </c>
      <c r="N1504" s="19" t="str">
        <f>IF(M1504=M1505,"N","Y")</f>
        <v>Y</v>
      </c>
      <c r="O1504">
        <f>SUM(I1504:I1505)</f>
        <v>195</v>
      </c>
      <c r="P1504">
        <f t="shared" si="142"/>
        <v>93</v>
      </c>
    </row>
    <row r="1505" spans="1:16" hidden="1" x14ac:dyDescent="0.3">
      <c r="A1505" t="str">
        <f t="shared" si="141"/>
        <v>2022Michael12</v>
      </c>
      <c r="B1505">
        <f t="shared" si="138"/>
        <v>1291</v>
      </c>
      <c r="C1505">
        <f t="shared" si="139"/>
        <v>926</v>
      </c>
      <c r="D1505" t="s">
        <v>23</v>
      </c>
      <c r="E1505" t="str">
        <f>D1504</f>
        <v>Brian</v>
      </c>
      <c r="F1505">
        <v>2022</v>
      </c>
      <c r="G1505">
        <v>12</v>
      </c>
      <c r="H1505">
        <v>4.2</v>
      </c>
      <c r="I1505">
        <v>93</v>
      </c>
      <c r="J1505">
        <f>I1505-I1504</f>
        <v>-9</v>
      </c>
      <c r="K1505" t="str">
        <f t="shared" si="143"/>
        <v>L</v>
      </c>
      <c r="L1505" t="str">
        <f t="shared" si="140"/>
        <v>Michael</v>
      </c>
      <c r="M1505" t="str">
        <f>VLOOKUP(L1505,References!$A$2:$B$16,2,FALSE)</f>
        <v>AKCOVA</v>
      </c>
      <c r="N1505" s="19" t="str">
        <f>IF(M1505=M1504,"N","Y")</f>
        <v>Y</v>
      </c>
      <c r="O1505">
        <f>SUM(I1504:I1505)</f>
        <v>195</v>
      </c>
      <c r="P1505">
        <f t="shared" si="142"/>
        <v>102</v>
      </c>
    </row>
    <row r="1506" spans="1:16" hidden="1" x14ac:dyDescent="0.3">
      <c r="A1506" t="str">
        <f t="shared" si="141"/>
        <v>2022Matt12</v>
      </c>
      <c r="B1506">
        <f t="shared" si="138"/>
        <v>1577</v>
      </c>
      <c r="C1506">
        <f t="shared" si="139"/>
        <v>1936</v>
      </c>
      <c r="D1506" t="s">
        <v>30</v>
      </c>
      <c r="E1506" t="str">
        <f>D1507</f>
        <v>BR</v>
      </c>
      <c r="F1506">
        <v>2022</v>
      </c>
      <c r="G1506">
        <v>12</v>
      </c>
      <c r="H1506">
        <v>5.0999999999999996</v>
      </c>
      <c r="I1506">
        <v>60</v>
      </c>
      <c r="J1506">
        <f>I1506-I1507</f>
        <v>-21</v>
      </c>
      <c r="K1506" t="str">
        <f t="shared" si="143"/>
        <v>L</v>
      </c>
      <c r="L1506" t="str">
        <f t="shared" si="140"/>
        <v>Matt</v>
      </c>
      <c r="M1506" t="str">
        <f>VLOOKUP(L1506,References!$A$2:$B$16,2,FALSE)</f>
        <v>TEXAROK</v>
      </c>
      <c r="N1506" s="19" t="str">
        <f>IF(M1506=M1507,"N","Y")</f>
        <v>Y</v>
      </c>
      <c r="O1506">
        <f>SUM(I1506:I1507)</f>
        <v>141</v>
      </c>
      <c r="P1506">
        <f t="shared" si="142"/>
        <v>81</v>
      </c>
    </row>
    <row r="1507" spans="1:16" hidden="1" x14ac:dyDescent="0.3">
      <c r="A1507" t="str">
        <f t="shared" si="141"/>
        <v>2022BR12</v>
      </c>
      <c r="B1507">
        <f t="shared" si="138"/>
        <v>489</v>
      </c>
      <c r="C1507">
        <f t="shared" si="139"/>
        <v>1365</v>
      </c>
      <c r="D1507" t="s">
        <v>25</v>
      </c>
      <c r="E1507" t="str">
        <f>D1506</f>
        <v>Matt</v>
      </c>
      <c r="F1507">
        <v>2022</v>
      </c>
      <c r="G1507">
        <v>12</v>
      </c>
      <c r="H1507">
        <v>5.2</v>
      </c>
      <c r="I1507">
        <v>81</v>
      </c>
      <c r="J1507">
        <f>I1507-I1506</f>
        <v>21</v>
      </c>
      <c r="K1507" t="str">
        <f t="shared" si="143"/>
        <v>W</v>
      </c>
      <c r="L1507" t="str">
        <f t="shared" si="140"/>
        <v>BR</v>
      </c>
      <c r="M1507" t="str">
        <f>VLOOKUP(L1507,References!$A$2:$B$16,2,FALSE)</f>
        <v>AKCOVA</v>
      </c>
      <c r="N1507" s="19" t="str">
        <f>IF(M1507=M1506,"N","Y")</f>
        <v>Y</v>
      </c>
      <c r="O1507">
        <f>SUM(I1506:I1507)</f>
        <v>141</v>
      </c>
      <c r="P1507">
        <f t="shared" si="142"/>
        <v>60</v>
      </c>
    </row>
    <row r="1508" spans="1:16" hidden="1" x14ac:dyDescent="0.3">
      <c r="A1508" t="str">
        <f t="shared" si="141"/>
        <v>2022Brent12</v>
      </c>
      <c r="B1508">
        <f t="shared" si="138"/>
        <v>371</v>
      </c>
      <c r="C1508">
        <f t="shared" si="139"/>
        <v>926</v>
      </c>
      <c r="D1508" t="s">
        <v>47</v>
      </c>
      <c r="E1508" t="str">
        <f>D1509</f>
        <v>Watty</v>
      </c>
      <c r="F1508">
        <v>2022</v>
      </c>
      <c r="G1508">
        <v>12</v>
      </c>
      <c r="H1508">
        <v>6.1</v>
      </c>
      <c r="I1508">
        <v>93</v>
      </c>
      <c r="J1508">
        <f>I1508-I1509</f>
        <v>27</v>
      </c>
      <c r="K1508" t="str">
        <f t="shared" si="143"/>
        <v>W</v>
      </c>
      <c r="L1508" t="str">
        <f t="shared" si="140"/>
        <v>Brent</v>
      </c>
      <c r="M1508" t="str">
        <f>VLOOKUP(L1508,References!$A$2:$B$16,2,FALSE)</f>
        <v>TEXAROK</v>
      </c>
      <c r="N1508" s="19" t="str">
        <f>IF(M1508=M1509,"N","Y")</f>
        <v>Y</v>
      </c>
      <c r="O1508">
        <f>SUM(I1508:I1509)</f>
        <v>159</v>
      </c>
      <c r="P1508">
        <f t="shared" si="142"/>
        <v>66</v>
      </c>
    </row>
    <row r="1509" spans="1:16" hidden="1" x14ac:dyDescent="0.3">
      <c r="A1509" t="str">
        <f t="shared" si="141"/>
        <v>2022Watty12</v>
      </c>
      <c r="B1509">
        <f t="shared" si="138"/>
        <v>1702</v>
      </c>
      <c r="C1509">
        <f t="shared" si="139"/>
        <v>1833</v>
      </c>
      <c r="D1509" t="s">
        <v>24</v>
      </c>
      <c r="E1509" t="str">
        <f>D1508</f>
        <v>Brent</v>
      </c>
      <c r="F1509">
        <v>2022</v>
      </c>
      <c r="G1509">
        <v>12</v>
      </c>
      <c r="H1509">
        <v>6.2</v>
      </c>
      <c r="I1509">
        <v>66</v>
      </c>
      <c r="J1509">
        <f>I1509-I1508</f>
        <v>-27</v>
      </c>
      <c r="K1509" t="str">
        <f t="shared" si="143"/>
        <v>L</v>
      </c>
      <c r="L1509" t="str">
        <f t="shared" si="140"/>
        <v>Watty</v>
      </c>
      <c r="M1509" t="str">
        <f>VLOOKUP(L1509,References!$A$2:$B$16,2,FALSE)</f>
        <v>AKCOVA</v>
      </c>
      <c r="N1509" s="19" t="str">
        <f>IF(M1509=M1508,"N","Y")</f>
        <v>Y</v>
      </c>
      <c r="O1509">
        <f>SUM(I1508:I1509)</f>
        <v>159</v>
      </c>
      <c r="P1509">
        <f t="shared" si="142"/>
        <v>93</v>
      </c>
    </row>
    <row r="1510" spans="1:16" hidden="1" x14ac:dyDescent="0.3">
      <c r="A1510" t="str">
        <f t="shared" si="141"/>
        <v>2022Brian13</v>
      </c>
      <c r="B1510">
        <f t="shared" si="138"/>
        <v>150</v>
      </c>
      <c r="C1510">
        <f t="shared" si="139"/>
        <v>111</v>
      </c>
      <c r="D1510" t="s">
        <v>26</v>
      </c>
      <c r="E1510" t="str">
        <f>D1511</f>
        <v>David</v>
      </c>
      <c r="F1510">
        <v>2022</v>
      </c>
      <c r="G1510">
        <v>13</v>
      </c>
      <c r="H1510">
        <v>1.1000000000000001</v>
      </c>
      <c r="I1510">
        <v>130</v>
      </c>
      <c r="J1510">
        <f>I1510-I1511</f>
        <v>44</v>
      </c>
      <c r="K1510" t="str">
        <f t="shared" si="143"/>
        <v>W</v>
      </c>
      <c r="L1510" t="str">
        <f t="shared" si="140"/>
        <v>Brian</v>
      </c>
      <c r="M1510" t="str">
        <f>VLOOKUP(L1510,References!$A$2:$B$16,2,FALSE)</f>
        <v>TEXAROK</v>
      </c>
      <c r="N1510" s="19" t="str">
        <f>IF(M1510=M1511,"N","Y")</f>
        <v>N</v>
      </c>
      <c r="O1510">
        <f>SUM(I1510:I1511)</f>
        <v>216</v>
      </c>
      <c r="P1510">
        <f t="shared" si="142"/>
        <v>86</v>
      </c>
    </row>
    <row r="1511" spans="1:16" hidden="1" x14ac:dyDescent="0.3">
      <c r="A1511" t="str">
        <f t="shared" si="141"/>
        <v>2022David13</v>
      </c>
      <c r="B1511">
        <f t="shared" si="138"/>
        <v>1933</v>
      </c>
      <c r="C1511">
        <f t="shared" si="139"/>
        <v>1173</v>
      </c>
      <c r="D1511" t="s">
        <v>29</v>
      </c>
      <c r="E1511" t="str">
        <f>D1510</f>
        <v>Brian</v>
      </c>
      <c r="F1511">
        <v>2022</v>
      </c>
      <c r="G1511">
        <v>13</v>
      </c>
      <c r="H1511">
        <v>1.2</v>
      </c>
      <c r="I1511">
        <v>86</v>
      </c>
      <c r="J1511">
        <f>I1511-I1510</f>
        <v>-44</v>
      </c>
      <c r="K1511" t="str">
        <f t="shared" si="143"/>
        <v>L</v>
      </c>
      <c r="L1511" t="str">
        <f t="shared" si="140"/>
        <v>David</v>
      </c>
      <c r="M1511" t="str">
        <f>VLOOKUP(L1511,References!$A$2:$B$16,2,FALSE)</f>
        <v>TEXAROK</v>
      </c>
      <c r="N1511" s="19" t="str">
        <f>IF(M1511=M1510,"N","Y")</f>
        <v>N</v>
      </c>
      <c r="O1511">
        <f>SUM(I1510:I1511)</f>
        <v>216</v>
      </c>
      <c r="P1511">
        <f t="shared" si="142"/>
        <v>130</v>
      </c>
    </row>
    <row r="1512" spans="1:16" hidden="1" x14ac:dyDescent="0.3">
      <c r="A1512" t="str">
        <f t="shared" si="141"/>
        <v>2022Emily13</v>
      </c>
      <c r="B1512">
        <f t="shared" si="138"/>
        <v>1723</v>
      </c>
      <c r="C1512">
        <f t="shared" si="139"/>
        <v>1936</v>
      </c>
      <c r="D1512" t="s">
        <v>43</v>
      </c>
      <c r="E1512" t="str">
        <f>D1513</f>
        <v>Russell</v>
      </c>
      <c r="F1512">
        <v>2022</v>
      </c>
      <c r="G1512">
        <v>13</v>
      </c>
      <c r="H1512">
        <v>2.1</v>
      </c>
      <c r="I1512">
        <v>60</v>
      </c>
      <c r="J1512">
        <f>I1512-I1513</f>
        <v>-28</v>
      </c>
      <c r="K1512" t="str">
        <f t="shared" si="143"/>
        <v>L</v>
      </c>
      <c r="L1512" t="str">
        <f t="shared" si="140"/>
        <v>Emily</v>
      </c>
      <c r="M1512" t="str">
        <f>VLOOKUP(L1512,References!$A$2:$B$16,2,FALSE)</f>
        <v>TEXAROK</v>
      </c>
      <c r="N1512" s="19" t="str">
        <f>IF(M1512=M1513,"N","Y")</f>
        <v>N</v>
      </c>
      <c r="O1512">
        <f>SUM(I1512:I1513)</f>
        <v>148</v>
      </c>
      <c r="P1512">
        <f t="shared" si="142"/>
        <v>88</v>
      </c>
    </row>
    <row r="1513" spans="1:16" hidden="1" x14ac:dyDescent="0.3">
      <c r="A1513" t="str">
        <f t="shared" si="141"/>
        <v>2022Russell13</v>
      </c>
      <c r="B1513">
        <f t="shared" si="138"/>
        <v>356</v>
      </c>
      <c r="C1513">
        <f t="shared" si="139"/>
        <v>1100</v>
      </c>
      <c r="D1513" t="s">
        <v>28</v>
      </c>
      <c r="E1513" t="str">
        <f>D1512</f>
        <v>Emily</v>
      </c>
      <c r="F1513">
        <v>2022</v>
      </c>
      <c r="G1513">
        <v>13</v>
      </c>
      <c r="H1513">
        <v>2.2000000000000002</v>
      </c>
      <c r="I1513">
        <v>88</v>
      </c>
      <c r="J1513">
        <f>I1513-I1512</f>
        <v>28</v>
      </c>
      <c r="K1513" t="str">
        <f t="shared" si="143"/>
        <v>W</v>
      </c>
      <c r="L1513" t="str">
        <f t="shared" si="140"/>
        <v>Russell</v>
      </c>
      <c r="M1513" t="str">
        <f>VLOOKUP(L1513,References!$A$2:$B$16,2,FALSE)</f>
        <v>TEXAROK</v>
      </c>
      <c r="N1513" s="19" t="str">
        <f>IF(M1513=M1512,"N","Y")</f>
        <v>N</v>
      </c>
      <c r="O1513">
        <f>SUM(I1512:I1513)</f>
        <v>148</v>
      </c>
      <c r="P1513">
        <f t="shared" si="142"/>
        <v>60</v>
      </c>
    </row>
    <row r="1514" spans="1:16" hidden="1" x14ac:dyDescent="0.3">
      <c r="A1514" t="str">
        <f t="shared" si="141"/>
        <v>2022Matt13</v>
      </c>
      <c r="B1514">
        <f t="shared" si="138"/>
        <v>1723</v>
      </c>
      <c r="C1514">
        <f t="shared" si="139"/>
        <v>1767</v>
      </c>
      <c r="D1514" t="s">
        <v>30</v>
      </c>
      <c r="E1514" t="str">
        <f>D1515</f>
        <v>Brent</v>
      </c>
      <c r="F1514">
        <v>2022</v>
      </c>
      <c r="G1514">
        <v>13</v>
      </c>
      <c r="H1514">
        <v>3.1</v>
      </c>
      <c r="I1514">
        <v>69</v>
      </c>
      <c r="J1514">
        <f>I1514-I1515</f>
        <v>-28</v>
      </c>
      <c r="K1514" t="str">
        <f t="shared" si="143"/>
        <v>L</v>
      </c>
      <c r="L1514" t="str">
        <f t="shared" si="140"/>
        <v>Matt</v>
      </c>
      <c r="M1514" t="str">
        <f>VLOOKUP(L1514,References!$A$2:$B$16,2,FALSE)</f>
        <v>TEXAROK</v>
      </c>
      <c r="N1514" s="19" t="str">
        <f>IF(M1514=M1515,"N","Y")</f>
        <v>N</v>
      </c>
      <c r="O1514">
        <f>SUM(I1514:I1515)</f>
        <v>166</v>
      </c>
      <c r="P1514">
        <f t="shared" si="142"/>
        <v>97</v>
      </c>
    </row>
    <row r="1515" spans="1:16" hidden="1" x14ac:dyDescent="0.3">
      <c r="A1515" t="str">
        <f t="shared" si="141"/>
        <v>2022Brent13</v>
      </c>
      <c r="B1515">
        <f t="shared" si="138"/>
        <v>356</v>
      </c>
      <c r="C1515">
        <f t="shared" si="139"/>
        <v>777</v>
      </c>
      <c r="D1515" t="s">
        <v>47</v>
      </c>
      <c r="E1515" t="str">
        <f>D1514</f>
        <v>Matt</v>
      </c>
      <c r="F1515">
        <v>2022</v>
      </c>
      <c r="G1515">
        <v>13</v>
      </c>
      <c r="H1515">
        <v>3.2</v>
      </c>
      <c r="I1515">
        <v>97</v>
      </c>
      <c r="J1515">
        <f>I1515-I1514</f>
        <v>28</v>
      </c>
      <c r="K1515" t="str">
        <f t="shared" si="143"/>
        <v>W</v>
      </c>
      <c r="L1515" t="str">
        <f t="shared" si="140"/>
        <v>Brent</v>
      </c>
      <c r="M1515" t="str">
        <f>VLOOKUP(L1515,References!$A$2:$B$16,2,FALSE)</f>
        <v>TEXAROK</v>
      </c>
      <c r="N1515" s="19" t="str">
        <f>IF(M1515=M1514,"N","Y")</f>
        <v>N</v>
      </c>
      <c r="O1515">
        <f>SUM(I1514:I1515)</f>
        <v>166</v>
      </c>
      <c r="P1515">
        <f t="shared" si="142"/>
        <v>69</v>
      </c>
    </row>
    <row r="1516" spans="1:16" hidden="1" x14ac:dyDescent="0.3">
      <c r="A1516" t="str">
        <f t="shared" si="141"/>
        <v>2022Charles13</v>
      </c>
      <c r="B1516">
        <f t="shared" si="138"/>
        <v>450</v>
      </c>
      <c r="C1516">
        <f t="shared" si="139"/>
        <v>275</v>
      </c>
      <c r="D1516" t="s">
        <v>48</v>
      </c>
      <c r="E1516" t="str">
        <f>D1517</f>
        <v>BR</v>
      </c>
      <c r="F1516">
        <v>2022</v>
      </c>
      <c r="G1516">
        <v>13</v>
      </c>
      <c r="H1516">
        <v>4.0999999999999996</v>
      </c>
      <c r="I1516">
        <v>117</v>
      </c>
      <c r="J1516">
        <f>I1516-I1517</f>
        <v>23</v>
      </c>
      <c r="K1516" t="str">
        <f t="shared" si="143"/>
        <v>W</v>
      </c>
      <c r="L1516" t="str">
        <f t="shared" si="140"/>
        <v>Charles</v>
      </c>
      <c r="M1516" t="str">
        <f>VLOOKUP(L1516,References!$A$2:$B$16,2,FALSE)</f>
        <v>AKCOVA</v>
      </c>
      <c r="N1516" s="19" t="str">
        <f>IF(M1516=M1517,"N","Y")</f>
        <v>N</v>
      </c>
      <c r="O1516">
        <f>SUM(I1516:I1517)</f>
        <v>211</v>
      </c>
      <c r="P1516">
        <f t="shared" si="142"/>
        <v>94</v>
      </c>
    </row>
    <row r="1517" spans="1:16" hidden="1" x14ac:dyDescent="0.3">
      <c r="A1517" t="str">
        <f t="shared" si="141"/>
        <v>2022BR13</v>
      </c>
      <c r="B1517">
        <f t="shared" si="138"/>
        <v>1625</v>
      </c>
      <c r="C1517">
        <f t="shared" si="139"/>
        <v>893</v>
      </c>
      <c r="D1517" t="s">
        <v>25</v>
      </c>
      <c r="E1517" t="str">
        <f>D1516</f>
        <v>Charles</v>
      </c>
      <c r="F1517">
        <v>2022</v>
      </c>
      <c r="G1517">
        <v>13</v>
      </c>
      <c r="H1517">
        <v>4.2</v>
      </c>
      <c r="I1517">
        <v>94</v>
      </c>
      <c r="J1517">
        <f>I1517-I1516</f>
        <v>-23</v>
      </c>
      <c r="K1517" t="str">
        <f t="shared" si="143"/>
        <v>L</v>
      </c>
      <c r="L1517" t="str">
        <f t="shared" si="140"/>
        <v>BR</v>
      </c>
      <c r="M1517" t="str">
        <f>VLOOKUP(L1517,References!$A$2:$B$16,2,FALSE)</f>
        <v>AKCOVA</v>
      </c>
      <c r="N1517" s="19" t="str">
        <f>IF(M1517=M1516,"N","Y")</f>
        <v>N</v>
      </c>
      <c r="O1517">
        <f>SUM(I1516:I1517)</f>
        <v>211</v>
      </c>
      <c r="P1517">
        <f t="shared" si="142"/>
        <v>117</v>
      </c>
    </row>
    <row r="1518" spans="1:16" hidden="1" x14ac:dyDescent="0.3">
      <c r="A1518" t="str">
        <f t="shared" si="141"/>
        <v>2022Michael13</v>
      </c>
      <c r="B1518">
        <f t="shared" si="138"/>
        <v>1004</v>
      </c>
      <c r="C1518">
        <f t="shared" si="139"/>
        <v>1738</v>
      </c>
      <c r="D1518" t="s">
        <v>23</v>
      </c>
      <c r="E1518" t="str">
        <f>D1519</f>
        <v>Watty</v>
      </c>
      <c r="F1518">
        <v>2022</v>
      </c>
      <c r="G1518">
        <v>13</v>
      </c>
      <c r="H1518">
        <v>5.0999999999999996</v>
      </c>
      <c r="I1518">
        <v>70</v>
      </c>
      <c r="J1518">
        <f>I1518-I1519</f>
        <v>1</v>
      </c>
      <c r="K1518" t="str">
        <f t="shared" si="143"/>
        <v>W</v>
      </c>
      <c r="L1518" t="str">
        <f t="shared" si="140"/>
        <v>Michael</v>
      </c>
      <c r="M1518" t="str">
        <f>VLOOKUP(L1518,References!$A$2:$B$16,2,FALSE)</f>
        <v>AKCOVA</v>
      </c>
      <c r="N1518" s="19" t="str">
        <f>IF(M1518=M1519,"N","Y")</f>
        <v>N</v>
      </c>
      <c r="O1518">
        <f>SUM(I1518:I1519)</f>
        <v>139</v>
      </c>
      <c r="P1518">
        <f t="shared" si="142"/>
        <v>69</v>
      </c>
    </row>
    <row r="1519" spans="1:16" hidden="1" x14ac:dyDescent="0.3">
      <c r="A1519" t="str">
        <f t="shared" si="141"/>
        <v>2022Watty13</v>
      </c>
      <c r="B1519">
        <f t="shared" si="138"/>
        <v>1055</v>
      </c>
      <c r="C1519">
        <f t="shared" si="139"/>
        <v>1767</v>
      </c>
      <c r="D1519" t="s">
        <v>24</v>
      </c>
      <c r="E1519" t="str">
        <f>D1518</f>
        <v>Michael</v>
      </c>
      <c r="F1519">
        <v>2022</v>
      </c>
      <c r="G1519">
        <v>13</v>
      </c>
      <c r="H1519">
        <v>5.2</v>
      </c>
      <c r="I1519">
        <v>69</v>
      </c>
      <c r="J1519">
        <f>I1519-I1518</f>
        <v>-1</v>
      </c>
      <c r="K1519" t="str">
        <f t="shared" si="143"/>
        <v>L</v>
      </c>
      <c r="L1519" t="str">
        <f t="shared" si="140"/>
        <v>Watty</v>
      </c>
      <c r="M1519" t="str">
        <f>VLOOKUP(L1519,References!$A$2:$B$16,2,FALSE)</f>
        <v>AKCOVA</v>
      </c>
      <c r="N1519" s="19" t="str">
        <f>IF(M1519=M1518,"N","Y")</f>
        <v>N</v>
      </c>
      <c r="O1519">
        <f>SUM(I1518:I1519)</f>
        <v>139</v>
      </c>
      <c r="P1519">
        <f t="shared" si="142"/>
        <v>70</v>
      </c>
    </row>
    <row r="1520" spans="1:16" hidden="1" x14ac:dyDescent="0.3">
      <c r="A1520" t="str">
        <f t="shared" si="141"/>
        <v>2022Arnold13</v>
      </c>
      <c r="B1520">
        <f t="shared" si="138"/>
        <v>1661</v>
      </c>
      <c r="C1520">
        <f t="shared" si="139"/>
        <v>1867</v>
      </c>
      <c r="D1520" t="s">
        <v>227</v>
      </c>
      <c r="E1520" t="str">
        <f>D1521</f>
        <v>Mark</v>
      </c>
      <c r="F1520">
        <v>2022</v>
      </c>
      <c r="G1520">
        <v>13</v>
      </c>
      <c r="H1520">
        <v>6.1</v>
      </c>
      <c r="I1520">
        <v>64</v>
      </c>
      <c r="J1520">
        <f>I1520-I1521</f>
        <v>-25</v>
      </c>
      <c r="K1520" t="str">
        <f t="shared" si="143"/>
        <v>L</v>
      </c>
      <c r="L1520" t="str">
        <f t="shared" si="140"/>
        <v>Arnold</v>
      </c>
      <c r="M1520" t="str">
        <f>VLOOKUP(L1520,References!$A$2:$B$16,2,FALSE)</f>
        <v>AKCOVA</v>
      </c>
      <c r="N1520" s="19" t="str">
        <f>IF(M1520=M1521,"N","Y")</f>
        <v>N</v>
      </c>
      <c r="O1520">
        <f>SUM(I1520:I1521)</f>
        <v>153</v>
      </c>
      <c r="P1520">
        <f t="shared" si="142"/>
        <v>89</v>
      </c>
    </row>
    <row r="1521" spans="1:16" hidden="1" x14ac:dyDescent="0.3">
      <c r="A1521" t="str">
        <f t="shared" si="141"/>
        <v>2022Mark13</v>
      </c>
      <c r="B1521">
        <f t="shared" si="138"/>
        <v>410</v>
      </c>
      <c r="C1521">
        <f t="shared" si="139"/>
        <v>1055</v>
      </c>
      <c r="D1521" t="s">
        <v>22</v>
      </c>
      <c r="E1521" t="str">
        <f>D1520</f>
        <v>Arnold</v>
      </c>
      <c r="F1521">
        <v>2022</v>
      </c>
      <c r="G1521">
        <v>13</v>
      </c>
      <c r="H1521">
        <v>6.2</v>
      </c>
      <c r="I1521">
        <v>89</v>
      </c>
      <c r="J1521">
        <f>I1521-I1520</f>
        <v>25</v>
      </c>
      <c r="K1521" t="str">
        <f t="shared" si="143"/>
        <v>W</v>
      </c>
      <c r="L1521" t="str">
        <f t="shared" si="140"/>
        <v>Mark</v>
      </c>
      <c r="M1521" t="str">
        <f>VLOOKUP(L1521,References!$A$2:$B$16,2,FALSE)</f>
        <v>AKCOVA</v>
      </c>
      <c r="N1521" s="19" t="str">
        <f>IF(M1521=M1520,"N","Y")</f>
        <v>N</v>
      </c>
      <c r="O1521">
        <f>SUM(I1520:I1521)</f>
        <v>153</v>
      </c>
      <c r="P1521">
        <f t="shared" si="142"/>
        <v>64</v>
      </c>
    </row>
    <row r="1522" spans="1:16" hidden="1" x14ac:dyDescent="0.3">
      <c r="A1522" t="str">
        <f t="shared" si="141"/>
        <v>2022Russell14</v>
      </c>
      <c r="B1522">
        <f t="shared" si="138"/>
        <v>76</v>
      </c>
      <c r="C1522">
        <f t="shared" si="139"/>
        <v>631</v>
      </c>
      <c r="D1522" t="s">
        <v>28</v>
      </c>
      <c r="E1522" t="str">
        <f>D1523</f>
        <v>David</v>
      </c>
      <c r="F1522">
        <v>2022</v>
      </c>
      <c r="G1522">
        <v>14</v>
      </c>
      <c r="H1522">
        <v>1.1000000000000001</v>
      </c>
      <c r="I1522">
        <v>102</v>
      </c>
      <c r="J1522">
        <f>I1522-I1523</f>
        <v>56</v>
      </c>
      <c r="K1522" t="str">
        <f t="shared" si="143"/>
        <v>W</v>
      </c>
      <c r="L1522" t="str">
        <f t="shared" si="140"/>
        <v>Russell</v>
      </c>
      <c r="M1522" t="str">
        <f>VLOOKUP(L1522,References!$A$2:$B$16,2,FALSE)</f>
        <v>TEXAROK</v>
      </c>
      <c r="N1522" s="19" t="str">
        <f>IF(M1522=M1523,"N","Y")</f>
        <v>N</v>
      </c>
      <c r="O1522">
        <f>SUM(I1522:I1523)</f>
        <v>148</v>
      </c>
      <c r="P1522">
        <f t="shared" si="142"/>
        <v>46</v>
      </c>
    </row>
    <row r="1523" spans="1:16" hidden="1" x14ac:dyDescent="0.3">
      <c r="A1523" t="str">
        <f t="shared" si="141"/>
        <v>2022David14</v>
      </c>
      <c r="B1523">
        <f t="shared" si="138"/>
        <v>2016</v>
      </c>
      <c r="C1523">
        <f t="shared" si="139"/>
        <v>2068</v>
      </c>
      <c r="D1523" t="s">
        <v>29</v>
      </c>
      <c r="E1523" t="str">
        <f>D1522</f>
        <v>Russell</v>
      </c>
      <c r="F1523">
        <v>2022</v>
      </c>
      <c r="G1523">
        <v>14</v>
      </c>
      <c r="H1523">
        <v>1.2</v>
      </c>
      <c r="I1523">
        <v>46</v>
      </c>
      <c r="J1523">
        <f>I1523-I1522</f>
        <v>-56</v>
      </c>
      <c r="K1523" t="str">
        <f t="shared" si="143"/>
        <v>L</v>
      </c>
      <c r="L1523" t="str">
        <f t="shared" si="140"/>
        <v>David</v>
      </c>
      <c r="M1523" t="str">
        <f>VLOOKUP(L1523,References!$A$2:$B$16,2,FALSE)</f>
        <v>TEXAROK</v>
      </c>
      <c r="N1523" s="19" t="str">
        <f>IF(M1523=M1522,"N","Y")</f>
        <v>N</v>
      </c>
      <c r="O1523">
        <f>SUM(I1522:I1523)</f>
        <v>148</v>
      </c>
      <c r="P1523">
        <f t="shared" si="142"/>
        <v>102</v>
      </c>
    </row>
    <row r="1524" spans="1:16" hidden="1" x14ac:dyDescent="0.3">
      <c r="A1524" t="str">
        <f t="shared" si="141"/>
        <v>2022Matt14</v>
      </c>
      <c r="B1524">
        <f t="shared" si="138"/>
        <v>1625</v>
      </c>
      <c r="C1524">
        <f t="shared" si="139"/>
        <v>1684</v>
      </c>
      <c r="D1524" t="s">
        <v>30</v>
      </c>
      <c r="E1524" t="str">
        <f>D1525</f>
        <v>Brian</v>
      </c>
      <c r="F1524">
        <v>2022</v>
      </c>
      <c r="G1524">
        <v>14</v>
      </c>
      <c r="H1524">
        <v>2.1</v>
      </c>
      <c r="I1524">
        <v>72</v>
      </c>
      <c r="J1524">
        <f>I1524-I1525</f>
        <v>-23</v>
      </c>
      <c r="K1524" t="str">
        <f t="shared" si="143"/>
        <v>L</v>
      </c>
      <c r="L1524" t="str">
        <f t="shared" si="140"/>
        <v>Matt</v>
      </c>
      <c r="M1524" t="str">
        <f>VLOOKUP(L1524,References!$A$2:$B$16,2,FALSE)</f>
        <v>TEXAROK</v>
      </c>
      <c r="N1524" s="19" t="str">
        <f>IF(M1524=M1525,"N","Y")</f>
        <v>N</v>
      </c>
      <c r="O1524">
        <f>SUM(I1524:I1525)</f>
        <v>167</v>
      </c>
      <c r="P1524">
        <f t="shared" si="142"/>
        <v>95</v>
      </c>
    </row>
    <row r="1525" spans="1:16" hidden="1" x14ac:dyDescent="0.3">
      <c r="A1525" t="str">
        <f t="shared" si="141"/>
        <v>2022Brian14</v>
      </c>
      <c r="B1525">
        <f t="shared" si="138"/>
        <v>450</v>
      </c>
      <c r="C1525">
        <f t="shared" si="139"/>
        <v>857</v>
      </c>
      <c r="D1525" t="s">
        <v>26</v>
      </c>
      <c r="E1525" t="str">
        <f>D1524</f>
        <v>Matt</v>
      </c>
      <c r="F1525">
        <v>2022</v>
      </c>
      <c r="G1525">
        <v>14</v>
      </c>
      <c r="H1525">
        <v>2.2000000000000002</v>
      </c>
      <c r="I1525">
        <v>95</v>
      </c>
      <c r="J1525">
        <f>I1525-I1524</f>
        <v>23</v>
      </c>
      <c r="K1525" t="str">
        <f t="shared" si="143"/>
        <v>W</v>
      </c>
      <c r="L1525" t="str">
        <f t="shared" si="140"/>
        <v>Brian</v>
      </c>
      <c r="M1525" t="str">
        <f>VLOOKUP(L1525,References!$A$2:$B$16,2,FALSE)</f>
        <v>TEXAROK</v>
      </c>
      <c r="N1525" s="19" t="str">
        <f>IF(M1525=M1524,"N","Y")</f>
        <v>N</v>
      </c>
      <c r="O1525">
        <f>SUM(I1524:I1525)</f>
        <v>167</v>
      </c>
      <c r="P1525">
        <f t="shared" si="142"/>
        <v>72</v>
      </c>
    </row>
    <row r="1526" spans="1:16" hidden="1" x14ac:dyDescent="0.3">
      <c r="A1526" t="str">
        <f t="shared" si="141"/>
        <v>2022Emily14</v>
      </c>
      <c r="B1526">
        <f t="shared" si="138"/>
        <v>977</v>
      </c>
      <c r="C1526">
        <f t="shared" si="139"/>
        <v>1549</v>
      </c>
      <c r="D1526" t="s">
        <v>43</v>
      </c>
      <c r="E1526" t="str">
        <f>D1527</f>
        <v>Brent</v>
      </c>
      <c r="F1526">
        <v>2022</v>
      </c>
      <c r="G1526">
        <v>14</v>
      </c>
      <c r="H1526">
        <v>3.1</v>
      </c>
      <c r="I1526">
        <v>76</v>
      </c>
      <c r="J1526">
        <f>I1526-I1527</f>
        <v>2</v>
      </c>
      <c r="K1526" t="str">
        <f t="shared" si="143"/>
        <v>W</v>
      </c>
      <c r="L1526" t="str">
        <f t="shared" si="140"/>
        <v>Emily</v>
      </c>
      <c r="M1526" t="str">
        <f>VLOOKUP(L1526,References!$A$2:$B$16,2,FALSE)</f>
        <v>TEXAROK</v>
      </c>
      <c r="N1526" s="19" t="str">
        <f>IF(M1526=M1527,"N","Y")</f>
        <v>N</v>
      </c>
      <c r="O1526">
        <f>SUM(I1526:I1527)</f>
        <v>150</v>
      </c>
      <c r="P1526">
        <f t="shared" si="142"/>
        <v>74</v>
      </c>
    </row>
    <row r="1527" spans="1:16" hidden="1" x14ac:dyDescent="0.3">
      <c r="A1527" t="str">
        <f t="shared" si="141"/>
        <v>2022Brent14</v>
      </c>
      <c r="B1527">
        <f t="shared" si="138"/>
        <v>1090</v>
      </c>
      <c r="C1527">
        <f t="shared" si="139"/>
        <v>1618</v>
      </c>
      <c r="D1527" t="s">
        <v>47</v>
      </c>
      <c r="E1527" t="str">
        <f>D1526</f>
        <v>Emily</v>
      </c>
      <c r="F1527">
        <v>2022</v>
      </c>
      <c r="G1527">
        <v>14</v>
      </c>
      <c r="H1527">
        <v>3.2</v>
      </c>
      <c r="I1527">
        <v>74</v>
      </c>
      <c r="J1527">
        <f>I1527-I1526</f>
        <v>-2</v>
      </c>
      <c r="K1527" t="str">
        <f t="shared" si="143"/>
        <v>L</v>
      </c>
      <c r="L1527" t="str">
        <f t="shared" si="140"/>
        <v>Brent</v>
      </c>
      <c r="M1527" t="str">
        <f>VLOOKUP(L1527,References!$A$2:$B$16,2,FALSE)</f>
        <v>TEXAROK</v>
      </c>
      <c r="N1527" s="19" t="str">
        <f>IF(M1527=M1526,"N","Y")</f>
        <v>N</v>
      </c>
      <c r="O1527">
        <f>SUM(I1526:I1527)</f>
        <v>150</v>
      </c>
      <c r="P1527">
        <f t="shared" si="142"/>
        <v>76</v>
      </c>
    </row>
    <row r="1528" spans="1:16" hidden="1" x14ac:dyDescent="0.3">
      <c r="A1528" t="str">
        <f t="shared" si="141"/>
        <v>2022Charles14</v>
      </c>
      <c r="B1528">
        <f t="shared" si="138"/>
        <v>1055</v>
      </c>
      <c r="C1528">
        <f t="shared" si="139"/>
        <v>857</v>
      </c>
      <c r="D1528" t="s">
        <v>48</v>
      </c>
      <c r="E1528" t="str">
        <f>D1529</f>
        <v>Watty</v>
      </c>
      <c r="F1528">
        <v>2022</v>
      </c>
      <c r="G1528">
        <v>14</v>
      </c>
      <c r="H1528">
        <v>4.0999999999999996</v>
      </c>
      <c r="I1528">
        <v>95</v>
      </c>
      <c r="J1528">
        <f>I1528-I1529</f>
        <v>-1</v>
      </c>
      <c r="K1528" t="str">
        <f t="shared" si="143"/>
        <v>L</v>
      </c>
      <c r="L1528" t="str">
        <f t="shared" si="140"/>
        <v>Charles</v>
      </c>
      <c r="M1528" t="str">
        <f>VLOOKUP(L1528,References!$A$2:$B$16,2,FALSE)</f>
        <v>AKCOVA</v>
      </c>
      <c r="N1528" s="19" t="str">
        <f>IF(M1528=M1529,"N","Y")</f>
        <v>N</v>
      </c>
      <c r="O1528">
        <f>SUM(I1528:I1529)</f>
        <v>191</v>
      </c>
      <c r="P1528">
        <f t="shared" si="142"/>
        <v>96</v>
      </c>
    </row>
    <row r="1529" spans="1:16" hidden="1" x14ac:dyDescent="0.3">
      <c r="A1529" t="str">
        <f t="shared" si="141"/>
        <v>2022Watty14</v>
      </c>
      <c r="B1529">
        <f t="shared" si="138"/>
        <v>1004</v>
      </c>
      <c r="C1529">
        <f t="shared" si="139"/>
        <v>822</v>
      </c>
      <c r="D1529" t="s">
        <v>24</v>
      </c>
      <c r="E1529" t="str">
        <f>D1528</f>
        <v>Charles</v>
      </c>
      <c r="F1529">
        <v>2022</v>
      </c>
      <c r="G1529">
        <v>14</v>
      </c>
      <c r="H1529">
        <v>4.2</v>
      </c>
      <c r="I1529">
        <v>96</v>
      </c>
      <c r="J1529">
        <f>I1529-I1528</f>
        <v>1</v>
      </c>
      <c r="K1529" t="str">
        <f t="shared" si="143"/>
        <v>W</v>
      </c>
      <c r="L1529" t="str">
        <f t="shared" si="140"/>
        <v>Watty</v>
      </c>
      <c r="M1529" t="str">
        <f>VLOOKUP(L1529,References!$A$2:$B$16,2,FALSE)</f>
        <v>AKCOVA</v>
      </c>
      <c r="N1529" s="19" t="str">
        <f>IF(M1529=M1528,"N","Y")</f>
        <v>N</v>
      </c>
      <c r="O1529">
        <f>SUM(I1528:I1529)</f>
        <v>191</v>
      </c>
      <c r="P1529">
        <f t="shared" si="142"/>
        <v>95</v>
      </c>
    </row>
    <row r="1530" spans="1:16" hidden="1" x14ac:dyDescent="0.3">
      <c r="A1530" t="str">
        <f t="shared" si="141"/>
        <v>2022Arnold14</v>
      </c>
      <c r="B1530">
        <f t="shared" si="138"/>
        <v>1434</v>
      </c>
      <c r="C1530">
        <f t="shared" si="139"/>
        <v>383</v>
      </c>
      <c r="D1530" t="s">
        <v>227</v>
      </c>
      <c r="E1530" t="str">
        <f>D1531</f>
        <v>Michael</v>
      </c>
      <c r="F1530">
        <v>2022</v>
      </c>
      <c r="G1530">
        <v>14</v>
      </c>
      <c r="H1530">
        <v>5.0999999999999996</v>
      </c>
      <c r="I1530">
        <v>111</v>
      </c>
      <c r="J1530">
        <f>I1530-I1531</f>
        <v>-15</v>
      </c>
      <c r="K1530" t="str">
        <f t="shared" si="143"/>
        <v>L</v>
      </c>
      <c r="L1530" t="str">
        <f t="shared" si="140"/>
        <v>Arnold</v>
      </c>
      <c r="M1530" t="str">
        <f>VLOOKUP(L1530,References!$A$2:$B$16,2,FALSE)</f>
        <v>AKCOVA</v>
      </c>
      <c r="N1530" s="19" t="str">
        <f>IF(M1530=M1531,"N","Y")</f>
        <v>N</v>
      </c>
      <c r="O1530">
        <f>SUM(I1530:I1531)</f>
        <v>237</v>
      </c>
      <c r="P1530">
        <f t="shared" si="142"/>
        <v>126</v>
      </c>
    </row>
    <row r="1531" spans="1:16" hidden="1" x14ac:dyDescent="0.3">
      <c r="A1531" t="str">
        <f t="shared" si="141"/>
        <v>2022Michael14</v>
      </c>
      <c r="B1531">
        <f t="shared" si="138"/>
        <v>639</v>
      </c>
      <c r="C1531">
        <f t="shared" si="139"/>
        <v>150</v>
      </c>
      <c r="D1531" t="s">
        <v>23</v>
      </c>
      <c r="E1531" t="str">
        <f>D1530</f>
        <v>Arnold</v>
      </c>
      <c r="F1531">
        <v>2022</v>
      </c>
      <c r="G1531">
        <v>14</v>
      </c>
      <c r="H1531">
        <v>5.2</v>
      </c>
      <c r="I1531">
        <v>126</v>
      </c>
      <c r="J1531">
        <f>I1531-I1530</f>
        <v>15</v>
      </c>
      <c r="K1531" t="str">
        <f t="shared" si="143"/>
        <v>W</v>
      </c>
      <c r="L1531" t="str">
        <f t="shared" si="140"/>
        <v>Michael</v>
      </c>
      <c r="M1531" t="str">
        <f>VLOOKUP(L1531,References!$A$2:$B$16,2,FALSE)</f>
        <v>AKCOVA</v>
      </c>
      <c r="N1531" s="19" t="str">
        <f>IF(M1531=M1530,"N","Y")</f>
        <v>N</v>
      </c>
      <c r="O1531">
        <f>SUM(I1530:I1531)</f>
        <v>237</v>
      </c>
      <c r="P1531">
        <f t="shared" si="142"/>
        <v>111</v>
      </c>
    </row>
    <row r="1532" spans="1:16" hidden="1" x14ac:dyDescent="0.3">
      <c r="A1532" t="str">
        <f t="shared" si="141"/>
        <v>2022Mark14</v>
      </c>
      <c r="B1532">
        <f t="shared" si="138"/>
        <v>1409</v>
      </c>
      <c r="C1532">
        <f t="shared" si="139"/>
        <v>1910</v>
      </c>
      <c r="D1532" t="s">
        <v>22</v>
      </c>
      <c r="E1532" t="str">
        <f>D1533</f>
        <v>BR</v>
      </c>
      <c r="F1532">
        <v>2022</v>
      </c>
      <c r="G1532">
        <v>14</v>
      </c>
      <c r="H1532">
        <v>6.1</v>
      </c>
      <c r="I1532">
        <v>62</v>
      </c>
      <c r="J1532">
        <f>I1532-I1533</f>
        <v>-14</v>
      </c>
      <c r="K1532" t="str">
        <f t="shared" si="143"/>
        <v>L</v>
      </c>
      <c r="L1532" t="str">
        <f t="shared" si="140"/>
        <v>Mark</v>
      </c>
      <c r="M1532" t="str">
        <f>VLOOKUP(L1532,References!$A$2:$B$16,2,FALSE)</f>
        <v>AKCOVA</v>
      </c>
      <c r="N1532" s="19" t="str">
        <f>IF(M1532=M1533,"N","Y")</f>
        <v>N</v>
      </c>
      <c r="O1532">
        <f>SUM(I1532:I1533)</f>
        <v>138</v>
      </c>
      <c r="P1532">
        <f t="shared" si="142"/>
        <v>76</v>
      </c>
    </row>
    <row r="1533" spans="1:16" hidden="1" x14ac:dyDescent="0.3">
      <c r="A1533" t="str">
        <f t="shared" si="141"/>
        <v>2022BR14</v>
      </c>
      <c r="B1533">
        <f t="shared" si="138"/>
        <v>660</v>
      </c>
      <c r="C1533">
        <f t="shared" si="139"/>
        <v>1549</v>
      </c>
      <c r="D1533" t="s">
        <v>25</v>
      </c>
      <c r="E1533" t="str">
        <f>D1532</f>
        <v>Mark</v>
      </c>
      <c r="F1533">
        <v>2022</v>
      </c>
      <c r="G1533">
        <v>14</v>
      </c>
      <c r="H1533">
        <v>6.2</v>
      </c>
      <c r="I1533">
        <v>76</v>
      </c>
      <c r="J1533">
        <f>I1533-I1532</f>
        <v>14</v>
      </c>
      <c r="K1533" t="str">
        <f t="shared" si="143"/>
        <v>W</v>
      </c>
      <c r="L1533" t="str">
        <f t="shared" si="140"/>
        <v>BR</v>
      </c>
      <c r="M1533" t="str">
        <f>VLOOKUP(L1533,References!$A$2:$B$16,2,FALSE)</f>
        <v>AKCOVA</v>
      </c>
      <c r="N1533" s="19" t="str">
        <f>IF(M1533=M1532,"N","Y")</f>
        <v>N</v>
      </c>
      <c r="O1533">
        <f>SUM(I1532:I1533)</f>
        <v>138</v>
      </c>
      <c r="P1533">
        <f t="shared" si="142"/>
        <v>62</v>
      </c>
    </row>
    <row r="1534" spans="1:16" hidden="1" x14ac:dyDescent="0.3">
      <c r="A1534" t="str">
        <f t="shared" si="141"/>
        <v>2023Brian1</v>
      </c>
      <c r="B1534">
        <f t="shared" si="138"/>
        <v>1987</v>
      </c>
      <c r="C1534">
        <f t="shared" si="139"/>
        <v>2027</v>
      </c>
      <c r="D1534" t="s">
        <v>26</v>
      </c>
      <c r="E1534" t="str">
        <f>D1535</f>
        <v>Michael</v>
      </c>
      <c r="F1534">
        <v>2023</v>
      </c>
      <c r="G1534">
        <v>1</v>
      </c>
      <c r="H1534">
        <v>1.1000000000000001</v>
      </c>
      <c r="I1534" s="110">
        <v>53</v>
      </c>
      <c r="J1534">
        <f>I1534-I1535</f>
        <v>-51</v>
      </c>
      <c r="K1534" t="str">
        <f t="shared" si="143"/>
        <v>L</v>
      </c>
      <c r="L1534" t="str">
        <f t="shared" si="140"/>
        <v>Brian</v>
      </c>
      <c r="M1534" t="str">
        <f>VLOOKUP(L1534,References!$A$2:$B$16,2,FALSE)</f>
        <v>TEXAROK</v>
      </c>
      <c r="N1534" s="19" t="str">
        <f>IF(M1534=M1535,"N","Y")</f>
        <v>Y</v>
      </c>
      <c r="O1534">
        <f>SUM(I1534:I1535)</f>
        <v>157</v>
      </c>
      <c r="P1534">
        <f t="shared" si="142"/>
        <v>104</v>
      </c>
    </row>
    <row r="1535" spans="1:16" hidden="1" x14ac:dyDescent="0.3">
      <c r="A1535" t="str">
        <f t="shared" si="141"/>
        <v>2023Michael1</v>
      </c>
      <c r="B1535">
        <f t="shared" si="138"/>
        <v>103</v>
      </c>
      <c r="C1535">
        <f t="shared" si="139"/>
        <v>566</v>
      </c>
      <c r="D1535" t="s">
        <v>23</v>
      </c>
      <c r="E1535" t="str">
        <f>D1534</f>
        <v>Brian</v>
      </c>
      <c r="F1535">
        <v>2023</v>
      </c>
      <c r="G1535">
        <v>1</v>
      </c>
      <c r="H1535">
        <v>1.2</v>
      </c>
      <c r="I1535">
        <v>104</v>
      </c>
      <c r="J1535">
        <f>I1535-I1534</f>
        <v>51</v>
      </c>
      <c r="K1535" t="str">
        <f t="shared" si="143"/>
        <v>W</v>
      </c>
      <c r="L1535" t="str">
        <f t="shared" si="140"/>
        <v>Michael</v>
      </c>
      <c r="M1535" t="str">
        <f>VLOOKUP(L1535,References!$A$2:$B$16,2,FALSE)</f>
        <v>AKCOVA</v>
      </c>
      <c r="N1535" s="19" t="str">
        <f>IF(M1535=M1534,"N","Y")</f>
        <v>Y</v>
      </c>
      <c r="O1535">
        <f>SUM(I1534:I1535)</f>
        <v>157</v>
      </c>
      <c r="P1535">
        <f t="shared" si="142"/>
        <v>53</v>
      </c>
    </row>
    <row r="1536" spans="1:16" hidden="1" x14ac:dyDescent="0.3">
      <c r="A1536" t="str">
        <f t="shared" si="141"/>
        <v>2023Brent1</v>
      </c>
      <c r="B1536">
        <f t="shared" si="138"/>
        <v>199</v>
      </c>
      <c r="C1536">
        <f t="shared" si="139"/>
        <v>509</v>
      </c>
      <c r="D1536" t="s">
        <v>47</v>
      </c>
      <c r="E1536" t="str">
        <f>D1537</f>
        <v>Mark</v>
      </c>
      <c r="F1536">
        <v>2023</v>
      </c>
      <c r="G1536">
        <v>1</v>
      </c>
      <c r="H1536">
        <v>2.1</v>
      </c>
      <c r="I1536">
        <v>106</v>
      </c>
      <c r="J1536">
        <f>I1536-I1537</f>
        <v>39</v>
      </c>
      <c r="K1536" t="str">
        <f t="shared" si="143"/>
        <v>W</v>
      </c>
      <c r="L1536" t="str">
        <f t="shared" si="140"/>
        <v>Brent</v>
      </c>
      <c r="M1536" t="str">
        <f>VLOOKUP(L1536,References!$A$2:$B$16,2,FALSE)</f>
        <v>TEXAROK</v>
      </c>
      <c r="N1536" s="19" t="str">
        <f>IF(M1536=M1537,"N","Y")</f>
        <v>Y</v>
      </c>
      <c r="O1536">
        <f>SUM(I1536:I1537)</f>
        <v>173</v>
      </c>
      <c r="P1536">
        <f t="shared" si="142"/>
        <v>67</v>
      </c>
    </row>
    <row r="1537" spans="1:16" hidden="1" x14ac:dyDescent="0.3">
      <c r="A1537" t="str">
        <f t="shared" si="141"/>
        <v>2023Mark1</v>
      </c>
      <c r="B1537">
        <f t="shared" si="138"/>
        <v>1884</v>
      </c>
      <c r="C1537">
        <f t="shared" si="139"/>
        <v>1815</v>
      </c>
      <c r="D1537" t="s">
        <v>22</v>
      </c>
      <c r="E1537" t="str">
        <f>D1536</f>
        <v>Brent</v>
      </c>
      <c r="F1537">
        <v>2023</v>
      </c>
      <c r="G1537">
        <v>1</v>
      </c>
      <c r="H1537">
        <v>2.2000000000000002</v>
      </c>
      <c r="I1537">
        <v>67</v>
      </c>
      <c r="J1537">
        <f>I1537-I1536</f>
        <v>-39</v>
      </c>
      <c r="K1537" t="str">
        <f t="shared" si="143"/>
        <v>L</v>
      </c>
      <c r="L1537" t="str">
        <f t="shared" si="140"/>
        <v>Mark</v>
      </c>
      <c r="M1537" t="str">
        <f>VLOOKUP(L1537,References!$A$2:$B$16,2,FALSE)</f>
        <v>AKCOVA</v>
      </c>
      <c r="N1537" s="19" t="str">
        <f>IF(M1537=M1536,"N","Y")</f>
        <v>Y</v>
      </c>
      <c r="O1537">
        <f>SUM(I1536:I1537)</f>
        <v>173</v>
      </c>
      <c r="P1537">
        <f t="shared" si="142"/>
        <v>106</v>
      </c>
    </row>
    <row r="1538" spans="1:16" hidden="1" x14ac:dyDescent="0.3">
      <c r="A1538" t="str">
        <f t="shared" si="141"/>
        <v>2023Matt1</v>
      </c>
      <c r="B1538">
        <f t="shared" ref="B1538:B1601" si="144">RANK(J1538,diff)</f>
        <v>803</v>
      </c>
      <c r="C1538">
        <f t="shared" ref="C1538:C1601" si="145">RANK(I1538,points)</f>
        <v>1318</v>
      </c>
      <c r="D1538" t="s">
        <v>30</v>
      </c>
      <c r="E1538" t="str">
        <f>D1539</f>
        <v>BR</v>
      </c>
      <c r="F1538">
        <v>2023</v>
      </c>
      <c r="G1538">
        <v>1</v>
      </c>
      <c r="H1538">
        <v>3.1</v>
      </c>
      <c r="I1538">
        <v>82</v>
      </c>
      <c r="J1538">
        <f>I1538-I1539</f>
        <v>8</v>
      </c>
      <c r="K1538" t="str">
        <f t="shared" si="143"/>
        <v>W</v>
      </c>
      <c r="L1538" t="str">
        <f t="shared" ref="L1538:L1601" si="146">D1538</f>
        <v>Matt</v>
      </c>
      <c r="M1538" t="str">
        <f>VLOOKUP(L1538,References!$A$2:$B$16,2,FALSE)</f>
        <v>TEXAROK</v>
      </c>
      <c r="N1538" s="19" t="str">
        <f>IF(M1538=M1539,"N","Y")</f>
        <v>Y</v>
      </c>
      <c r="O1538">
        <f>SUM(I1538:I1539)</f>
        <v>156</v>
      </c>
      <c r="P1538">
        <f t="shared" si="142"/>
        <v>74</v>
      </c>
    </row>
    <row r="1539" spans="1:16" hidden="1" x14ac:dyDescent="0.3">
      <c r="A1539" t="str">
        <f t="shared" ref="A1539:A1602" si="147">F1539&amp;D1539&amp;G1539</f>
        <v>2023BR1</v>
      </c>
      <c r="B1539">
        <f t="shared" si="144"/>
        <v>1258</v>
      </c>
      <c r="C1539">
        <f t="shared" si="145"/>
        <v>1618</v>
      </c>
      <c r="D1539" t="s">
        <v>25</v>
      </c>
      <c r="E1539" t="str">
        <f>D1538</f>
        <v>Matt</v>
      </c>
      <c r="F1539">
        <v>2023</v>
      </c>
      <c r="G1539">
        <v>1</v>
      </c>
      <c r="H1539">
        <v>3.2</v>
      </c>
      <c r="I1539">
        <v>74</v>
      </c>
      <c r="J1539">
        <f>I1539-I1538</f>
        <v>-8</v>
      </c>
      <c r="K1539" t="str">
        <f t="shared" si="143"/>
        <v>L</v>
      </c>
      <c r="L1539" t="str">
        <f t="shared" si="146"/>
        <v>BR</v>
      </c>
      <c r="M1539" t="str">
        <f>VLOOKUP(L1539,References!$A$2:$B$16,2,FALSE)</f>
        <v>AKCOVA</v>
      </c>
      <c r="N1539" s="19" t="str">
        <f>IF(M1539=M1538,"N","Y")</f>
        <v>Y</v>
      </c>
      <c r="O1539">
        <f>SUM(I1538:I1539)</f>
        <v>156</v>
      </c>
      <c r="P1539">
        <f t="shared" ref="P1539:P1602" si="148">I1539-J1539</f>
        <v>82</v>
      </c>
    </row>
    <row r="1540" spans="1:16" hidden="1" x14ac:dyDescent="0.3">
      <c r="A1540" t="str">
        <f t="shared" si="147"/>
        <v>2023Russell1</v>
      </c>
      <c r="B1540">
        <f t="shared" si="144"/>
        <v>161</v>
      </c>
      <c r="C1540">
        <f t="shared" si="145"/>
        <v>566</v>
      </c>
      <c r="D1540" t="s">
        <v>28</v>
      </c>
      <c r="E1540" t="str">
        <f>D1541</f>
        <v>Watty</v>
      </c>
      <c r="F1540">
        <v>2023</v>
      </c>
      <c r="G1540">
        <v>1</v>
      </c>
      <c r="H1540">
        <v>4.0999999999999996</v>
      </c>
      <c r="I1540">
        <v>104</v>
      </c>
      <c r="J1540">
        <f>I1540-I1541</f>
        <v>43</v>
      </c>
      <c r="K1540" t="str">
        <f t="shared" si="143"/>
        <v>W</v>
      </c>
      <c r="L1540" t="str">
        <f t="shared" si="146"/>
        <v>Russell</v>
      </c>
      <c r="M1540" t="str">
        <f>VLOOKUP(L1540,References!$A$2:$B$16,2,FALSE)</f>
        <v>TEXAROK</v>
      </c>
      <c r="N1540" s="19" t="str">
        <f>IF(M1540=M1541,"N","Y")</f>
        <v>Y</v>
      </c>
      <c r="O1540">
        <f>SUM(I1540:I1541)</f>
        <v>165</v>
      </c>
      <c r="P1540">
        <f t="shared" si="148"/>
        <v>61</v>
      </c>
    </row>
    <row r="1541" spans="1:16" hidden="1" x14ac:dyDescent="0.3">
      <c r="A1541" t="str">
        <f t="shared" si="147"/>
        <v>2023Watty1</v>
      </c>
      <c r="B1541">
        <f t="shared" si="144"/>
        <v>1921</v>
      </c>
      <c r="C1541">
        <f t="shared" si="145"/>
        <v>1927</v>
      </c>
      <c r="D1541" t="s">
        <v>24</v>
      </c>
      <c r="E1541" t="str">
        <f>D1540</f>
        <v>Russell</v>
      </c>
      <c r="F1541">
        <v>2023</v>
      </c>
      <c r="G1541">
        <v>1</v>
      </c>
      <c r="H1541">
        <v>4.2</v>
      </c>
      <c r="I1541" s="110">
        <v>61</v>
      </c>
      <c r="J1541">
        <f>I1541-I1540</f>
        <v>-43</v>
      </c>
      <c r="K1541" t="str">
        <f t="shared" si="143"/>
        <v>L</v>
      </c>
      <c r="L1541" t="str">
        <f t="shared" si="146"/>
        <v>Watty</v>
      </c>
      <c r="M1541" t="str">
        <f>VLOOKUP(L1541,References!$A$2:$B$16,2,FALSE)</f>
        <v>AKCOVA</v>
      </c>
      <c r="N1541" s="19" t="str">
        <f>IF(M1541=M1540,"N","Y")</f>
        <v>Y</v>
      </c>
      <c r="O1541">
        <f>SUM(I1540:I1541)</f>
        <v>165</v>
      </c>
      <c r="P1541">
        <f t="shared" si="148"/>
        <v>104</v>
      </c>
    </row>
    <row r="1542" spans="1:16" hidden="1" x14ac:dyDescent="0.3">
      <c r="A1542" t="str">
        <f t="shared" si="147"/>
        <v>2023David1</v>
      </c>
      <c r="B1542">
        <f t="shared" si="144"/>
        <v>1434</v>
      </c>
      <c r="C1542">
        <f t="shared" si="145"/>
        <v>1885</v>
      </c>
      <c r="D1542" t="s">
        <v>29</v>
      </c>
      <c r="E1542" t="str">
        <f>D1543</f>
        <v>Charles</v>
      </c>
      <c r="F1542">
        <v>2023</v>
      </c>
      <c r="G1542">
        <v>1</v>
      </c>
      <c r="H1542">
        <v>5.0999999999999996</v>
      </c>
      <c r="I1542" s="110">
        <v>63</v>
      </c>
      <c r="J1542">
        <f>I1542-I1543</f>
        <v>-15</v>
      </c>
      <c r="K1542" t="str">
        <f t="shared" ref="K1542:K1605" si="149">IF(J1542&gt;0,"W",IF(J1542&lt;0,"L","T"))</f>
        <v>L</v>
      </c>
      <c r="L1542" t="str">
        <f t="shared" si="146"/>
        <v>David</v>
      </c>
      <c r="M1542" t="str">
        <f>VLOOKUP(L1542,References!$A$2:$B$16,2,FALSE)</f>
        <v>TEXAROK</v>
      </c>
      <c r="N1542" s="19" t="str">
        <f>IF(M1542=M1543,"N","Y")</f>
        <v>Y</v>
      </c>
      <c r="O1542">
        <f>SUM(I1542:I1543)</f>
        <v>141</v>
      </c>
      <c r="P1542">
        <f t="shared" si="148"/>
        <v>78</v>
      </c>
    </row>
    <row r="1543" spans="1:16" hidden="1" x14ac:dyDescent="0.3">
      <c r="A1543" t="str">
        <f t="shared" si="147"/>
        <v>2023Charles1</v>
      </c>
      <c r="B1543">
        <f t="shared" si="144"/>
        <v>639</v>
      </c>
      <c r="C1543">
        <f t="shared" si="145"/>
        <v>1468</v>
      </c>
      <c r="D1543" t="s">
        <v>48</v>
      </c>
      <c r="E1543" t="str">
        <f>D1542</f>
        <v>David</v>
      </c>
      <c r="F1543">
        <v>2023</v>
      </c>
      <c r="G1543">
        <v>1</v>
      </c>
      <c r="H1543">
        <v>5.2</v>
      </c>
      <c r="I1543">
        <v>78</v>
      </c>
      <c r="J1543">
        <f>I1543-I1542</f>
        <v>15</v>
      </c>
      <c r="K1543" t="str">
        <f t="shared" si="149"/>
        <v>W</v>
      </c>
      <c r="L1543" t="str">
        <f t="shared" si="146"/>
        <v>Charles</v>
      </c>
      <c r="M1543" t="str">
        <f>VLOOKUP(L1543,References!$A$2:$B$16,2,FALSE)</f>
        <v>AKCOVA</v>
      </c>
      <c r="N1543" s="19" t="str">
        <f>IF(M1543=M1542,"N","Y")</f>
        <v>Y</v>
      </c>
      <c r="O1543">
        <f>SUM(I1542:I1543)</f>
        <v>141</v>
      </c>
      <c r="P1543">
        <f t="shared" si="148"/>
        <v>63</v>
      </c>
    </row>
    <row r="1544" spans="1:16" hidden="1" x14ac:dyDescent="0.3">
      <c r="A1544" t="str">
        <f t="shared" si="147"/>
        <v>2023Emily1</v>
      </c>
      <c r="B1544">
        <f t="shared" si="144"/>
        <v>1644</v>
      </c>
      <c r="C1544">
        <f t="shared" si="145"/>
        <v>1885</v>
      </c>
      <c r="D1544" t="s">
        <v>43</v>
      </c>
      <c r="E1544" t="str">
        <f>D1545</f>
        <v>Arnold</v>
      </c>
      <c r="F1544">
        <v>2023</v>
      </c>
      <c r="G1544">
        <v>1</v>
      </c>
      <c r="H1544">
        <v>6.1</v>
      </c>
      <c r="I1544" s="110">
        <v>63</v>
      </c>
      <c r="J1544">
        <f>I1544-I1545</f>
        <v>-24</v>
      </c>
      <c r="K1544" t="str">
        <f t="shared" si="149"/>
        <v>L</v>
      </c>
      <c r="L1544" t="str">
        <f t="shared" si="146"/>
        <v>Emily</v>
      </c>
      <c r="M1544" t="str">
        <f>VLOOKUP(L1544,References!$A$2:$B$16,2,FALSE)</f>
        <v>TEXAROK</v>
      </c>
      <c r="N1544" s="19" t="str">
        <f>IF(M1544=M1545,"N","Y")</f>
        <v>Y</v>
      </c>
      <c r="O1544">
        <f>SUM(I1544:I1545)</f>
        <v>150</v>
      </c>
      <c r="P1544">
        <f t="shared" si="148"/>
        <v>87</v>
      </c>
    </row>
    <row r="1545" spans="1:16" hidden="1" x14ac:dyDescent="0.3">
      <c r="A1545" t="str">
        <f t="shared" si="147"/>
        <v>2023Arnold1</v>
      </c>
      <c r="B1545">
        <f t="shared" si="144"/>
        <v>433</v>
      </c>
      <c r="C1545">
        <f t="shared" si="145"/>
        <v>1143</v>
      </c>
      <c r="D1545" t="s">
        <v>227</v>
      </c>
      <c r="E1545" t="str">
        <f>D1544</f>
        <v>Emily</v>
      </c>
      <c r="F1545">
        <v>2023</v>
      </c>
      <c r="G1545">
        <v>1</v>
      </c>
      <c r="H1545">
        <v>6.2</v>
      </c>
      <c r="I1545">
        <v>87</v>
      </c>
      <c r="J1545">
        <f>I1545-I1544</f>
        <v>24</v>
      </c>
      <c r="K1545" t="str">
        <f t="shared" si="149"/>
        <v>W</v>
      </c>
      <c r="L1545" t="str">
        <f t="shared" si="146"/>
        <v>Arnold</v>
      </c>
      <c r="M1545" t="str">
        <f>VLOOKUP(L1545,References!$A$2:$B$16,2,FALSE)</f>
        <v>AKCOVA</v>
      </c>
      <c r="N1545" s="19" t="str">
        <f>IF(M1545=M1544,"N","Y")</f>
        <v>Y</v>
      </c>
      <c r="O1545">
        <f>SUM(I1544:I1545)</f>
        <v>150</v>
      </c>
      <c r="P1545">
        <f t="shared" si="148"/>
        <v>63</v>
      </c>
    </row>
    <row r="1546" spans="1:16" hidden="1" x14ac:dyDescent="0.3">
      <c r="A1546" t="str">
        <f t="shared" si="147"/>
        <v>2023Michael2</v>
      </c>
      <c r="B1546">
        <f t="shared" si="144"/>
        <v>1753</v>
      </c>
      <c r="C1546">
        <f t="shared" si="145"/>
        <v>777</v>
      </c>
      <c r="D1546" t="s">
        <v>23</v>
      </c>
      <c r="E1546" t="str">
        <f>D1547</f>
        <v>BR</v>
      </c>
      <c r="F1546">
        <v>2023</v>
      </c>
      <c r="G1546">
        <v>2</v>
      </c>
      <c r="H1546">
        <v>1.1000000000000001</v>
      </c>
      <c r="I1546">
        <v>97</v>
      </c>
      <c r="J1546">
        <f>I1546-I1547</f>
        <v>-30</v>
      </c>
      <c r="K1546" t="str">
        <f t="shared" si="149"/>
        <v>L</v>
      </c>
      <c r="L1546" t="str">
        <f t="shared" si="146"/>
        <v>Michael</v>
      </c>
      <c r="M1546" t="str">
        <f>VLOOKUP(L1546,References!$A$2:$B$16,2,FALSE)</f>
        <v>AKCOVA</v>
      </c>
      <c r="N1546" s="19" t="str">
        <f>IF(M1546=M1547,"N","Y")</f>
        <v>N</v>
      </c>
      <c r="O1546">
        <f>SUM(I1546:I1547)</f>
        <v>224</v>
      </c>
      <c r="P1546">
        <f t="shared" si="148"/>
        <v>127</v>
      </c>
    </row>
    <row r="1547" spans="1:16" hidden="1" x14ac:dyDescent="0.3">
      <c r="A1547" t="str">
        <f t="shared" si="147"/>
        <v>2023BR2</v>
      </c>
      <c r="B1547">
        <f t="shared" si="144"/>
        <v>319</v>
      </c>
      <c r="C1547">
        <f t="shared" si="145"/>
        <v>136</v>
      </c>
      <c r="D1547" t="s">
        <v>25</v>
      </c>
      <c r="E1547" t="str">
        <f>D1546</f>
        <v>Michael</v>
      </c>
      <c r="F1547">
        <v>2023</v>
      </c>
      <c r="G1547">
        <v>2</v>
      </c>
      <c r="H1547">
        <v>1.2</v>
      </c>
      <c r="I1547">
        <v>127</v>
      </c>
      <c r="J1547">
        <f>I1547-I1546</f>
        <v>30</v>
      </c>
      <c r="K1547" t="str">
        <f t="shared" si="149"/>
        <v>W</v>
      </c>
      <c r="L1547" t="str">
        <f t="shared" si="146"/>
        <v>BR</v>
      </c>
      <c r="M1547" t="str">
        <f>VLOOKUP(L1547,References!$A$2:$B$16,2,FALSE)</f>
        <v>AKCOVA</v>
      </c>
      <c r="N1547" s="19" t="str">
        <f>IF(M1547=M1546,"N","Y")</f>
        <v>N</v>
      </c>
      <c r="O1547">
        <f>SUM(I1546:I1547)</f>
        <v>224</v>
      </c>
      <c r="P1547">
        <f t="shared" si="148"/>
        <v>97</v>
      </c>
    </row>
    <row r="1548" spans="1:16" hidden="1" x14ac:dyDescent="0.3">
      <c r="A1548" t="str">
        <f t="shared" si="147"/>
        <v>2023Russell2</v>
      </c>
      <c r="B1548">
        <f t="shared" si="144"/>
        <v>1336</v>
      </c>
      <c r="C1548">
        <f t="shared" si="145"/>
        <v>1618</v>
      </c>
      <c r="D1548" t="s">
        <v>28</v>
      </c>
      <c r="E1548" t="str">
        <f>D1549</f>
        <v>David</v>
      </c>
      <c r="F1548">
        <v>2023</v>
      </c>
      <c r="G1548">
        <v>2</v>
      </c>
      <c r="H1548">
        <v>2.1</v>
      </c>
      <c r="I1548">
        <v>74</v>
      </c>
      <c r="J1548">
        <f>I1548-I1549</f>
        <v>-11</v>
      </c>
      <c r="K1548" t="str">
        <f t="shared" si="149"/>
        <v>L</v>
      </c>
      <c r="L1548" t="str">
        <f t="shared" si="146"/>
        <v>Russell</v>
      </c>
      <c r="M1548" t="str">
        <f>VLOOKUP(L1548,References!$A$2:$B$16,2,FALSE)</f>
        <v>TEXAROK</v>
      </c>
      <c r="N1548" s="19" t="str">
        <f>IF(M1548=M1549,"N","Y")</f>
        <v>N</v>
      </c>
      <c r="O1548">
        <f>SUM(I1548:I1549)</f>
        <v>159</v>
      </c>
      <c r="P1548">
        <f t="shared" si="148"/>
        <v>85</v>
      </c>
    </row>
    <row r="1549" spans="1:16" hidden="1" x14ac:dyDescent="0.3">
      <c r="A1549" t="str">
        <f t="shared" si="147"/>
        <v>2023David2</v>
      </c>
      <c r="B1549">
        <f t="shared" si="144"/>
        <v>737</v>
      </c>
      <c r="C1549">
        <f t="shared" si="145"/>
        <v>1210</v>
      </c>
      <c r="D1549" t="s">
        <v>29</v>
      </c>
      <c r="E1549" t="str">
        <f>D1548</f>
        <v>Russell</v>
      </c>
      <c r="F1549">
        <v>2023</v>
      </c>
      <c r="G1549">
        <v>2</v>
      </c>
      <c r="H1549">
        <v>2.2000000000000002</v>
      </c>
      <c r="I1549">
        <v>85</v>
      </c>
      <c r="J1549">
        <f>I1549-I1548</f>
        <v>11</v>
      </c>
      <c r="K1549" t="str">
        <f t="shared" si="149"/>
        <v>W</v>
      </c>
      <c r="L1549" t="str">
        <f t="shared" si="146"/>
        <v>David</v>
      </c>
      <c r="M1549" t="str">
        <f>VLOOKUP(L1549,References!$A$2:$B$16,2,FALSE)</f>
        <v>TEXAROK</v>
      </c>
      <c r="N1549" s="19" t="str">
        <f>IF(M1549=M1548,"N","Y")</f>
        <v>N</v>
      </c>
      <c r="O1549">
        <f>SUM(I1548:I1549)</f>
        <v>159</v>
      </c>
      <c r="P1549">
        <f t="shared" si="148"/>
        <v>74</v>
      </c>
    </row>
    <row r="1550" spans="1:16" hidden="1" x14ac:dyDescent="0.3">
      <c r="A1550" t="str">
        <f t="shared" si="147"/>
        <v>2023Emily2</v>
      </c>
      <c r="B1550">
        <f t="shared" si="144"/>
        <v>1497</v>
      </c>
      <c r="C1550">
        <f t="shared" si="145"/>
        <v>1549</v>
      </c>
      <c r="D1550" t="s">
        <v>43</v>
      </c>
      <c r="E1550" t="str">
        <f>D1551</f>
        <v>Brian</v>
      </c>
      <c r="F1550">
        <v>2023</v>
      </c>
      <c r="G1550">
        <v>2</v>
      </c>
      <c r="H1550">
        <v>3.1</v>
      </c>
      <c r="I1550">
        <v>76</v>
      </c>
      <c r="J1550">
        <f>I1550-I1551</f>
        <v>-18</v>
      </c>
      <c r="K1550" t="str">
        <f t="shared" si="149"/>
        <v>L</v>
      </c>
      <c r="L1550" t="str">
        <f t="shared" si="146"/>
        <v>Emily</v>
      </c>
      <c r="M1550" t="str">
        <f>VLOOKUP(L1550,References!$A$2:$B$16,2,FALSE)</f>
        <v>TEXAROK</v>
      </c>
      <c r="N1550" s="19" t="str">
        <f>IF(M1550=M1551,"N","Y")</f>
        <v>N</v>
      </c>
      <c r="O1550">
        <f>SUM(I1550:I1551)</f>
        <v>170</v>
      </c>
      <c r="P1550">
        <f t="shared" si="148"/>
        <v>94</v>
      </c>
    </row>
    <row r="1551" spans="1:16" hidden="1" x14ac:dyDescent="0.3">
      <c r="A1551" t="str">
        <f t="shared" si="147"/>
        <v>2023Brian2</v>
      </c>
      <c r="B1551">
        <f t="shared" si="144"/>
        <v>571</v>
      </c>
      <c r="C1551">
        <f t="shared" si="145"/>
        <v>893</v>
      </c>
      <c r="D1551" t="s">
        <v>26</v>
      </c>
      <c r="E1551" t="str">
        <f>D1550</f>
        <v>Emily</v>
      </c>
      <c r="F1551">
        <v>2023</v>
      </c>
      <c r="G1551">
        <v>2</v>
      </c>
      <c r="H1551">
        <v>3.2</v>
      </c>
      <c r="I1551">
        <v>94</v>
      </c>
      <c r="J1551">
        <f>I1551-I1550</f>
        <v>18</v>
      </c>
      <c r="K1551" t="str">
        <f t="shared" si="149"/>
        <v>W</v>
      </c>
      <c r="L1551" t="str">
        <f t="shared" si="146"/>
        <v>Brian</v>
      </c>
      <c r="M1551" t="str">
        <f>VLOOKUP(L1551,References!$A$2:$B$16,2,FALSE)</f>
        <v>TEXAROK</v>
      </c>
      <c r="N1551" s="19" t="str">
        <f>IF(M1551=M1550,"N","Y")</f>
        <v>N</v>
      </c>
      <c r="O1551">
        <f>SUM(I1550:I1551)</f>
        <v>170</v>
      </c>
      <c r="P1551">
        <f t="shared" si="148"/>
        <v>76</v>
      </c>
    </row>
    <row r="1552" spans="1:16" hidden="1" x14ac:dyDescent="0.3">
      <c r="A1552" t="str">
        <f t="shared" si="147"/>
        <v>2023Matt2</v>
      </c>
      <c r="B1552">
        <f t="shared" si="144"/>
        <v>1055</v>
      </c>
      <c r="C1552">
        <f t="shared" si="145"/>
        <v>1173</v>
      </c>
      <c r="D1552" t="s">
        <v>30</v>
      </c>
      <c r="E1552" t="str">
        <f>D1553</f>
        <v>Brent</v>
      </c>
      <c r="F1552">
        <v>2023</v>
      </c>
      <c r="G1552">
        <v>2</v>
      </c>
      <c r="H1552">
        <v>4.0999999999999996</v>
      </c>
      <c r="I1552">
        <v>86</v>
      </c>
      <c r="J1552">
        <f>I1552-I1553</f>
        <v>-1</v>
      </c>
      <c r="K1552" t="str">
        <f t="shared" si="149"/>
        <v>L</v>
      </c>
      <c r="L1552" t="str">
        <f t="shared" si="146"/>
        <v>Matt</v>
      </c>
      <c r="M1552" t="str">
        <f>VLOOKUP(L1552,References!$A$2:$B$16,2,FALSE)</f>
        <v>TEXAROK</v>
      </c>
      <c r="N1552" s="19" t="str">
        <f>IF(M1552=M1553,"N","Y")</f>
        <v>N</v>
      </c>
      <c r="O1552">
        <f>SUM(I1552:I1553)</f>
        <v>173</v>
      </c>
      <c r="P1552">
        <f t="shared" si="148"/>
        <v>87</v>
      </c>
    </row>
    <row r="1553" spans="1:16" hidden="1" x14ac:dyDescent="0.3">
      <c r="A1553" t="str">
        <f t="shared" si="147"/>
        <v>2023Brent2</v>
      </c>
      <c r="B1553">
        <f t="shared" si="144"/>
        <v>1004</v>
      </c>
      <c r="C1553">
        <f t="shared" si="145"/>
        <v>1143</v>
      </c>
      <c r="D1553" t="s">
        <v>47</v>
      </c>
      <c r="E1553" t="str">
        <f>D1552</f>
        <v>Matt</v>
      </c>
      <c r="F1553">
        <v>2023</v>
      </c>
      <c r="G1553">
        <v>2</v>
      </c>
      <c r="H1553">
        <v>4.2</v>
      </c>
      <c r="I1553">
        <v>87</v>
      </c>
      <c r="J1553">
        <f>I1553-I1552</f>
        <v>1</v>
      </c>
      <c r="K1553" t="str">
        <f t="shared" si="149"/>
        <v>W</v>
      </c>
      <c r="L1553" t="str">
        <f t="shared" si="146"/>
        <v>Brent</v>
      </c>
      <c r="M1553" t="str">
        <f>VLOOKUP(L1553,References!$A$2:$B$16,2,FALSE)</f>
        <v>TEXAROK</v>
      </c>
      <c r="N1553" s="19" t="str">
        <f>IF(M1553=M1552,"N","Y")</f>
        <v>N</v>
      </c>
      <c r="O1553">
        <f>SUM(I1552:I1553)</f>
        <v>173</v>
      </c>
      <c r="P1553">
        <f t="shared" si="148"/>
        <v>86</v>
      </c>
    </row>
    <row r="1554" spans="1:16" hidden="1" x14ac:dyDescent="0.3">
      <c r="A1554" t="str">
        <f t="shared" si="147"/>
        <v>2023Watty2</v>
      </c>
      <c r="B1554">
        <f t="shared" si="144"/>
        <v>1258</v>
      </c>
      <c r="C1554">
        <f t="shared" si="145"/>
        <v>1282</v>
      </c>
      <c r="D1554" t="s">
        <v>24</v>
      </c>
      <c r="E1554" t="str">
        <f>D1555</f>
        <v>Mark</v>
      </c>
      <c r="F1554">
        <v>2023</v>
      </c>
      <c r="G1554">
        <v>2</v>
      </c>
      <c r="H1554">
        <v>5.0999999999999996</v>
      </c>
      <c r="I1554">
        <v>83</v>
      </c>
      <c r="J1554">
        <f>I1554-I1555</f>
        <v>-8</v>
      </c>
      <c r="K1554" t="str">
        <f t="shared" si="149"/>
        <v>L</v>
      </c>
      <c r="L1554" t="str">
        <f t="shared" si="146"/>
        <v>Watty</v>
      </c>
      <c r="M1554" t="str">
        <f>VLOOKUP(L1554,References!$A$2:$B$16,2,FALSE)</f>
        <v>AKCOVA</v>
      </c>
      <c r="N1554" s="19" t="str">
        <f>IF(M1554=M1555,"N","Y")</f>
        <v>N</v>
      </c>
      <c r="O1554">
        <f>SUM(I1554:I1555)</f>
        <v>174</v>
      </c>
      <c r="P1554">
        <f t="shared" si="148"/>
        <v>91</v>
      </c>
    </row>
    <row r="1555" spans="1:16" hidden="1" x14ac:dyDescent="0.3">
      <c r="A1555" t="str">
        <f t="shared" si="147"/>
        <v>2023Mark2</v>
      </c>
      <c r="B1555">
        <f t="shared" si="144"/>
        <v>803</v>
      </c>
      <c r="C1555">
        <f t="shared" si="145"/>
        <v>992</v>
      </c>
      <c r="D1555" t="s">
        <v>22</v>
      </c>
      <c r="E1555" t="str">
        <f>D1554</f>
        <v>Watty</v>
      </c>
      <c r="F1555">
        <v>2023</v>
      </c>
      <c r="G1555">
        <v>2</v>
      </c>
      <c r="H1555">
        <v>5.2</v>
      </c>
      <c r="I1555">
        <v>91</v>
      </c>
      <c r="J1555">
        <f>I1555-I1554</f>
        <v>8</v>
      </c>
      <c r="K1555" t="str">
        <f t="shared" si="149"/>
        <v>W</v>
      </c>
      <c r="L1555" t="str">
        <f t="shared" si="146"/>
        <v>Mark</v>
      </c>
      <c r="M1555" t="str">
        <f>VLOOKUP(L1555,References!$A$2:$B$16,2,FALSE)</f>
        <v>AKCOVA</v>
      </c>
      <c r="N1555" s="19" t="str">
        <f>IF(M1555=M1554,"N","Y")</f>
        <v>N</v>
      </c>
      <c r="O1555">
        <f>SUM(I1554:I1555)</f>
        <v>174</v>
      </c>
      <c r="P1555">
        <f t="shared" si="148"/>
        <v>83</v>
      </c>
    </row>
    <row r="1556" spans="1:16" hidden="1" x14ac:dyDescent="0.3">
      <c r="A1556" t="str">
        <f t="shared" si="147"/>
        <v>2023Charles2</v>
      </c>
      <c r="B1556">
        <f t="shared" si="144"/>
        <v>897</v>
      </c>
      <c r="C1556">
        <f t="shared" si="145"/>
        <v>1100</v>
      </c>
      <c r="D1556" t="s">
        <v>48</v>
      </c>
      <c r="E1556" t="str">
        <f>D1557</f>
        <v>Arnold</v>
      </c>
      <c r="F1556">
        <v>2023</v>
      </c>
      <c r="G1556">
        <v>2</v>
      </c>
      <c r="H1556">
        <v>6.1</v>
      </c>
      <c r="I1556">
        <v>88</v>
      </c>
      <c r="J1556">
        <f>I1556-I1557</f>
        <v>5</v>
      </c>
      <c r="K1556" t="str">
        <f t="shared" si="149"/>
        <v>W</v>
      </c>
      <c r="L1556" t="str">
        <f t="shared" si="146"/>
        <v>Charles</v>
      </c>
      <c r="M1556" t="str">
        <f>VLOOKUP(L1556,References!$A$2:$B$16,2,FALSE)</f>
        <v>AKCOVA</v>
      </c>
      <c r="N1556" s="19" t="str">
        <f>IF(M1556=M1557,"N","Y")</f>
        <v>N</v>
      </c>
      <c r="O1556">
        <f>SUM(I1556:I1557)</f>
        <v>171</v>
      </c>
      <c r="P1556">
        <f t="shared" si="148"/>
        <v>83</v>
      </c>
    </row>
    <row r="1557" spans="1:16" hidden="1" x14ac:dyDescent="0.3">
      <c r="A1557" t="str">
        <f t="shared" si="147"/>
        <v>2023Arnold2</v>
      </c>
      <c r="B1557">
        <f t="shared" si="144"/>
        <v>1177</v>
      </c>
      <c r="C1557">
        <f t="shared" si="145"/>
        <v>1282</v>
      </c>
      <c r="D1557" t="s">
        <v>227</v>
      </c>
      <c r="E1557" t="str">
        <f>D1556</f>
        <v>Charles</v>
      </c>
      <c r="F1557">
        <v>2023</v>
      </c>
      <c r="G1557">
        <v>2</v>
      </c>
      <c r="H1557">
        <v>6.2</v>
      </c>
      <c r="I1557">
        <v>83</v>
      </c>
      <c r="J1557">
        <f>I1557-I1556</f>
        <v>-5</v>
      </c>
      <c r="K1557" t="str">
        <f t="shared" si="149"/>
        <v>L</v>
      </c>
      <c r="L1557" t="str">
        <f t="shared" si="146"/>
        <v>Arnold</v>
      </c>
      <c r="M1557" t="str">
        <f>VLOOKUP(L1557,References!$A$2:$B$16,2,FALSE)</f>
        <v>AKCOVA</v>
      </c>
      <c r="N1557" s="19" t="str">
        <f>IF(M1557=M1556,"N","Y")</f>
        <v>N</v>
      </c>
      <c r="O1557">
        <f>SUM(I1556:I1557)</f>
        <v>171</v>
      </c>
      <c r="P1557">
        <f t="shared" si="148"/>
        <v>88</v>
      </c>
    </row>
    <row r="1558" spans="1:16" hidden="1" x14ac:dyDescent="0.3">
      <c r="A1558" t="str">
        <f t="shared" si="147"/>
        <v>2023Michael3</v>
      </c>
      <c r="B1558">
        <f t="shared" si="144"/>
        <v>89</v>
      </c>
      <c r="C1558">
        <f t="shared" si="145"/>
        <v>292</v>
      </c>
      <c r="D1558" t="s">
        <v>23</v>
      </c>
      <c r="E1558" t="str">
        <f>D1559</f>
        <v>Watty</v>
      </c>
      <c r="F1558">
        <v>2023</v>
      </c>
      <c r="G1558">
        <v>3</v>
      </c>
      <c r="H1558">
        <v>1.1000000000000001</v>
      </c>
      <c r="I1558">
        <v>116</v>
      </c>
      <c r="J1558">
        <f>I1558-I1559</f>
        <v>53</v>
      </c>
      <c r="K1558" t="str">
        <f t="shared" si="149"/>
        <v>W</v>
      </c>
      <c r="L1558" t="str">
        <f t="shared" si="146"/>
        <v>Michael</v>
      </c>
      <c r="M1558" t="str">
        <f>VLOOKUP(L1558,References!$A$2:$B$16,2,FALSE)</f>
        <v>AKCOVA</v>
      </c>
      <c r="N1558" s="19" t="str">
        <f>IF(M1558=M1559,"N","Y")</f>
        <v>N</v>
      </c>
      <c r="O1558">
        <f>SUM(I1558:I1559)</f>
        <v>179</v>
      </c>
      <c r="P1558">
        <f t="shared" si="148"/>
        <v>63</v>
      </c>
    </row>
    <row r="1559" spans="1:16" hidden="1" x14ac:dyDescent="0.3">
      <c r="A1559" t="str">
        <f t="shared" si="147"/>
        <v>2023Watty3</v>
      </c>
      <c r="B1559">
        <f t="shared" si="144"/>
        <v>1997</v>
      </c>
      <c r="C1559">
        <f t="shared" si="145"/>
        <v>1885</v>
      </c>
      <c r="D1559" t="s">
        <v>24</v>
      </c>
      <c r="E1559" t="str">
        <f>D1558</f>
        <v>Michael</v>
      </c>
      <c r="F1559">
        <v>2023</v>
      </c>
      <c r="G1559">
        <v>3</v>
      </c>
      <c r="H1559">
        <v>1.2</v>
      </c>
      <c r="I1559" s="110">
        <v>63</v>
      </c>
      <c r="J1559">
        <f>I1559-I1558</f>
        <v>-53</v>
      </c>
      <c r="K1559" t="str">
        <f t="shared" si="149"/>
        <v>L</v>
      </c>
      <c r="L1559" t="str">
        <f t="shared" si="146"/>
        <v>Watty</v>
      </c>
      <c r="M1559" t="str">
        <f>VLOOKUP(L1559,References!$A$2:$B$16,2,FALSE)</f>
        <v>AKCOVA</v>
      </c>
      <c r="N1559" s="19" t="str">
        <f>IF(M1559=M1558,"N","Y")</f>
        <v>N</v>
      </c>
      <c r="O1559">
        <f>SUM(I1558:I1559)</f>
        <v>179</v>
      </c>
      <c r="P1559">
        <f t="shared" si="148"/>
        <v>116</v>
      </c>
    </row>
    <row r="1560" spans="1:16" hidden="1" x14ac:dyDescent="0.3">
      <c r="A1560" t="str">
        <f t="shared" si="147"/>
        <v>2023Emily3</v>
      </c>
      <c r="B1560">
        <f t="shared" si="144"/>
        <v>685</v>
      </c>
      <c r="C1560">
        <f t="shared" si="145"/>
        <v>1100</v>
      </c>
      <c r="D1560" t="s">
        <v>43</v>
      </c>
      <c r="E1560" t="str">
        <f>D1561</f>
        <v>Russell</v>
      </c>
      <c r="F1560">
        <v>2023</v>
      </c>
      <c r="G1560">
        <v>3</v>
      </c>
      <c r="H1560">
        <v>2.1</v>
      </c>
      <c r="I1560">
        <v>88</v>
      </c>
      <c r="J1560">
        <f>I1560-I1561</f>
        <v>13</v>
      </c>
      <c r="K1560" t="str">
        <f t="shared" si="149"/>
        <v>W</v>
      </c>
      <c r="L1560" t="str">
        <f t="shared" si="146"/>
        <v>Emily</v>
      </c>
      <c r="M1560" t="str">
        <f>VLOOKUP(L1560,References!$A$2:$B$16,2,FALSE)</f>
        <v>TEXAROK</v>
      </c>
      <c r="N1560" s="19" t="str">
        <f>IF(M1560=M1561,"N","Y")</f>
        <v>N</v>
      </c>
      <c r="O1560">
        <f>SUM(I1560:I1561)</f>
        <v>163</v>
      </c>
      <c r="P1560">
        <f t="shared" si="148"/>
        <v>75</v>
      </c>
    </row>
    <row r="1561" spans="1:16" hidden="1" x14ac:dyDescent="0.3">
      <c r="A1561" t="str">
        <f t="shared" si="147"/>
        <v>2023Russell3</v>
      </c>
      <c r="B1561">
        <f t="shared" si="144"/>
        <v>1381</v>
      </c>
      <c r="C1561">
        <f t="shared" si="145"/>
        <v>1595</v>
      </c>
      <c r="D1561" t="s">
        <v>28</v>
      </c>
      <c r="E1561" t="str">
        <f>D1560</f>
        <v>Emily</v>
      </c>
      <c r="F1561">
        <v>2023</v>
      </c>
      <c r="G1561">
        <v>3</v>
      </c>
      <c r="H1561">
        <v>2.2000000000000002</v>
      </c>
      <c r="I1561">
        <v>75</v>
      </c>
      <c r="J1561">
        <f>I1561-I1560</f>
        <v>-13</v>
      </c>
      <c r="K1561" t="str">
        <f t="shared" si="149"/>
        <v>L</v>
      </c>
      <c r="L1561" t="str">
        <f t="shared" si="146"/>
        <v>Russell</v>
      </c>
      <c r="M1561" t="str">
        <f>VLOOKUP(L1561,References!$A$2:$B$16,2,FALSE)</f>
        <v>TEXAROK</v>
      </c>
      <c r="N1561" s="19" t="str">
        <f>IF(M1561=M1560,"N","Y")</f>
        <v>N</v>
      </c>
      <c r="O1561">
        <f>SUM(I1560:I1561)</f>
        <v>163</v>
      </c>
      <c r="P1561">
        <f t="shared" si="148"/>
        <v>88</v>
      </c>
    </row>
    <row r="1562" spans="1:16" hidden="1" x14ac:dyDescent="0.3">
      <c r="A1562" t="str">
        <f t="shared" si="147"/>
        <v>2023David3</v>
      </c>
      <c r="B1562">
        <f t="shared" si="144"/>
        <v>1336</v>
      </c>
      <c r="C1562">
        <f t="shared" si="145"/>
        <v>1867</v>
      </c>
      <c r="D1562" t="s">
        <v>29</v>
      </c>
      <c r="E1562" t="str">
        <f>D1563</f>
        <v>Matt</v>
      </c>
      <c r="F1562">
        <v>2023</v>
      </c>
      <c r="G1562">
        <v>3</v>
      </c>
      <c r="H1562">
        <v>3.1</v>
      </c>
      <c r="I1562" s="110">
        <v>64</v>
      </c>
      <c r="J1562">
        <f>I1562-I1563</f>
        <v>-11</v>
      </c>
      <c r="K1562" t="str">
        <f t="shared" si="149"/>
        <v>L</v>
      </c>
      <c r="L1562" t="str">
        <f t="shared" si="146"/>
        <v>David</v>
      </c>
      <c r="M1562" t="str">
        <f>VLOOKUP(L1562,References!$A$2:$B$16,2,FALSE)</f>
        <v>TEXAROK</v>
      </c>
      <c r="N1562" s="19" t="str">
        <f>IF(M1562=M1563,"N","Y")</f>
        <v>N</v>
      </c>
      <c r="O1562">
        <f>SUM(I1562:I1563)</f>
        <v>139</v>
      </c>
      <c r="P1562">
        <f t="shared" si="148"/>
        <v>75</v>
      </c>
    </row>
    <row r="1563" spans="1:16" hidden="1" x14ac:dyDescent="0.3">
      <c r="A1563" t="str">
        <f t="shared" si="147"/>
        <v>2023Matt3</v>
      </c>
      <c r="B1563">
        <f t="shared" si="144"/>
        <v>737</v>
      </c>
      <c r="C1563">
        <f t="shared" si="145"/>
        <v>1595</v>
      </c>
      <c r="D1563" t="s">
        <v>30</v>
      </c>
      <c r="E1563" t="str">
        <f>D1562</f>
        <v>David</v>
      </c>
      <c r="F1563">
        <v>2023</v>
      </c>
      <c r="G1563">
        <v>3</v>
      </c>
      <c r="H1563">
        <v>3.2</v>
      </c>
      <c r="I1563">
        <v>75</v>
      </c>
      <c r="J1563">
        <f>I1563-I1562</f>
        <v>11</v>
      </c>
      <c r="K1563" t="str">
        <f t="shared" si="149"/>
        <v>W</v>
      </c>
      <c r="L1563" t="str">
        <f t="shared" si="146"/>
        <v>Matt</v>
      </c>
      <c r="M1563" t="str">
        <f>VLOOKUP(L1563,References!$A$2:$B$16,2,FALSE)</f>
        <v>TEXAROK</v>
      </c>
      <c r="N1563" s="19" t="str">
        <f>IF(M1563=M1562,"N","Y")</f>
        <v>N</v>
      </c>
      <c r="O1563">
        <f>SUM(I1562:I1563)</f>
        <v>139</v>
      </c>
      <c r="P1563">
        <f t="shared" si="148"/>
        <v>64</v>
      </c>
    </row>
    <row r="1564" spans="1:16" hidden="1" x14ac:dyDescent="0.3">
      <c r="A1564" t="str">
        <f t="shared" si="147"/>
        <v>2023Brent3</v>
      </c>
      <c r="B1564">
        <f t="shared" si="144"/>
        <v>803</v>
      </c>
      <c r="C1564">
        <f t="shared" si="145"/>
        <v>173</v>
      </c>
      <c r="D1564" t="s">
        <v>47</v>
      </c>
      <c r="E1564" t="str">
        <f>D1565</f>
        <v>Brian</v>
      </c>
      <c r="F1564">
        <v>2023</v>
      </c>
      <c r="G1564">
        <v>3</v>
      </c>
      <c r="H1564">
        <v>4.0999999999999996</v>
      </c>
      <c r="I1564">
        <v>124</v>
      </c>
      <c r="J1564">
        <f>I1564-I1565</f>
        <v>8</v>
      </c>
      <c r="K1564" t="str">
        <f t="shared" si="149"/>
        <v>W</v>
      </c>
      <c r="L1564" t="str">
        <f t="shared" si="146"/>
        <v>Brent</v>
      </c>
      <c r="M1564" t="str">
        <f>VLOOKUP(L1564,References!$A$2:$B$16,2,FALSE)</f>
        <v>TEXAROK</v>
      </c>
      <c r="N1564" s="19" t="str">
        <f>IF(M1564=M1565,"N","Y")</f>
        <v>N</v>
      </c>
      <c r="O1564">
        <f>SUM(I1564:I1565)</f>
        <v>240</v>
      </c>
      <c r="P1564">
        <f t="shared" si="148"/>
        <v>116</v>
      </c>
    </row>
    <row r="1565" spans="1:16" hidden="1" x14ac:dyDescent="0.3">
      <c r="A1565" t="str">
        <f t="shared" si="147"/>
        <v>2023Brian3</v>
      </c>
      <c r="B1565">
        <f t="shared" si="144"/>
        <v>1258</v>
      </c>
      <c r="C1565">
        <f t="shared" si="145"/>
        <v>292</v>
      </c>
      <c r="D1565" t="s">
        <v>26</v>
      </c>
      <c r="E1565" t="str">
        <f>D1564</f>
        <v>Brent</v>
      </c>
      <c r="F1565">
        <v>2023</v>
      </c>
      <c r="G1565">
        <v>3</v>
      </c>
      <c r="H1565">
        <v>4.2</v>
      </c>
      <c r="I1565">
        <v>116</v>
      </c>
      <c r="J1565">
        <f>I1565-I1564</f>
        <v>-8</v>
      </c>
      <c r="K1565" t="str">
        <f t="shared" si="149"/>
        <v>L</v>
      </c>
      <c r="L1565" t="str">
        <f t="shared" si="146"/>
        <v>Brian</v>
      </c>
      <c r="M1565" t="str">
        <f>VLOOKUP(L1565,References!$A$2:$B$16,2,FALSE)</f>
        <v>TEXAROK</v>
      </c>
      <c r="N1565" s="19" t="str">
        <f>IF(M1565=M1564,"N","Y")</f>
        <v>N</v>
      </c>
      <c r="O1565">
        <f>SUM(I1564:I1565)</f>
        <v>240</v>
      </c>
      <c r="P1565">
        <f t="shared" si="148"/>
        <v>124</v>
      </c>
    </row>
    <row r="1566" spans="1:16" hidden="1" x14ac:dyDescent="0.3">
      <c r="A1566" t="str">
        <f t="shared" si="147"/>
        <v>2023Mark3</v>
      </c>
      <c r="B1566">
        <f t="shared" si="144"/>
        <v>489</v>
      </c>
      <c r="C1566">
        <f t="shared" si="145"/>
        <v>197</v>
      </c>
      <c r="D1566" t="s">
        <v>22</v>
      </c>
      <c r="E1566" t="str">
        <f>D1567</f>
        <v>Arnold</v>
      </c>
      <c r="F1566">
        <v>2023</v>
      </c>
      <c r="G1566">
        <v>3</v>
      </c>
      <c r="H1566">
        <v>5.0999999999999996</v>
      </c>
      <c r="I1566">
        <v>122</v>
      </c>
      <c r="J1566">
        <f>I1566-I1567</f>
        <v>21</v>
      </c>
      <c r="K1566" t="str">
        <f t="shared" si="149"/>
        <v>W</v>
      </c>
      <c r="L1566" t="str">
        <f t="shared" si="146"/>
        <v>Mark</v>
      </c>
      <c r="M1566" t="str">
        <f>VLOOKUP(L1566,References!$A$2:$B$16,2,FALSE)</f>
        <v>AKCOVA</v>
      </c>
      <c r="N1566" s="19" t="str">
        <f>IF(M1566=M1567,"N","Y")</f>
        <v>N</v>
      </c>
      <c r="O1566">
        <f>SUM(I1566:I1567)</f>
        <v>223</v>
      </c>
      <c r="P1566">
        <f t="shared" si="148"/>
        <v>101</v>
      </c>
    </row>
    <row r="1567" spans="1:16" hidden="1" x14ac:dyDescent="0.3">
      <c r="A1567" t="str">
        <f t="shared" si="147"/>
        <v>2023Arnold3</v>
      </c>
      <c r="B1567">
        <f t="shared" si="144"/>
        <v>1577</v>
      </c>
      <c r="C1567">
        <f t="shared" si="145"/>
        <v>652</v>
      </c>
      <c r="D1567" t="s">
        <v>227</v>
      </c>
      <c r="E1567" t="str">
        <f>D1566</f>
        <v>Mark</v>
      </c>
      <c r="F1567">
        <v>2023</v>
      </c>
      <c r="G1567">
        <v>3</v>
      </c>
      <c r="H1567">
        <v>5.2</v>
      </c>
      <c r="I1567">
        <v>101</v>
      </c>
      <c r="J1567">
        <f>I1567-I1566</f>
        <v>-21</v>
      </c>
      <c r="K1567" t="str">
        <f t="shared" si="149"/>
        <v>L</v>
      </c>
      <c r="L1567" t="str">
        <f t="shared" si="146"/>
        <v>Arnold</v>
      </c>
      <c r="M1567" t="str">
        <f>VLOOKUP(L1567,References!$A$2:$B$16,2,FALSE)</f>
        <v>AKCOVA</v>
      </c>
      <c r="N1567" s="19" t="str">
        <f>IF(M1567=M1566,"N","Y")</f>
        <v>N</v>
      </c>
      <c r="O1567">
        <f>SUM(I1566:I1567)</f>
        <v>223</v>
      </c>
      <c r="P1567">
        <f t="shared" si="148"/>
        <v>122</v>
      </c>
    </row>
    <row r="1568" spans="1:16" hidden="1" x14ac:dyDescent="0.3">
      <c r="A1568" t="str">
        <f t="shared" si="147"/>
        <v>2023BR3</v>
      </c>
      <c r="B1568">
        <f t="shared" si="144"/>
        <v>782</v>
      </c>
      <c r="C1568">
        <f t="shared" si="145"/>
        <v>1468</v>
      </c>
      <c r="D1568" t="s">
        <v>25</v>
      </c>
      <c r="E1568" t="str">
        <f>D1569</f>
        <v>Charles</v>
      </c>
      <c r="F1568">
        <v>2023</v>
      </c>
      <c r="G1568">
        <v>3</v>
      </c>
      <c r="H1568">
        <v>6.1</v>
      </c>
      <c r="I1568">
        <v>78</v>
      </c>
      <c r="J1568">
        <f>I1568-I1569</f>
        <v>9</v>
      </c>
      <c r="K1568" t="str">
        <f t="shared" si="149"/>
        <v>W</v>
      </c>
      <c r="L1568" t="str">
        <f t="shared" si="146"/>
        <v>BR</v>
      </c>
      <c r="M1568" t="str">
        <f>VLOOKUP(L1568,References!$A$2:$B$16,2,FALSE)</f>
        <v>AKCOVA</v>
      </c>
      <c r="N1568" s="19" t="str">
        <f>IF(M1568=M1569,"N","Y")</f>
        <v>N</v>
      </c>
      <c r="O1568">
        <f>SUM(I1568:I1569)</f>
        <v>147</v>
      </c>
      <c r="P1568">
        <f t="shared" si="148"/>
        <v>69</v>
      </c>
    </row>
    <row r="1569" spans="1:16" hidden="1" x14ac:dyDescent="0.3">
      <c r="A1569" t="str">
        <f t="shared" si="147"/>
        <v>2023Charles3</v>
      </c>
      <c r="B1569">
        <f t="shared" si="144"/>
        <v>1291</v>
      </c>
      <c r="C1569">
        <f t="shared" si="145"/>
        <v>1767</v>
      </c>
      <c r="D1569" t="s">
        <v>48</v>
      </c>
      <c r="E1569" t="str">
        <f>D1568</f>
        <v>BR</v>
      </c>
      <c r="F1569">
        <v>2023</v>
      </c>
      <c r="G1569">
        <v>3</v>
      </c>
      <c r="H1569">
        <v>6.2</v>
      </c>
      <c r="I1569">
        <v>69</v>
      </c>
      <c r="J1569">
        <f>I1569-I1568</f>
        <v>-9</v>
      </c>
      <c r="K1569" t="str">
        <f t="shared" si="149"/>
        <v>L</v>
      </c>
      <c r="L1569" t="str">
        <f t="shared" si="146"/>
        <v>Charles</v>
      </c>
      <c r="M1569" t="str">
        <f>VLOOKUP(L1569,References!$A$2:$B$16,2,FALSE)</f>
        <v>AKCOVA</v>
      </c>
      <c r="N1569" s="19" t="str">
        <f>IF(M1569=M1568,"N","Y")</f>
        <v>N</v>
      </c>
      <c r="O1569">
        <f>SUM(I1568:I1569)</f>
        <v>147</v>
      </c>
      <c r="P1569">
        <f t="shared" si="148"/>
        <v>78</v>
      </c>
    </row>
    <row r="1570" spans="1:16" hidden="1" x14ac:dyDescent="0.3">
      <c r="A1570" t="str">
        <f t="shared" si="147"/>
        <v>2023Arnold4</v>
      </c>
      <c r="B1570">
        <f t="shared" si="144"/>
        <v>1840</v>
      </c>
      <c r="C1570">
        <f t="shared" si="145"/>
        <v>958</v>
      </c>
      <c r="D1570" t="s">
        <v>227</v>
      </c>
      <c r="E1570" t="str">
        <f>D1571</f>
        <v>Michael</v>
      </c>
      <c r="F1570">
        <v>2023</v>
      </c>
      <c r="G1570">
        <v>4</v>
      </c>
      <c r="H1570">
        <v>1.1000000000000001</v>
      </c>
      <c r="I1570">
        <v>92</v>
      </c>
      <c r="J1570">
        <f>I1570-I1571</f>
        <v>-36</v>
      </c>
      <c r="K1570" t="str">
        <f t="shared" si="149"/>
        <v>L</v>
      </c>
      <c r="L1570" t="str">
        <f t="shared" si="146"/>
        <v>Arnold</v>
      </c>
      <c r="M1570" t="str">
        <f>VLOOKUP(L1570,References!$A$2:$B$16,2,FALSE)</f>
        <v>AKCOVA</v>
      </c>
      <c r="N1570" s="19" t="str">
        <f>IF(M1570=M1571,"N","Y")</f>
        <v>N</v>
      </c>
      <c r="O1570">
        <f>SUM(I1570:I1571)</f>
        <v>220</v>
      </c>
      <c r="P1570">
        <f t="shared" si="148"/>
        <v>128</v>
      </c>
    </row>
    <row r="1571" spans="1:16" hidden="1" x14ac:dyDescent="0.3">
      <c r="A1571" t="str">
        <f t="shared" si="147"/>
        <v>2023Michael4</v>
      </c>
      <c r="B1571">
        <f t="shared" si="144"/>
        <v>238</v>
      </c>
      <c r="C1571">
        <f t="shared" si="145"/>
        <v>128</v>
      </c>
      <c r="D1571" t="s">
        <v>23</v>
      </c>
      <c r="E1571" t="str">
        <f>D1570</f>
        <v>Arnold</v>
      </c>
      <c r="F1571">
        <v>2023</v>
      </c>
      <c r="G1571">
        <v>4</v>
      </c>
      <c r="H1571">
        <v>1.2</v>
      </c>
      <c r="I1571">
        <v>128</v>
      </c>
      <c r="J1571">
        <f>I1571-I1570</f>
        <v>36</v>
      </c>
      <c r="K1571" t="str">
        <f t="shared" si="149"/>
        <v>W</v>
      </c>
      <c r="L1571" t="str">
        <f t="shared" si="146"/>
        <v>Michael</v>
      </c>
      <c r="M1571" t="str">
        <f>VLOOKUP(L1571,References!$A$2:$B$16,2,FALSE)</f>
        <v>AKCOVA</v>
      </c>
      <c r="N1571" s="19" t="str">
        <f>IF(M1571=M1570,"N","Y")</f>
        <v>N</v>
      </c>
      <c r="O1571">
        <f>SUM(I1570:I1571)</f>
        <v>220</v>
      </c>
      <c r="P1571">
        <f t="shared" si="148"/>
        <v>92</v>
      </c>
    </row>
    <row r="1572" spans="1:16" hidden="1" x14ac:dyDescent="0.3">
      <c r="A1572" t="str">
        <f t="shared" si="147"/>
        <v>2023Russell4</v>
      </c>
      <c r="B1572">
        <f t="shared" si="144"/>
        <v>4</v>
      </c>
      <c r="C1572">
        <f t="shared" si="145"/>
        <v>48</v>
      </c>
      <c r="D1572" t="s">
        <v>28</v>
      </c>
      <c r="E1572" t="str">
        <f>D1573</f>
        <v>Brian</v>
      </c>
      <c r="F1572">
        <v>2023</v>
      </c>
      <c r="G1572">
        <v>4</v>
      </c>
      <c r="H1572">
        <v>2.1</v>
      </c>
      <c r="I1572">
        <v>142</v>
      </c>
      <c r="J1572">
        <f>I1572-I1573</f>
        <v>88</v>
      </c>
      <c r="K1572" t="str">
        <f t="shared" si="149"/>
        <v>W</v>
      </c>
      <c r="L1572" t="str">
        <f t="shared" si="146"/>
        <v>Russell</v>
      </c>
      <c r="M1572" t="str">
        <f>VLOOKUP(L1572,References!$A$2:$B$16,2,FALSE)</f>
        <v>TEXAROK</v>
      </c>
      <c r="N1572" s="19" t="str">
        <f>IF(M1572=M1573,"N","Y")</f>
        <v>N</v>
      </c>
      <c r="O1572">
        <f>SUM(I1572:I1573)</f>
        <v>196</v>
      </c>
      <c r="P1572">
        <f t="shared" si="148"/>
        <v>54</v>
      </c>
    </row>
    <row r="1573" spans="1:16" hidden="1" x14ac:dyDescent="0.3">
      <c r="A1573" t="str">
        <f t="shared" si="147"/>
        <v>2023Brian4</v>
      </c>
      <c r="B1573">
        <f t="shared" si="144"/>
        <v>2089</v>
      </c>
      <c r="C1573">
        <f t="shared" si="145"/>
        <v>2017</v>
      </c>
      <c r="D1573" t="s">
        <v>26</v>
      </c>
      <c r="E1573" t="str">
        <f>D1572</f>
        <v>Russell</v>
      </c>
      <c r="F1573">
        <v>2023</v>
      </c>
      <c r="G1573">
        <v>4</v>
      </c>
      <c r="H1573">
        <v>2.2000000000000002</v>
      </c>
      <c r="I1573" s="110">
        <v>54</v>
      </c>
      <c r="J1573">
        <f>I1573-I1572</f>
        <v>-88</v>
      </c>
      <c r="K1573" t="str">
        <f t="shared" si="149"/>
        <v>L</v>
      </c>
      <c r="L1573" t="str">
        <f t="shared" si="146"/>
        <v>Brian</v>
      </c>
      <c r="M1573" t="str">
        <f>VLOOKUP(L1573,References!$A$2:$B$16,2,FALSE)</f>
        <v>TEXAROK</v>
      </c>
      <c r="N1573" s="19" t="str">
        <f>IF(M1573=M1572,"N","Y")</f>
        <v>N</v>
      </c>
      <c r="O1573">
        <f>SUM(I1572:I1573)</f>
        <v>196</v>
      </c>
      <c r="P1573">
        <f t="shared" si="148"/>
        <v>142</v>
      </c>
    </row>
    <row r="1574" spans="1:16" hidden="1" x14ac:dyDescent="0.3">
      <c r="A1574" t="str">
        <f t="shared" si="147"/>
        <v>2023David4</v>
      </c>
      <c r="B1574">
        <f t="shared" si="144"/>
        <v>1577</v>
      </c>
      <c r="C1574">
        <f t="shared" si="145"/>
        <v>857</v>
      </c>
      <c r="D1574" t="s">
        <v>29</v>
      </c>
      <c r="E1574" t="str">
        <f>D1575</f>
        <v>Brent</v>
      </c>
      <c r="F1574">
        <v>2023</v>
      </c>
      <c r="G1574">
        <v>4</v>
      </c>
      <c r="H1574">
        <v>3.1</v>
      </c>
      <c r="I1574">
        <v>95</v>
      </c>
      <c r="J1574">
        <f>I1574-I1575</f>
        <v>-21</v>
      </c>
      <c r="K1574" t="str">
        <f t="shared" si="149"/>
        <v>L</v>
      </c>
      <c r="L1574" t="str">
        <f t="shared" si="146"/>
        <v>David</v>
      </c>
      <c r="M1574" t="str">
        <f>VLOOKUP(L1574,References!$A$2:$B$16,2,FALSE)</f>
        <v>TEXAROK</v>
      </c>
      <c r="N1574" s="19" t="str">
        <f>IF(M1574=M1575,"N","Y")</f>
        <v>N</v>
      </c>
      <c r="O1574">
        <f>SUM(I1574:I1575)</f>
        <v>211</v>
      </c>
      <c r="P1574">
        <f t="shared" si="148"/>
        <v>116</v>
      </c>
    </row>
    <row r="1575" spans="1:16" hidden="1" x14ac:dyDescent="0.3">
      <c r="A1575" t="str">
        <f t="shared" si="147"/>
        <v>2023Brent4</v>
      </c>
      <c r="B1575">
        <f t="shared" si="144"/>
        <v>489</v>
      </c>
      <c r="C1575">
        <f t="shared" si="145"/>
        <v>292</v>
      </c>
      <c r="D1575" t="s">
        <v>47</v>
      </c>
      <c r="E1575" t="str">
        <f>D1574</f>
        <v>David</v>
      </c>
      <c r="F1575">
        <v>2023</v>
      </c>
      <c r="G1575">
        <v>4</v>
      </c>
      <c r="H1575">
        <v>3.2</v>
      </c>
      <c r="I1575">
        <v>116</v>
      </c>
      <c r="J1575">
        <f>I1575-I1574</f>
        <v>21</v>
      </c>
      <c r="K1575" t="str">
        <f t="shared" si="149"/>
        <v>W</v>
      </c>
      <c r="L1575" t="str">
        <f t="shared" si="146"/>
        <v>Brent</v>
      </c>
      <c r="M1575" t="str">
        <f>VLOOKUP(L1575,References!$A$2:$B$16,2,FALSE)</f>
        <v>TEXAROK</v>
      </c>
      <c r="N1575" s="19" t="str">
        <f>IF(M1575=M1574,"N","Y")</f>
        <v>N</v>
      </c>
      <c r="O1575">
        <f>SUM(I1574:I1575)</f>
        <v>211</v>
      </c>
      <c r="P1575">
        <f t="shared" si="148"/>
        <v>95</v>
      </c>
    </row>
    <row r="1576" spans="1:16" hidden="1" x14ac:dyDescent="0.3">
      <c r="A1576" t="str">
        <f t="shared" si="147"/>
        <v>2023Emily4</v>
      </c>
      <c r="B1576">
        <f t="shared" si="144"/>
        <v>1409</v>
      </c>
      <c r="C1576">
        <f t="shared" si="145"/>
        <v>714</v>
      </c>
      <c r="D1576" t="s">
        <v>43</v>
      </c>
      <c r="E1576" t="str">
        <f>D1577</f>
        <v>Matt</v>
      </c>
      <c r="F1576">
        <v>2023</v>
      </c>
      <c r="G1576">
        <v>4</v>
      </c>
      <c r="H1576">
        <v>4.0999999999999996</v>
      </c>
      <c r="I1576">
        <v>99</v>
      </c>
      <c r="J1576">
        <f>I1576-I1577</f>
        <v>-14</v>
      </c>
      <c r="K1576" t="str">
        <f t="shared" si="149"/>
        <v>L</v>
      </c>
      <c r="L1576" t="str">
        <f t="shared" si="146"/>
        <v>Emily</v>
      </c>
      <c r="M1576" t="str">
        <f>VLOOKUP(L1576,References!$A$2:$B$16,2,FALSE)</f>
        <v>TEXAROK</v>
      </c>
      <c r="N1576" s="19" t="str">
        <f>IF(M1576=M1577,"N","Y")</f>
        <v>N</v>
      </c>
      <c r="O1576">
        <f>SUM(I1576:I1577)</f>
        <v>212</v>
      </c>
      <c r="P1576">
        <f t="shared" si="148"/>
        <v>113</v>
      </c>
    </row>
    <row r="1577" spans="1:16" hidden="1" x14ac:dyDescent="0.3">
      <c r="A1577" t="str">
        <f t="shared" si="147"/>
        <v>2023Matt4</v>
      </c>
      <c r="B1577">
        <f t="shared" si="144"/>
        <v>660</v>
      </c>
      <c r="C1577">
        <f t="shared" si="145"/>
        <v>339</v>
      </c>
      <c r="D1577" t="s">
        <v>30</v>
      </c>
      <c r="E1577" t="str">
        <f>D1576</f>
        <v>Emily</v>
      </c>
      <c r="F1577">
        <v>2023</v>
      </c>
      <c r="G1577">
        <v>4</v>
      </c>
      <c r="H1577">
        <v>4.2</v>
      </c>
      <c r="I1577">
        <v>113</v>
      </c>
      <c r="J1577">
        <f>I1577-I1576</f>
        <v>14</v>
      </c>
      <c r="K1577" t="str">
        <f t="shared" si="149"/>
        <v>W</v>
      </c>
      <c r="L1577" t="str">
        <f t="shared" si="146"/>
        <v>Matt</v>
      </c>
      <c r="M1577" t="str">
        <f>VLOOKUP(L1577,References!$A$2:$B$16,2,FALSE)</f>
        <v>TEXAROK</v>
      </c>
      <c r="N1577" s="19" t="str">
        <f>IF(M1577=M1576,"N","Y")</f>
        <v>N</v>
      </c>
      <c r="O1577">
        <f>SUM(I1576:I1577)</f>
        <v>212</v>
      </c>
      <c r="P1577">
        <f t="shared" si="148"/>
        <v>99</v>
      </c>
    </row>
    <row r="1578" spans="1:16" hidden="1" x14ac:dyDescent="0.3">
      <c r="A1578" t="str">
        <f t="shared" si="147"/>
        <v>2023Watty4</v>
      </c>
      <c r="B1578">
        <f t="shared" si="144"/>
        <v>450</v>
      </c>
      <c r="C1578">
        <f t="shared" si="145"/>
        <v>383</v>
      </c>
      <c r="D1578" t="s">
        <v>24</v>
      </c>
      <c r="E1578" t="str">
        <f>D1579</f>
        <v>BR</v>
      </c>
      <c r="F1578">
        <v>2023</v>
      </c>
      <c r="G1578">
        <v>4</v>
      </c>
      <c r="H1578">
        <v>5.0999999999999996</v>
      </c>
      <c r="I1578">
        <v>111</v>
      </c>
      <c r="J1578">
        <f>I1578-I1579</f>
        <v>23</v>
      </c>
      <c r="K1578" t="str">
        <f t="shared" si="149"/>
        <v>W</v>
      </c>
      <c r="L1578" t="str">
        <f t="shared" si="146"/>
        <v>Watty</v>
      </c>
      <c r="M1578" t="str">
        <f>VLOOKUP(L1578,References!$A$2:$B$16,2,FALSE)</f>
        <v>AKCOVA</v>
      </c>
      <c r="N1578" s="19" t="str">
        <f>IF(M1578=M1579,"N","Y")</f>
        <v>N</v>
      </c>
      <c r="O1578">
        <f>SUM(I1578:I1579)</f>
        <v>199</v>
      </c>
      <c r="P1578">
        <f t="shared" si="148"/>
        <v>88</v>
      </c>
    </row>
    <row r="1579" spans="1:16" hidden="1" x14ac:dyDescent="0.3">
      <c r="A1579" t="str">
        <f t="shared" si="147"/>
        <v>2023BR4</v>
      </c>
      <c r="B1579">
        <f t="shared" si="144"/>
        <v>1625</v>
      </c>
      <c r="C1579">
        <f t="shared" si="145"/>
        <v>1100</v>
      </c>
      <c r="D1579" t="s">
        <v>25</v>
      </c>
      <c r="E1579" t="str">
        <f>D1578</f>
        <v>Watty</v>
      </c>
      <c r="F1579">
        <v>2023</v>
      </c>
      <c r="G1579">
        <v>4</v>
      </c>
      <c r="H1579">
        <v>5.2</v>
      </c>
      <c r="I1579">
        <v>88</v>
      </c>
      <c r="J1579">
        <f>I1579-I1578</f>
        <v>-23</v>
      </c>
      <c r="K1579" t="str">
        <f t="shared" si="149"/>
        <v>L</v>
      </c>
      <c r="L1579" t="str">
        <f t="shared" si="146"/>
        <v>BR</v>
      </c>
      <c r="M1579" t="str">
        <f>VLOOKUP(L1579,References!$A$2:$B$16,2,FALSE)</f>
        <v>AKCOVA</v>
      </c>
      <c r="N1579" s="19" t="str">
        <f>IF(M1579=M1578,"N","Y")</f>
        <v>N</v>
      </c>
      <c r="O1579">
        <f>SUM(I1578:I1579)</f>
        <v>199</v>
      </c>
      <c r="P1579">
        <f t="shared" si="148"/>
        <v>111</v>
      </c>
    </row>
    <row r="1580" spans="1:16" hidden="1" x14ac:dyDescent="0.3">
      <c r="A1580" t="str">
        <f t="shared" si="147"/>
        <v>2023Mark4</v>
      </c>
      <c r="B1580">
        <f t="shared" si="144"/>
        <v>2016</v>
      </c>
      <c r="C1580">
        <f t="shared" si="145"/>
        <v>2060</v>
      </c>
      <c r="D1580" t="s">
        <v>22</v>
      </c>
      <c r="E1580" t="str">
        <f>D1581</f>
        <v>Charles</v>
      </c>
      <c r="F1580">
        <v>2023</v>
      </c>
      <c r="G1580">
        <v>4</v>
      </c>
      <c r="H1580">
        <v>6.1</v>
      </c>
      <c r="I1580" s="110">
        <v>48</v>
      </c>
      <c r="J1580">
        <f>I1580-I1581</f>
        <v>-56</v>
      </c>
      <c r="K1580" t="str">
        <f t="shared" si="149"/>
        <v>L</v>
      </c>
      <c r="L1580" t="str">
        <f t="shared" si="146"/>
        <v>Mark</v>
      </c>
      <c r="M1580" t="str">
        <f>VLOOKUP(L1580,References!$A$2:$B$16,2,FALSE)</f>
        <v>AKCOVA</v>
      </c>
      <c r="N1580" s="19" t="str">
        <f>IF(M1580=M1581,"N","Y")</f>
        <v>N</v>
      </c>
      <c r="O1580">
        <f>SUM(I1580:I1581)</f>
        <v>152</v>
      </c>
      <c r="P1580">
        <f t="shared" si="148"/>
        <v>104</v>
      </c>
    </row>
    <row r="1581" spans="1:16" hidden="1" x14ac:dyDescent="0.3">
      <c r="A1581" t="str">
        <f t="shared" si="147"/>
        <v>2023Charles4</v>
      </c>
      <c r="B1581">
        <f t="shared" si="144"/>
        <v>76</v>
      </c>
      <c r="C1581">
        <f t="shared" si="145"/>
        <v>566</v>
      </c>
      <c r="D1581" t="s">
        <v>48</v>
      </c>
      <c r="E1581" t="str">
        <f>D1580</f>
        <v>Mark</v>
      </c>
      <c r="F1581">
        <v>2023</v>
      </c>
      <c r="G1581">
        <v>4</v>
      </c>
      <c r="H1581">
        <v>6.2</v>
      </c>
      <c r="I1581">
        <v>104</v>
      </c>
      <c r="J1581">
        <f>I1581-I1580</f>
        <v>56</v>
      </c>
      <c r="K1581" t="str">
        <f t="shared" si="149"/>
        <v>W</v>
      </c>
      <c r="L1581" t="str">
        <f t="shared" si="146"/>
        <v>Charles</v>
      </c>
      <c r="M1581" t="str">
        <f>VLOOKUP(L1581,References!$A$2:$B$16,2,FALSE)</f>
        <v>AKCOVA</v>
      </c>
      <c r="N1581" s="19" t="str">
        <f>IF(M1581=M1580,"N","Y")</f>
        <v>N</v>
      </c>
      <c r="O1581">
        <f>SUM(I1580:I1581)</f>
        <v>152</v>
      </c>
      <c r="P1581">
        <f t="shared" si="148"/>
        <v>48</v>
      </c>
    </row>
    <row r="1582" spans="1:16" hidden="1" x14ac:dyDescent="0.3">
      <c r="A1582" t="str">
        <f t="shared" si="147"/>
        <v>2023Charles5</v>
      </c>
      <c r="B1582">
        <f t="shared" si="144"/>
        <v>865</v>
      </c>
      <c r="C1582">
        <f t="shared" si="145"/>
        <v>746</v>
      </c>
      <c r="D1582" t="s">
        <v>48</v>
      </c>
      <c r="E1582" t="str">
        <f>D1583</f>
        <v>Michael</v>
      </c>
      <c r="F1582">
        <v>2023</v>
      </c>
      <c r="G1582">
        <v>5</v>
      </c>
      <c r="H1582">
        <v>1.1000000000000001</v>
      </c>
      <c r="I1582">
        <v>98</v>
      </c>
      <c r="J1582">
        <f>I1582-I1583</f>
        <v>6</v>
      </c>
      <c r="K1582" t="str">
        <f t="shared" si="149"/>
        <v>W</v>
      </c>
      <c r="L1582" t="str">
        <f t="shared" si="146"/>
        <v>Charles</v>
      </c>
      <c r="M1582" t="str">
        <f>VLOOKUP(L1582,References!$A$2:$B$16,2,FALSE)</f>
        <v>AKCOVA</v>
      </c>
      <c r="N1582" s="19" t="str">
        <f>IF(M1582=M1583,"N","Y")</f>
        <v>N</v>
      </c>
      <c r="O1582">
        <f>SUM(I1582:I1583)</f>
        <v>190</v>
      </c>
      <c r="P1582">
        <f t="shared" si="148"/>
        <v>92</v>
      </c>
    </row>
    <row r="1583" spans="1:16" hidden="1" x14ac:dyDescent="0.3">
      <c r="A1583" t="str">
        <f t="shared" si="147"/>
        <v>2023Michael5</v>
      </c>
      <c r="B1583">
        <f t="shared" si="144"/>
        <v>1197</v>
      </c>
      <c r="C1583">
        <f t="shared" si="145"/>
        <v>958</v>
      </c>
      <c r="D1583" t="s">
        <v>23</v>
      </c>
      <c r="E1583" t="str">
        <f>D1582</f>
        <v>Charles</v>
      </c>
      <c r="F1583">
        <v>2023</v>
      </c>
      <c r="G1583">
        <v>5</v>
      </c>
      <c r="H1583">
        <v>1.2</v>
      </c>
      <c r="I1583">
        <v>92</v>
      </c>
      <c r="J1583">
        <f>I1583-I1582</f>
        <v>-6</v>
      </c>
      <c r="K1583" t="str">
        <f t="shared" si="149"/>
        <v>L</v>
      </c>
      <c r="L1583" t="str">
        <f t="shared" si="146"/>
        <v>Michael</v>
      </c>
      <c r="M1583" t="str">
        <f>VLOOKUP(L1583,References!$A$2:$B$16,2,FALSE)</f>
        <v>AKCOVA</v>
      </c>
      <c r="N1583" s="19" t="str">
        <f>IF(M1583=M1582,"N","Y")</f>
        <v>N</v>
      </c>
      <c r="O1583">
        <f>SUM(I1582:I1583)</f>
        <v>190</v>
      </c>
      <c r="P1583">
        <f t="shared" si="148"/>
        <v>98</v>
      </c>
    </row>
    <row r="1584" spans="1:16" hidden="1" x14ac:dyDescent="0.3">
      <c r="A1584" t="str">
        <f t="shared" si="147"/>
        <v>2023Matt5</v>
      </c>
      <c r="B1584">
        <f t="shared" si="144"/>
        <v>35</v>
      </c>
      <c r="C1584">
        <f t="shared" si="145"/>
        <v>150</v>
      </c>
      <c r="D1584" t="s">
        <v>30</v>
      </c>
      <c r="E1584" t="str">
        <f>D1585</f>
        <v>Russell</v>
      </c>
      <c r="F1584">
        <v>2023</v>
      </c>
      <c r="G1584">
        <v>5</v>
      </c>
      <c r="H1584">
        <v>2.1</v>
      </c>
      <c r="I1584">
        <v>126</v>
      </c>
      <c r="J1584">
        <f>I1584-I1585</f>
        <v>65</v>
      </c>
      <c r="K1584" t="str">
        <f t="shared" si="149"/>
        <v>W</v>
      </c>
      <c r="L1584" t="str">
        <f t="shared" si="146"/>
        <v>Matt</v>
      </c>
      <c r="M1584" t="str">
        <f>VLOOKUP(L1584,References!$A$2:$B$16,2,FALSE)</f>
        <v>TEXAROK</v>
      </c>
      <c r="N1584" s="19" t="str">
        <f>IF(M1584=M1585,"N","Y")</f>
        <v>N</v>
      </c>
      <c r="O1584">
        <f>SUM(I1584:I1585)</f>
        <v>187</v>
      </c>
      <c r="P1584">
        <f t="shared" si="148"/>
        <v>61</v>
      </c>
    </row>
    <row r="1585" spans="1:16" hidden="1" x14ac:dyDescent="0.3">
      <c r="A1585" t="str">
        <f t="shared" si="147"/>
        <v>2023Russell5</v>
      </c>
      <c r="B1585">
        <f t="shared" si="144"/>
        <v>2057</v>
      </c>
      <c r="C1585">
        <f t="shared" si="145"/>
        <v>1927</v>
      </c>
      <c r="D1585" t="s">
        <v>28</v>
      </c>
      <c r="E1585" t="str">
        <f>D1584</f>
        <v>Matt</v>
      </c>
      <c r="F1585">
        <v>2023</v>
      </c>
      <c r="G1585">
        <v>5</v>
      </c>
      <c r="H1585">
        <v>2.2000000000000002</v>
      </c>
      <c r="I1585" s="110">
        <v>61</v>
      </c>
      <c r="J1585">
        <f>I1585-I1584</f>
        <v>-65</v>
      </c>
      <c r="K1585" t="str">
        <f t="shared" si="149"/>
        <v>L</v>
      </c>
      <c r="L1585" t="str">
        <f t="shared" si="146"/>
        <v>Russell</v>
      </c>
      <c r="M1585" t="str">
        <f>VLOOKUP(L1585,References!$A$2:$B$16,2,FALSE)</f>
        <v>TEXAROK</v>
      </c>
      <c r="N1585" s="19" t="str">
        <f>IF(M1585=M1584,"N","Y")</f>
        <v>N</v>
      </c>
      <c r="O1585">
        <f>SUM(I1584:I1585)</f>
        <v>187</v>
      </c>
      <c r="P1585">
        <f t="shared" si="148"/>
        <v>126</v>
      </c>
    </row>
    <row r="1586" spans="1:16" hidden="1" x14ac:dyDescent="0.3">
      <c r="A1586" t="str">
        <f t="shared" si="147"/>
        <v>2023David5</v>
      </c>
      <c r="B1586">
        <f t="shared" si="144"/>
        <v>1523</v>
      </c>
      <c r="C1586">
        <f t="shared" si="145"/>
        <v>1027</v>
      </c>
      <c r="D1586" t="s">
        <v>29</v>
      </c>
      <c r="E1586" t="str">
        <f>D1587</f>
        <v>Brian</v>
      </c>
      <c r="F1586">
        <v>2023</v>
      </c>
      <c r="G1586">
        <v>5</v>
      </c>
      <c r="H1586">
        <v>3.1</v>
      </c>
      <c r="I1586">
        <v>90</v>
      </c>
      <c r="J1586">
        <f>I1586-I1587</f>
        <v>-19</v>
      </c>
      <c r="K1586" t="str">
        <f t="shared" si="149"/>
        <v>L</v>
      </c>
      <c r="L1586" t="str">
        <f t="shared" si="146"/>
        <v>David</v>
      </c>
      <c r="M1586" t="str">
        <f>VLOOKUP(L1586,References!$A$2:$B$16,2,FALSE)</f>
        <v>TEXAROK</v>
      </c>
      <c r="N1586" s="19" t="str">
        <f>IF(M1586=M1587,"N","Y")</f>
        <v>N</v>
      </c>
      <c r="O1586">
        <f>SUM(I1586:I1587)</f>
        <v>199</v>
      </c>
      <c r="P1586">
        <f t="shared" si="148"/>
        <v>109</v>
      </c>
    </row>
    <row r="1587" spans="1:16" hidden="1" x14ac:dyDescent="0.3">
      <c r="A1587" t="str">
        <f t="shared" si="147"/>
        <v>2023Brian5</v>
      </c>
      <c r="B1587">
        <f t="shared" si="144"/>
        <v>548</v>
      </c>
      <c r="C1587">
        <f t="shared" si="145"/>
        <v>435</v>
      </c>
      <c r="D1587" t="s">
        <v>26</v>
      </c>
      <c r="E1587" t="str">
        <f>D1586</f>
        <v>David</v>
      </c>
      <c r="F1587">
        <v>2023</v>
      </c>
      <c r="G1587">
        <v>5</v>
      </c>
      <c r="H1587">
        <v>3.2</v>
      </c>
      <c r="I1587">
        <v>109</v>
      </c>
      <c r="J1587">
        <f>I1587-I1586</f>
        <v>19</v>
      </c>
      <c r="K1587" t="str">
        <f t="shared" si="149"/>
        <v>W</v>
      </c>
      <c r="L1587" t="str">
        <f t="shared" si="146"/>
        <v>Brian</v>
      </c>
      <c r="M1587" t="str">
        <f>VLOOKUP(L1587,References!$A$2:$B$16,2,FALSE)</f>
        <v>TEXAROK</v>
      </c>
      <c r="N1587" s="19" t="str">
        <f>IF(M1587=M1586,"N","Y")</f>
        <v>N</v>
      </c>
      <c r="O1587">
        <f>SUM(I1586:I1587)</f>
        <v>199</v>
      </c>
      <c r="P1587">
        <f t="shared" si="148"/>
        <v>90</v>
      </c>
    </row>
    <row r="1588" spans="1:16" hidden="1" x14ac:dyDescent="0.3">
      <c r="A1588" t="str">
        <f t="shared" si="147"/>
        <v>2023Brent5</v>
      </c>
      <c r="B1588">
        <f t="shared" si="144"/>
        <v>142</v>
      </c>
      <c r="C1588">
        <f t="shared" si="145"/>
        <v>822</v>
      </c>
      <c r="D1588" t="s">
        <v>47</v>
      </c>
      <c r="E1588" t="str">
        <f>D1589</f>
        <v>Emily</v>
      </c>
      <c r="F1588">
        <v>2023</v>
      </c>
      <c r="G1588">
        <v>5</v>
      </c>
      <c r="H1588">
        <v>4.0999999999999996</v>
      </c>
      <c r="I1588">
        <v>96</v>
      </c>
      <c r="J1588">
        <f>I1588-I1589</f>
        <v>45</v>
      </c>
      <c r="K1588" t="str">
        <f t="shared" si="149"/>
        <v>W</v>
      </c>
      <c r="L1588" t="str">
        <f t="shared" si="146"/>
        <v>Brent</v>
      </c>
      <c r="M1588" t="str">
        <f>VLOOKUP(L1588,References!$A$2:$B$16,2,FALSE)</f>
        <v>TEXAROK</v>
      </c>
      <c r="N1588" s="19" t="str">
        <f>IF(M1588=M1589,"N","Y")</f>
        <v>N</v>
      </c>
      <c r="O1588">
        <f>SUM(I1588:I1589)</f>
        <v>147</v>
      </c>
      <c r="P1588">
        <f t="shared" si="148"/>
        <v>51</v>
      </c>
    </row>
    <row r="1589" spans="1:16" hidden="1" x14ac:dyDescent="0.3">
      <c r="A1589" t="str">
        <f t="shared" si="147"/>
        <v>2023Emily5</v>
      </c>
      <c r="B1589">
        <f t="shared" si="144"/>
        <v>1944</v>
      </c>
      <c r="C1589">
        <f t="shared" si="145"/>
        <v>2040</v>
      </c>
      <c r="D1589" t="s">
        <v>43</v>
      </c>
      <c r="E1589" t="str">
        <f>D1588</f>
        <v>Brent</v>
      </c>
      <c r="F1589">
        <v>2023</v>
      </c>
      <c r="G1589">
        <v>5</v>
      </c>
      <c r="H1589">
        <v>4.2</v>
      </c>
      <c r="I1589" s="110">
        <v>51</v>
      </c>
      <c r="J1589">
        <f>I1589-I1588</f>
        <v>-45</v>
      </c>
      <c r="K1589" t="str">
        <f t="shared" si="149"/>
        <v>L</v>
      </c>
      <c r="L1589" t="str">
        <f t="shared" si="146"/>
        <v>Emily</v>
      </c>
      <c r="M1589" t="str">
        <f>VLOOKUP(L1589,References!$A$2:$B$16,2,FALSE)</f>
        <v>TEXAROK</v>
      </c>
      <c r="N1589" s="19" t="str">
        <f>IF(M1589=M1588,"N","Y")</f>
        <v>N</v>
      </c>
      <c r="O1589">
        <f>SUM(I1588:I1589)</f>
        <v>147</v>
      </c>
      <c r="P1589">
        <f t="shared" si="148"/>
        <v>96</v>
      </c>
    </row>
    <row r="1590" spans="1:16" hidden="1" x14ac:dyDescent="0.3">
      <c r="A1590" t="str">
        <f t="shared" si="147"/>
        <v>2023Watty5</v>
      </c>
      <c r="B1590">
        <f t="shared" si="144"/>
        <v>199</v>
      </c>
      <c r="C1590">
        <f t="shared" si="145"/>
        <v>435</v>
      </c>
      <c r="D1590" t="s">
        <v>24</v>
      </c>
      <c r="E1590" t="str">
        <f>D1591</f>
        <v>Arnold</v>
      </c>
      <c r="F1590">
        <v>2023</v>
      </c>
      <c r="G1590">
        <v>5</v>
      </c>
      <c r="H1590">
        <v>5.0999999999999996</v>
      </c>
      <c r="I1590">
        <v>109</v>
      </c>
      <c r="J1590">
        <f>I1590-I1591</f>
        <v>39</v>
      </c>
      <c r="K1590" t="str">
        <f t="shared" si="149"/>
        <v>W</v>
      </c>
      <c r="L1590" t="str">
        <f t="shared" si="146"/>
        <v>Watty</v>
      </c>
      <c r="M1590" t="str">
        <f>VLOOKUP(L1590,References!$A$2:$B$16,2,FALSE)</f>
        <v>AKCOVA</v>
      </c>
      <c r="N1590" s="19" t="str">
        <f>IF(M1590=M1591,"N","Y")</f>
        <v>N</v>
      </c>
      <c r="O1590">
        <f>SUM(I1590:I1591)</f>
        <v>179</v>
      </c>
      <c r="P1590">
        <f t="shared" si="148"/>
        <v>70</v>
      </c>
    </row>
    <row r="1591" spans="1:16" hidden="1" x14ac:dyDescent="0.3">
      <c r="A1591" t="str">
        <f t="shared" si="147"/>
        <v>2023Arnold5</v>
      </c>
      <c r="B1591">
        <f t="shared" si="144"/>
        <v>1884</v>
      </c>
      <c r="C1591">
        <f t="shared" si="145"/>
        <v>1738</v>
      </c>
      <c r="D1591" t="s">
        <v>227</v>
      </c>
      <c r="E1591" t="str">
        <f>D1590</f>
        <v>Watty</v>
      </c>
      <c r="F1591">
        <v>2023</v>
      </c>
      <c r="G1591">
        <v>5</v>
      </c>
      <c r="H1591">
        <v>5.2</v>
      </c>
      <c r="I1591">
        <v>70</v>
      </c>
      <c r="J1591">
        <f>I1591-I1590</f>
        <v>-39</v>
      </c>
      <c r="K1591" t="str">
        <f t="shared" si="149"/>
        <v>L</v>
      </c>
      <c r="L1591" t="str">
        <f t="shared" si="146"/>
        <v>Arnold</v>
      </c>
      <c r="M1591" t="str">
        <f>VLOOKUP(L1591,References!$A$2:$B$16,2,FALSE)</f>
        <v>AKCOVA</v>
      </c>
      <c r="N1591" s="19" t="str">
        <f>IF(M1591=M1590,"N","Y")</f>
        <v>N</v>
      </c>
      <c r="O1591">
        <f>SUM(I1590:I1591)</f>
        <v>179</v>
      </c>
      <c r="P1591">
        <f t="shared" si="148"/>
        <v>109</v>
      </c>
    </row>
    <row r="1592" spans="1:16" hidden="1" x14ac:dyDescent="0.3">
      <c r="A1592" t="str">
        <f t="shared" si="147"/>
        <v>2023BR5</v>
      </c>
      <c r="B1592">
        <f t="shared" si="144"/>
        <v>433</v>
      </c>
      <c r="C1592">
        <f t="shared" si="145"/>
        <v>540</v>
      </c>
      <c r="D1592" t="s">
        <v>25</v>
      </c>
      <c r="E1592" t="str">
        <f>D1593</f>
        <v>Mark</v>
      </c>
      <c r="F1592">
        <v>2023</v>
      </c>
      <c r="G1592">
        <v>5</v>
      </c>
      <c r="H1592">
        <v>6.1</v>
      </c>
      <c r="I1592">
        <v>105</v>
      </c>
      <c r="J1592">
        <f>I1592-I1593</f>
        <v>24</v>
      </c>
      <c r="K1592" t="str">
        <f t="shared" si="149"/>
        <v>W</v>
      </c>
      <c r="L1592" t="str">
        <f t="shared" si="146"/>
        <v>BR</v>
      </c>
      <c r="M1592" t="str">
        <f>VLOOKUP(L1592,References!$A$2:$B$16,2,FALSE)</f>
        <v>AKCOVA</v>
      </c>
      <c r="N1592" s="19" t="str">
        <f>IF(M1592=M1593,"N","Y")</f>
        <v>N</v>
      </c>
      <c r="O1592">
        <f>SUM(I1592:I1593)</f>
        <v>186</v>
      </c>
      <c r="P1592">
        <f t="shared" si="148"/>
        <v>81</v>
      </c>
    </row>
    <row r="1593" spans="1:16" hidden="1" x14ac:dyDescent="0.3">
      <c r="A1593" t="str">
        <f t="shared" si="147"/>
        <v>2023Mark5</v>
      </c>
      <c r="B1593">
        <f t="shared" si="144"/>
        <v>1644</v>
      </c>
      <c r="C1593">
        <f t="shared" si="145"/>
        <v>1365</v>
      </c>
      <c r="D1593" t="s">
        <v>22</v>
      </c>
      <c r="E1593" t="str">
        <f>D1592</f>
        <v>BR</v>
      </c>
      <c r="F1593">
        <v>2023</v>
      </c>
      <c r="G1593">
        <v>5</v>
      </c>
      <c r="H1593">
        <v>6.2</v>
      </c>
      <c r="I1593">
        <v>81</v>
      </c>
      <c r="J1593">
        <f>I1593-I1592</f>
        <v>-24</v>
      </c>
      <c r="K1593" t="str">
        <f t="shared" si="149"/>
        <v>L</v>
      </c>
      <c r="L1593" t="str">
        <f t="shared" si="146"/>
        <v>Mark</v>
      </c>
      <c r="M1593" t="str">
        <f>VLOOKUP(L1593,References!$A$2:$B$16,2,FALSE)</f>
        <v>AKCOVA</v>
      </c>
      <c r="N1593" s="19" t="str">
        <f>IF(M1593=M1592,"N","Y")</f>
        <v>N</v>
      </c>
      <c r="O1593">
        <f>SUM(I1592:I1593)</f>
        <v>186</v>
      </c>
      <c r="P1593">
        <f t="shared" si="148"/>
        <v>105</v>
      </c>
    </row>
    <row r="1594" spans="1:16" hidden="1" x14ac:dyDescent="0.3">
      <c r="A1594" t="str">
        <f t="shared" si="147"/>
        <v>2023Mark6</v>
      </c>
      <c r="B1594">
        <f t="shared" si="144"/>
        <v>1921</v>
      </c>
      <c r="C1594">
        <f t="shared" si="145"/>
        <v>1833</v>
      </c>
      <c r="D1594" t="s">
        <v>22</v>
      </c>
      <c r="E1594" t="str">
        <f>D1595</f>
        <v>Michael</v>
      </c>
      <c r="F1594">
        <v>2023</v>
      </c>
      <c r="G1594">
        <v>6</v>
      </c>
      <c r="H1594">
        <v>1.1000000000000001</v>
      </c>
      <c r="I1594">
        <v>66</v>
      </c>
      <c r="J1594">
        <f>I1594-I1595</f>
        <v>-43</v>
      </c>
      <c r="K1594" t="str">
        <f t="shared" si="149"/>
        <v>L</v>
      </c>
      <c r="L1594" t="str">
        <f t="shared" si="146"/>
        <v>Mark</v>
      </c>
      <c r="M1594" t="str">
        <f>VLOOKUP(L1594,References!$A$2:$B$16,2,FALSE)</f>
        <v>AKCOVA</v>
      </c>
      <c r="N1594" s="19" t="str">
        <f>IF(M1594=M1595,"N","Y")</f>
        <v>N</v>
      </c>
      <c r="O1594">
        <f>SUM(I1594:I1595)</f>
        <v>175</v>
      </c>
      <c r="P1594">
        <f t="shared" si="148"/>
        <v>109</v>
      </c>
    </row>
    <row r="1595" spans="1:16" hidden="1" x14ac:dyDescent="0.3">
      <c r="A1595" t="str">
        <f t="shared" si="147"/>
        <v>2023Michael6</v>
      </c>
      <c r="B1595">
        <f t="shared" si="144"/>
        <v>161</v>
      </c>
      <c r="C1595">
        <f t="shared" si="145"/>
        <v>435</v>
      </c>
      <c r="D1595" t="s">
        <v>23</v>
      </c>
      <c r="E1595" t="str">
        <f>D1594</f>
        <v>Mark</v>
      </c>
      <c r="F1595">
        <v>2023</v>
      </c>
      <c r="G1595">
        <v>6</v>
      </c>
      <c r="H1595">
        <v>1.2</v>
      </c>
      <c r="I1595">
        <v>109</v>
      </c>
      <c r="J1595">
        <f>I1595-I1594</f>
        <v>43</v>
      </c>
      <c r="K1595" t="str">
        <f t="shared" si="149"/>
        <v>W</v>
      </c>
      <c r="L1595" t="str">
        <f t="shared" si="146"/>
        <v>Michael</v>
      </c>
      <c r="M1595" t="str">
        <f>VLOOKUP(L1595,References!$A$2:$B$16,2,FALSE)</f>
        <v>AKCOVA</v>
      </c>
      <c r="N1595" s="19" t="str">
        <f>IF(M1595=M1594,"N","Y")</f>
        <v>N</v>
      </c>
      <c r="O1595">
        <f>SUM(I1594:I1595)</f>
        <v>175</v>
      </c>
      <c r="P1595">
        <f t="shared" si="148"/>
        <v>66</v>
      </c>
    </row>
    <row r="1596" spans="1:16" hidden="1" x14ac:dyDescent="0.3">
      <c r="A1596" t="str">
        <f t="shared" si="147"/>
        <v>2023Brent6</v>
      </c>
      <c r="B1596">
        <f t="shared" si="144"/>
        <v>450</v>
      </c>
      <c r="C1596">
        <f t="shared" si="145"/>
        <v>1173</v>
      </c>
      <c r="D1596" t="s">
        <v>47</v>
      </c>
      <c r="E1596" t="str">
        <f>D1597</f>
        <v>Russell</v>
      </c>
      <c r="F1596">
        <v>2023</v>
      </c>
      <c r="G1596">
        <v>6</v>
      </c>
      <c r="H1596">
        <v>2.1</v>
      </c>
      <c r="I1596">
        <v>86</v>
      </c>
      <c r="J1596">
        <f>I1596-I1597</f>
        <v>23</v>
      </c>
      <c r="K1596" t="str">
        <f t="shared" si="149"/>
        <v>W</v>
      </c>
      <c r="L1596" t="str">
        <f t="shared" si="146"/>
        <v>Brent</v>
      </c>
      <c r="M1596" t="str">
        <f>VLOOKUP(L1596,References!$A$2:$B$16,2,FALSE)</f>
        <v>TEXAROK</v>
      </c>
      <c r="N1596" s="19" t="str">
        <f>IF(M1596=M1597,"N","Y")</f>
        <v>N</v>
      </c>
      <c r="O1596">
        <f>SUM(I1596:I1597)</f>
        <v>149</v>
      </c>
      <c r="P1596">
        <f t="shared" si="148"/>
        <v>63</v>
      </c>
    </row>
    <row r="1597" spans="1:16" hidden="1" x14ac:dyDescent="0.3">
      <c r="A1597" t="str">
        <f t="shared" si="147"/>
        <v>2023Russell6</v>
      </c>
      <c r="B1597">
        <f t="shared" si="144"/>
        <v>1625</v>
      </c>
      <c r="C1597">
        <f t="shared" si="145"/>
        <v>1885</v>
      </c>
      <c r="D1597" t="s">
        <v>28</v>
      </c>
      <c r="E1597" t="str">
        <f>D1596</f>
        <v>Brent</v>
      </c>
      <c r="F1597">
        <v>2023</v>
      </c>
      <c r="G1597">
        <v>6</v>
      </c>
      <c r="H1597">
        <v>2.2000000000000002</v>
      </c>
      <c r="I1597">
        <v>63</v>
      </c>
      <c r="J1597">
        <f>I1597-I1596</f>
        <v>-23</v>
      </c>
      <c r="K1597" t="str">
        <f t="shared" si="149"/>
        <v>L</v>
      </c>
      <c r="L1597" t="str">
        <f t="shared" si="146"/>
        <v>Russell</v>
      </c>
      <c r="M1597" t="str">
        <f>VLOOKUP(L1597,References!$A$2:$B$16,2,FALSE)</f>
        <v>TEXAROK</v>
      </c>
      <c r="N1597" s="19" t="str">
        <f>IF(M1597=M1596,"N","Y")</f>
        <v>N</v>
      </c>
      <c r="O1597">
        <f>SUM(I1596:I1597)</f>
        <v>149</v>
      </c>
      <c r="P1597">
        <f t="shared" si="148"/>
        <v>86</v>
      </c>
    </row>
    <row r="1598" spans="1:16" hidden="1" x14ac:dyDescent="0.3">
      <c r="A1598" t="str">
        <f t="shared" si="147"/>
        <v>2023David6</v>
      </c>
      <c r="B1598">
        <f t="shared" si="144"/>
        <v>597</v>
      </c>
      <c r="C1598">
        <f t="shared" si="145"/>
        <v>1055</v>
      </c>
      <c r="D1598" t="s">
        <v>29</v>
      </c>
      <c r="E1598" t="str">
        <f>D1599</f>
        <v>Emily</v>
      </c>
      <c r="F1598">
        <v>2023</v>
      </c>
      <c r="G1598">
        <v>6</v>
      </c>
      <c r="H1598">
        <v>3.1</v>
      </c>
      <c r="I1598">
        <v>89</v>
      </c>
      <c r="J1598">
        <f>I1598-I1599</f>
        <v>17</v>
      </c>
      <c r="K1598" t="str">
        <f t="shared" si="149"/>
        <v>W</v>
      </c>
      <c r="L1598" t="str">
        <f t="shared" si="146"/>
        <v>David</v>
      </c>
      <c r="M1598" t="str">
        <f>VLOOKUP(L1598,References!$A$2:$B$16,2,FALSE)</f>
        <v>TEXAROK</v>
      </c>
      <c r="N1598" s="19" t="str">
        <f>IF(M1598=M1599,"N","Y")</f>
        <v>N</v>
      </c>
      <c r="O1598">
        <f>SUM(I1598:I1599)</f>
        <v>161</v>
      </c>
      <c r="P1598">
        <f t="shared" si="148"/>
        <v>72</v>
      </c>
    </row>
    <row r="1599" spans="1:16" hidden="1" x14ac:dyDescent="0.3">
      <c r="A1599" t="str">
        <f t="shared" si="147"/>
        <v>2023Emily6</v>
      </c>
      <c r="B1599">
        <f t="shared" si="144"/>
        <v>1475</v>
      </c>
      <c r="C1599">
        <f t="shared" si="145"/>
        <v>1684</v>
      </c>
      <c r="D1599" t="s">
        <v>43</v>
      </c>
      <c r="E1599" t="str">
        <f>D1598</f>
        <v>David</v>
      </c>
      <c r="F1599">
        <v>2023</v>
      </c>
      <c r="G1599">
        <v>6</v>
      </c>
      <c r="H1599">
        <v>3.2</v>
      </c>
      <c r="I1599">
        <v>72</v>
      </c>
      <c r="J1599">
        <f>I1599-I1598</f>
        <v>-17</v>
      </c>
      <c r="K1599" t="str">
        <f t="shared" si="149"/>
        <v>L</v>
      </c>
      <c r="L1599" t="str">
        <f t="shared" si="146"/>
        <v>Emily</v>
      </c>
      <c r="M1599" t="str">
        <f>VLOOKUP(L1599,References!$A$2:$B$16,2,FALSE)</f>
        <v>TEXAROK</v>
      </c>
      <c r="N1599" s="19" t="str">
        <f>IF(M1599=M1598,"N","Y")</f>
        <v>N</v>
      </c>
      <c r="O1599">
        <f>SUM(I1598:I1599)</f>
        <v>161</v>
      </c>
      <c r="P1599">
        <f t="shared" si="148"/>
        <v>89</v>
      </c>
    </row>
    <row r="1600" spans="1:16" hidden="1" x14ac:dyDescent="0.3">
      <c r="A1600" t="str">
        <f t="shared" si="147"/>
        <v>2023Brian6</v>
      </c>
      <c r="B1600">
        <f t="shared" si="144"/>
        <v>1258</v>
      </c>
      <c r="C1600">
        <f t="shared" si="145"/>
        <v>1793</v>
      </c>
      <c r="D1600" t="s">
        <v>26</v>
      </c>
      <c r="E1600" t="str">
        <f>D1601</f>
        <v>Matt</v>
      </c>
      <c r="F1600">
        <v>2023</v>
      </c>
      <c r="G1600">
        <v>6</v>
      </c>
      <c r="H1600">
        <v>4.0999999999999996</v>
      </c>
      <c r="I1600">
        <v>68</v>
      </c>
      <c r="J1600">
        <f>I1600-I1601</f>
        <v>-8</v>
      </c>
      <c r="K1600" t="str">
        <f t="shared" si="149"/>
        <v>L</v>
      </c>
      <c r="L1600" t="str">
        <f t="shared" si="146"/>
        <v>Brian</v>
      </c>
      <c r="M1600" t="str">
        <f>VLOOKUP(L1600,References!$A$2:$B$16,2,FALSE)</f>
        <v>TEXAROK</v>
      </c>
      <c r="N1600" s="19" t="str">
        <f>IF(M1600=M1601,"N","Y")</f>
        <v>N</v>
      </c>
      <c r="O1600">
        <f>SUM(I1600:I1601)</f>
        <v>144</v>
      </c>
      <c r="P1600">
        <f t="shared" si="148"/>
        <v>76</v>
      </c>
    </row>
    <row r="1601" spans="1:16" hidden="1" x14ac:dyDescent="0.3">
      <c r="A1601" t="str">
        <f t="shared" si="147"/>
        <v>2023Matt6</v>
      </c>
      <c r="B1601">
        <f t="shared" si="144"/>
        <v>803</v>
      </c>
      <c r="C1601">
        <f t="shared" si="145"/>
        <v>1549</v>
      </c>
      <c r="D1601" t="s">
        <v>30</v>
      </c>
      <c r="E1601" t="str">
        <f>D1600</f>
        <v>Brian</v>
      </c>
      <c r="F1601">
        <v>2023</v>
      </c>
      <c r="G1601">
        <v>6</v>
      </c>
      <c r="H1601">
        <v>4.2</v>
      </c>
      <c r="I1601">
        <v>76</v>
      </c>
      <c r="J1601">
        <f>I1601-I1600</f>
        <v>8</v>
      </c>
      <c r="K1601" t="str">
        <f t="shared" si="149"/>
        <v>W</v>
      </c>
      <c r="L1601" t="str">
        <f t="shared" si="146"/>
        <v>Matt</v>
      </c>
      <c r="M1601" t="str">
        <f>VLOOKUP(L1601,References!$A$2:$B$16,2,FALSE)</f>
        <v>TEXAROK</v>
      </c>
      <c r="N1601" s="19" t="str">
        <f>IF(M1601=M1600,"N","Y")</f>
        <v>N</v>
      </c>
      <c r="O1601">
        <f>SUM(I1600:I1601)</f>
        <v>144</v>
      </c>
      <c r="P1601">
        <f t="shared" si="148"/>
        <v>68</v>
      </c>
    </row>
    <row r="1602" spans="1:16" hidden="1" x14ac:dyDescent="0.3">
      <c r="A1602" t="str">
        <f t="shared" si="147"/>
        <v>2023Watty6</v>
      </c>
      <c r="B1602">
        <f t="shared" ref="B1602:B1665" si="150">RANK(J1602,diff)</f>
        <v>836</v>
      </c>
      <c r="C1602">
        <f t="shared" ref="C1602:C1665" si="151">RANK(I1602,points)</f>
        <v>1210</v>
      </c>
      <c r="D1602" t="s">
        <v>24</v>
      </c>
      <c r="E1602" t="str">
        <f>D1603</f>
        <v>Charles</v>
      </c>
      <c r="F1602">
        <v>2023</v>
      </c>
      <c r="G1602">
        <v>6</v>
      </c>
      <c r="H1602">
        <v>5.0999999999999996</v>
      </c>
      <c r="I1602">
        <v>85</v>
      </c>
      <c r="J1602">
        <f>I1602-I1603</f>
        <v>7</v>
      </c>
      <c r="K1602" t="str">
        <f t="shared" si="149"/>
        <v>W</v>
      </c>
      <c r="L1602" t="str">
        <f t="shared" ref="L1602:L1665" si="152">D1602</f>
        <v>Watty</v>
      </c>
      <c r="M1602" t="str">
        <f>VLOOKUP(L1602,References!$A$2:$B$16,2,FALSE)</f>
        <v>AKCOVA</v>
      </c>
      <c r="N1602" s="19" t="str">
        <f>IF(M1602=M1603,"N","Y")</f>
        <v>N</v>
      </c>
      <c r="O1602">
        <f>SUM(I1602:I1603)</f>
        <v>163</v>
      </c>
      <c r="P1602">
        <f t="shared" si="148"/>
        <v>78</v>
      </c>
    </row>
    <row r="1603" spans="1:16" hidden="1" x14ac:dyDescent="0.3">
      <c r="A1603" t="str">
        <f t="shared" ref="A1603:A1666" si="153">F1603&amp;D1603&amp;G1603</f>
        <v>2023Charles6</v>
      </c>
      <c r="B1603">
        <f t="shared" si="150"/>
        <v>1229</v>
      </c>
      <c r="C1603">
        <f t="shared" si="151"/>
        <v>1468</v>
      </c>
      <c r="D1603" t="s">
        <v>48</v>
      </c>
      <c r="E1603" t="str">
        <f>D1602</f>
        <v>Watty</v>
      </c>
      <c r="F1603">
        <v>2023</v>
      </c>
      <c r="G1603">
        <v>6</v>
      </c>
      <c r="H1603">
        <v>5.2</v>
      </c>
      <c r="I1603">
        <v>78</v>
      </c>
      <c r="J1603">
        <f>I1603-I1602</f>
        <v>-7</v>
      </c>
      <c r="K1603" t="str">
        <f t="shared" si="149"/>
        <v>L</v>
      </c>
      <c r="L1603" t="str">
        <f t="shared" si="152"/>
        <v>Charles</v>
      </c>
      <c r="M1603" t="str">
        <f>VLOOKUP(L1603,References!$A$2:$B$16,2,FALSE)</f>
        <v>AKCOVA</v>
      </c>
      <c r="N1603" s="19" t="str">
        <f>IF(M1603=M1602,"N","Y")</f>
        <v>N</v>
      </c>
      <c r="O1603">
        <f>SUM(I1602:I1603)</f>
        <v>163</v>
      </c>
      <c r="P1603">
        <f t="shared" ref="P1603:P1666" si="154">I1603-J1603</f>
        <v>85</v>
      </c>
    </row>
    <row r="1604" spans="1:16" hidden="1" x14ac:dyDescent="0.3">
      <c r="A1604" t="str">
        <f t="shared" si="153"/>
        <v>2023Arnold6</v>
      </c>
      <c r="B1604">
        <f t="shared" si="150"/>
        <v>1197</v>
      </c>
      <c r="C1604">
        <f t="shared" si="151"/>
        <v>1282</v>
      </c>
      <c r="D1604" t="s">
        <v>227</v>
      </c>
      <c r="E1604" t="str">
        <f>D1605</f>
        <v>BR</v>
      </c>
      <c r="F1604">
        <v>2023</v>
      </c>
      <c r="G1604">
        <v>6</v>
      </c>
      <c r="H1604">
        <v>6.1</v>
      </c>
      <c r="I1604">
        <v>83</v>
      </c>
      <c r="J1604">
        <f>I1604-I1605</f>
        <v>-6</v>
      </c>
      <c r="K1604" t="str">
        <f t="shared" si="149"/>
        <v>L</v>
      </c>
      <c r="L1604" t="str">
        <f t="shared" si="152"/>
        <v>Arnold</v>
      </c>
      <c r="M1604" t="str">
        <f>VLOOKUP(L1604,References!$A$2:$B$16,2,FALSE)</f>
        <v>AKCOVA</v>
      </c>
      <c r="N1604" s="19" t="str">
        <f>IF(M1604=M1605,"N","Y")</f>
        <v>N</v>
      </c>
      <c r="O1604">
        <f>SUM(I1604:I1605)</f>
        <v>172</v>
      </c>
      <c r="P1604">
        <f t="shared" si="154"/>
        <v>89</v>
      </c>
    </row>
    <row r="1605" spans="1:16" hidden="1" x14ac:dyDescent="0.3">
      <c r="A1605" t="str">
        <f t="shared" si="153"/>
        <v>2023BR6</v>
      </c>
      <c r="B1605">
        <f t="shared" si="150"/>
        <v>865</v>
      </c>
      <c r="C1605">
        <f t="shared" si="151"/>
        <v>1055</v>
      </c>
      <c r="D1605" t="s">
        <v>25</v>
      </c>
      <c r="E1605" t="str">
        <f>D1604</f>
        <v>Arnold</v>
      </c>
      <c r="F1605">
        <v>2023</v>
      </c>
      <c r="G1605">
        <v>6</v>
      </c>
      <c r="H1605">
        <v>6.2</v>
      </c>
      <c r="I1605">
        <v>89</v>
      </c>
      <c r="J1605">
        <f>I1605-I1604</f>
        <v>6</v>
      </c>
      <c r="K1605" t="str">
        <f t="shared" si="149"/>
        <v>W</v>
      </c>
      <c r="L1605" t="str">
        <f t="shared" si="152"/>
        <v>BR</v>
      </c>
      <c r="M1605" t="str">
        <f>VLOOKUP(L1605,References!$A$2:$B$16,2,FALSE)</f>
        <v>AKCOVA</v>
      </c>
      <c r="N1605" s="19" t="str">
        <f>IF(M1605=M1604,"N","Y")</f>
        <v>N</v>
      </c>
      <c r="O1605">
        <f>SUM(I1604:I1605)</f>
        <v>172</v>
      </c>
      <c r="P1605">
        <f t="shared" si="154"/>
        <v>83</v>
      </c>
    </row>
    <row r="1606" spans="1:16" hidden="1" x14ac:dyDescent="0.3">
      <c r="A1606" t="str">
        <f t="shared" si="153"/>
        <v>2023Emily7</v>
      </c>
      <c r="B1606">
        <f t="shared" si="150"/>
        <v>1197</v>
      </c>
      <c r="C1606">
        <f t="shared" si="151"/>
        <v>1684</v>
      </c>
      <c r="D1606" t="s">
        <v>43</v>
      </c>
      <c r="E1606" t="str">
        <f>D1607</f>
        <v>Michael</v>
      </c>
      <c r="F1606">
        <v>2023</v>
      </c>
      <c r="G1606">
        <v>7</v>
      </c>
      <c r="H1606">
        <v>1.1000000000000001</v>
      </c>
      <c r="I1606">
        <v>72</v>
      </c>
      <c r="J1606">
        <f>I1606-I1607</f>
        <v>-6</v>
      </c>
      <c r="K1606" t="str">
        <f t="shared" ref="K1606:K1669" si="155">IF(J1606&gt;0,"W",IF(J1606&lt;0,"L","T"))</f>
        <v>L</v>
      </c>
      <c r="L1606" t="str">
        <f t="shared" si="152"/>
        <v>Emily</v>
      </c>
      <c r="M1606" t="str">
        <f>VLOOKUP(L1606,References!$A$2:$B$16,2,FALSE)</f>
        <v>TEXAROK</v>
      </c>
      <c r="N1606" s="19" t="str">
        <f>IF(M1606=M1607,"N","Y")</f>
        <v>Y</v>
      </c>
      <c r="O1606">
        <f>SUM(I1606:I1607)</f>
        <v>150</v>
      </c>
      <c r="P1606">
        <f t="shared" si="154"/>
        <v>78</v>
      </c>
    </row>
    <row r="1607" spans="1:16" hidden="1" x14ac:dyDescent="0.3">
      <c r="A1607" t="str">
        <f t="shared" si="153"/>
        <v>2023Michael7</v>
      </c>
      <c r="B1607">
        <f t="shared" si="150"/>
        <v>865</v>
      </c>
      <c r="C1607">
        <f t="shared" si="151"/>
        <v>1468</v>
      </c>
      <c r="D1607" t="s">
        <v>23</v>
      </c>
      <c r="E1607" t="str">
        <f>D1606</f>
        <v>Emily</v>
      </c>
      <c r="F1607">
        <v>2023</v>
      </c>
      <c r="G1607">
        <v>7</v>
      </c>
      <c r="H1607">
        <v>1.2</v>
      </c>
      <c r="I1607">
        <v>78</v>
      </c>
      <c r="J1607">
        <f>I1607-I1606</f>
        <v>6</v>
      </c>
      <c r="K1607" t="str">
        <f t="shared" si="155"/>
        <v>W</v>
      </c>
      <c r="L1607" t="str">
        <f t="shared" si="152"/>
        <v>Michael</v>
      </c>
      <c r="M1607" t="str">
        <f>VLOOKUP(L1607,References!$A$2:$B$16,2,FALSE)</f>
        <v>AKCOVA</v>
      </c>
      <c r="N1607" s="19" t="str">
        <f>IF(M1607=M1606,"N","Y")</f>
        <v>Y</v>
      </c>
      <c r="O1607">
        <f>SUM(I1606:I1607)</f>
        <v>150</v>
      </c>
      <c r="P1607">
        <f t="shared" si="154"/>
        <v>72</v>
      </c>
    </row>
    <row r="1608" spans="1:16" hidden="1" x14ac:dyDescent="0.3">
      <c r="A1608" t="str">
        <f t="shared" si="153"/>
        <v>2023Russell7</v>
      </c>
      <c r="B1608">
        <f t="shared" si="150"/>
        <v>1840</v>
      </c>
      <c r="C1608">
        <f t="shared" si="151"/>
        <v>2081</v>
      </c>
      <c r="D1608" t="s">
        <v>28</v>
      </c>
      <c r="E1608" t="str">
        <f>D1609</f>
        <v>Watty</v>
      </c>
      <c r="F1608">
        <v>2023</v>
      </c>
      <c r="G1608">
        <v>7</v>
      </c>
      <c r="H1608">
        <v>2.1</v>
      </c>
      <c r="I1608">
        <v>42</v>
      </c>
      <c r="J1608">
        <f>I1608-I1609</f>
        <v>-36</v>
      </c>
      <c r="K1608" t="str">
        <f t="shared" si="155"/>
        <v>L</v>
      </c>
      <c r="L1608" t="str">
        <f t="shared" si="152"/>
        <v>Russell</v>
      </c>
      <c r="M1608" t="str">
        <f>VLOOKUP(L1608,References!$A$2:$B$16,2,FALSE)</f>
        <v>TEXAROK</v>
      </c>
      <c r="N1608" s="19" t="str">
        <f>IF(M1608=M1609,"N","Y")</f>
        <v>Y</v>
      </c>
      <c r="O1608">
        <f>SUM(I1608:I1609)</f>
        <v>120</v>
      </c>
      <c r="P1608">
        <f t="shared" si="154"/>
        <v>78</v>
      </c>
    </row>
    <row r="1609" spans="1:16" hidden="1" x14ac:dyDescent="0.3">
      <c r="A1609" t="str">
        <f t="shared" si="153"/>
        <v>2023Watty7</v>
      </c>
      <c r="B1609">
        <f t="shared" si="150"/>
        <v>238</v>
      </c>
      <c r="C1609">
        <f t="shared" si="151"/>
        <v>1468</v>
      </c>
      <c r="D1609" t="s">
        <v>24</v>
      </c>
      <c r="E1609" t="str">
        <f>D1608</f>
        <v>Russell</v>
      </c>
      <c r="F1609">
        <v>2023</v>
      </c>
      <c r="G1609">
        <v>7</v>
      </c>
      <c r="H1609">
        <v>2.2000000000000002</v>
      </c>
      <c r="I1609">
        <v>78</v>
      </c>
      <c r="J1609">
        <f>I1609-I1608</f>
        <v>36</v>
      </c>
      <c r="K1609" t="str">
        <f t="shared" si="155"/>
        <v>W</v>
      </c>
      <c r="L1609" t="str">
        <f t="shared" si="152"/>
        <v>Watty</v>
      </c>
      <c r="M1609" t="str">
        <f>VLOOKUP(L1609,References!$A$2:$B$16,2,FALSE)</f>
        <v>AKCOVA</v>
      </c>
      <c r="N1609" s="19" t="str">
        <f>IF(M1609=M1608,"N","Y")</f>
        <v>Y</v>
      </c>
      <c r="O1609">
        <f>SUM(I1608:I1609)</f>
        <v>120</v>
      </c>
      <c r="P1609">
        <f t="shared" si="154"/>
        <v>42</v>
      </c>
    </row>
    <row r="1610" spans="1:16" hidden="1" x14ac:dyDescent="0.3">
      <c r="A1610" t="str">
        <f t="shared" si="153"/>
        <v>2023David7</v>
      </c>
      <c r="B1610">
        <f t="shared" si="150"/>
        <v>1434</v>
      </c>
      <c r="C1610">
        <f t="shared" si="151"/>
        <v>992</v>
      </c>
      <c r="D1610" t="s">
        <v>29</v>
      </c>
      <c r="E1610" t="str">
        <f>D1611</f>
        <v>Mark</v>
      </c>
      <c r="F1610">
        <v>2023</v>
      </c>
      <c r="G1610">
        <v>7</v>
      </c>
      <c r="H1610">
        <v>3.1</v>
      </c>
      <c r="I1610">
        <v>91</v>
      </c>
      <c r="J1610">
        <f>I1610-I1611</f>
        <v>-15</v>
      </c>
      <c r="K1610" t="str">
        <f t="shared" si="155"/>
        <v>L</v>
      </c>
      <c r="L1610" t="str">
        <f t="shared" si="152"/>
        <v>David</v>
      </c>
      <c r="M1610" t="str">
        <f>VLOOKUP(L1610,References!$A$2:$B$16,2,FALSE)</f>
        <v>TEXAROK</v>
      </c>
      <c r="N1610" s="19" t="str">
        <f>IF(M1610=M1611,"N","Y")</f>
        <v>Y</v>
      </c>
      <c r="O1610">
        <f>SUM(I1610:I1611)</f>
        <v>197</v>
      </c>
      <c r="P1610">
        <f t="shared" si="154"/>
        <v>106</v>
      </c>
    </row>
    <row r="1611" spans="1:16" hidden="1" x14ac:dyDescent="0.3">
      <c r="A1611" t="str">
        <f t="shared" si="153"/>
        <v>2023Mark7</v>
      </c>
      <c r="B1611">
        <f t="shared" si="150"/>
        <v>639</v>
      </c>
      <c r="C1611">
        <f t="shared" si="151"/>
        <v>509</v>
      </c>
      <c r="D1611" t="s">
        <v>22</v>
      </c>
      <c r="E1611" t="str">
        <f>D1610</f>
        <v>David</v>
      </c>
      <c r="F1611">
        <v>2023</v>
      </c>
      <c r="G1611">
        <v>7</v>
      </c>
      <c r="H1611">
        <v>3.2</v>
      </c>
      <c r="I1611">
        <v>106</v>
      </c>
      <c r="J1611">
        <f>I1611-I1610</f>
        <v>15</v>
      </c>
      <c r="K1611" t="str">
        <f t="shared" si="155"/>
        <v>W</v>
      </c>
      <c r="L1611" t="str">
        <f t="shared" si="152"/>
        <v>Mark</v>
      </c>
      <c r="M1611" t="str">
        <f>VLOOKUP(L1611,References!$A$2:$B$16,2,FALSE)</f>
        <v>AKCOVA</v>
      </c>
      <c r="N1611" s="19" t="str">
        <f>IF(M1611=M1610,"N","Y")</f>
        <v>Y</v>
      </c>
      <c r="O1611">
        <f>SUM(I1610:I1611)</f>
        <v>197</v>
      </c>
      <c r="P1611">
        <f t="shared" si="154"/>
        <v>91</v>
      </c>
    </row>
    <row r="1612" spans="1:16" hidden="1" x14ac:dyDescent="0.3">
      <c r="A1612" t="str">
        <f t="shared" si="153"/>
        <v>2023Brian7</v>
      </c>
      <c r="B1612">
        <f t="shared" si="150"/>
        <v>639</v>
      </c>
      <c r="C1612">
        <f t="shared" si="151"/>
        <v>1318</v>
      </c>
      <c r="D1612" t="s">
        <v>26</v>
      </c>
      <c r="E1612" t="str">
        <f>D1613</f>
        <v>BR</v>
      </c>
      <c r="F1612">
        <v>2023</v>
      </c>
      <c r="G1612">
        <v>7</v>
      </c>
      <c r="H1612">
        <v>4.0999999999999996</v>
      </c>
      <c r="I1612">
        <v>82</v>
      </c>
      <c r="J1612">
        <f>I1612-I1613</f>
        <v>15</v>
      </c>
      <c r="K1612" t="str">
        <f t="shared" si="155"/>
        <v>W</v>
      </c>
      <c r="L1612" t="str">
        <f t="shared" si="152"/>
        <v>Brian</v>
      </c>
      <c r="M1612" t="str">
        <f>VLOOKUP(L1612,References!$A$2:$B$16,2,FALSE)</f>
        <v>TEXAROK</v>
      </c>
      <c r="N1612" s="19" t="str">
        <f>IF(M1612=M1613,"N","Y")</f>
        <v>Y</v>
      </c>
      <c r="O1612">
        <f>SUM(I1612:I1613)</f>
        <v>149</v>
      </c>
      <c r="P1612">
        <f t="shared" si="154"/>
        <v>67</v>
      </c>
    </row>
    <row r="1613" spans="1:16" hidden="1" x14ac:dyDescent="0.3">
      <c r="A1613" t="str">
        <f t="shared" si="153"/>
        <v>2023BR7</v>
      </c>
      <c r="B1613">
        <f t="shared" si="150"/>
        <v>1434</v>
      </c>
      <c r="C1613">
        <f t="shared" si="151"/>
        <v>1815</v>
      </c>
      <c r="D1613" t="s">
        <v>25</v>
      </c>
      <c r="E1613" t="str">
        <f>D1612</f>
        <v>Brian</v>
      </c>
      <c r="F1613">
        <v>2023</v>
      </c>
      <c r="G1613">
        <v>7</v>
      </c>
      <c r="H1613">
        <v>4.2</v>
      </c>
      <c r="I1613">
        <v>67</v>
      </c>
      <c r="J1613">
        <f>I1613-I1612</f>
        <v>-15</v>
      </c>
      <c r="K1613" t="str">
        <f t="shared" si="155"/>
        <v>L</v>
      </c>
      <c r="L1613" t="str">
        <f t="shared" si="152"/>
        <v>BR</v>
      </c>
      <c r="M1613" t="str">
        <f>VLOOKUP(L1613,References!$A$2:$B$16,2,FALSE)</f>
        <v>AKCOVA</v>
      </c>
      <c r="N1613" s="19" t="str">
        <f>IF(M1613=M1612,"N","Y")</f>
        <v>Y</v>
      </c>
      <c r="O1613">
        <f>SUM(I1612:I1613)</f>
        <v>149</v>
      </c>
      <c r="P1613">
        <f t="shared" si="154"/>
        <v>82</v>
      </c>
    </row>
    <row r="1614" spans="1:16" hidden="1" x14ac:dyDescent="0.3">
      <c r="A1614" t="str">
        <f t="shared" si="153"/>
        <v>2023Matt7</v>
      </c>
      <c r="B1614">
        <f t="shared" si="150"/>
        <v>1840</v>
      </c>
      <c r="C1614">
        <f t="shared" si="151"/>
        <v>1549</v>
      </c>
      <c r="D1614" t="s">
        <v>30</v>
      </c>
      <c r="E1614" t="str">
        <f>D1615</f>
        <v>Arnold</v>
      </c>
      <c r="F1614">
        <v>2023</v>
      </c>
      <c r="G1614">
        <v>7</v>
      </c>
      <c r="H1614">
        <v>5.0999999999999996</v>
      </c>
      <c r="I1614">
        <v>76</v>
      </c>
      <c r="J1614">
        <f>I1614-I1615</f>
        <v>-36</v>
      </c>
      <c r="K1614" t="str">
        <f t="shared" si="155"/>
        <v>L</v>
      </c>
      <c r="L1614" t="str">
        <f t="shared" si="152"/>
        <v>Matt</v>
      </c>
      <c r="M1614" t="str">
        <f>VLOOKUP(L1614,References!$A$2:$B$16,2,FALSE)</f>
        <v>TEXAROK</v>
      </c>
      <c r="N1614" s="19" t="str">
        <f>IF(M1614=M1615,"N","Y")</f>
        <v>Y</v>
      </c>
      <c r="O1614">
        <f>SUM(I1614:I1615)</f>
        <v>188</v>
      </c>
      <c r="P1614">
        <f t="shared" si="154"/>
        <v>112</v>
      </c>
    </row>
    <row r="1615" spans="1:16" hidden="1" x14ac:dyDescent="0.3">
      <c r="A1615" t="str">
        <f t="shared" si="153"/>
        <v>2023Arnold7</v>
      </c>
      <c r="B1615">
        <f t="shared" si="150"/>
        <v>238</v>
      </c>
      <c r="C1615">
        <f t="shared" si="151"/>
        <v>364</v>
      </c>
      <c r="D1615" t="s">
        <v>227</v>
      </c>
      <c r="E1615" t="str">
        <f>D1614</f>
        <v>Matt</v>
      </c>
      <c r="F1615">
        <v>2023</v>
      </c>
      <c r="G1615">
        <v>7</v>
      </c>
      <c r="H1615">
        <v>5.2</v>
      </c>
      <c r="I1615">
        <v>112</v>
      </c>
      <c r="J1615">
        <f>I1615-I1614</f>
        <v>36</v>
      </c>
      <c r="K1615" t="str">
        <f t="shared" si="155"/>
        <v>W</v>
      </c>
      <c r="L1615" t="str">
        <f t="shared" si="152"/>
        <v>Arnold</v>
      </c>
      <c r="M1615" t="str">
        <f>VLOOKUP(L1615,References!$A$2:$B$16,2,FALSE)</f>
        <v>AKCOVA</v>
      </c>
      <c r="N1615" s="19" t="str">
        <f>IF(M1615=M1614,"N","Y")</f>
        <v>Y</v>
      </c>
      <c r="O1615">
        <f>SUM(I1614:I1615)</f>
        <v>188</v>
      </c>
      <c r="P1615">
        <f t="shared" si="154"/>
        <v>76</v>
      </c>
    </row>
    <row r="1616" spans="1:16" hidden="1" x14ac:dyDescent="0.3">
      <c r="A1616" t="str">
        <f t="shared" si="153"/>
        <v>2023Brent7</v>
      </c>
      <c r="B1616">
        <f t="shared" si="150"/>
        <v>371</v>
      </c>
      <c r="C1616">
        <f t="shared" si="151"/>
        <v>777</v>
      </c>
      <c r="D1616" t="s">
        <v>47</v>
      </c>
      <c r="E1616" t="str">
        <f>D1617</f>
        <v>Charles</v>
      </c>
      <c r="F1616">
        <v>2023</v>
      </c>
      <c r="G1616">
        <v>7</v>
      </c>
      <c r="H1616">
        <v>6.1</v>
      </c>
      <c r="I1616">
        <v>97</v>
      </c>
      <c r="J1616">
        <f>I1616-I1617</f>
        <v>27</v>
      </c>
      <c r="K1616" t="str">
        <f t="shared" si="155"/>
        <v>W</v>
      </c>
      <c r="L1616" t="str">
        <f t="shared" si="152"/>
        <v>Brent</v>
      </c>
      <c r="M1616" t="str">
        <f>VLOOKUP(L1616,References!$A$2:$B$16,2,FALSE)</f>
        <v>TEXAROK</v>
      </c>
      <c r="N1616" s="19" t="str">
        <f>IF(M1616=M1617,"N","Y")</f>
        <v>Y</v>
      </c>
      <c r="O1616">
        <f>SUM(I1616:I1617)</f>
        <v>167</v>
      </c>
      <c r="P1616">
        <f t="shared" si="154"/>
        <v>70</v>
      </c>
    </row>
    <row r="1617" spans="1:16" hidden="1" x14ac:dyDescent="0.3">
      <c r="A1617" t="str">
        <f t="shared" si="153"/>
        <v>2023Charles7</v>
      </c>
      <c r="B1617">
        <f t="shared" si="150"/>
        <v>1702</v>
      </c>
      <c r="C1617">
        <f t="shared" si="151"/>
        <v>1738</v>
      </c>
      <c r="D1617" t="s">
        <v>48</v>
      </c>
      <c r="E1617" t="str">
        <f>D1616</f>
        <v>Brent</v>
      </c>
      <c r="F1617">
        <v>2023</v>
      </c>
      <c r="G1617">
        <v>7</v>
      </c>
      <c r="H1617">
        <v>6.2</v>
      </c>
      <c r="I1617">
        <v>70</v>
      </c>
      <c r="J1617">
        <f>I1617-I1616</f>
        <v>-27</v>
      </c>
      <c r="K1617" t="str">
        <f t="shared" si="155"/>
        <v>L</v>
      </c>
      <c r="L1617" t="str">
        <f t="shared" si="152"/>
        <v>Charles</v>
      </c>
      <c r="M1617" t="str">
        <f>VLOOKUP(L1617,References!$A$2:$B$16,2,FALSE)</f>
        <v>AKCOVA</v>
      </c>
      <c r="N1617" s="19" t="str">
        <f>IF(M1617=M1616,"N","Y")</f>
        <v>Y</v>
      </c>
      <c r="O1617">
        <f>SUM(I1616:I1617)</f>
        <v>167</v>
      </c>
      <c r="P1617">
        <f t="shared" si="154"/>
        <v>97</v>
      </c>
    </row>
    <row r="1618" spans="1:16" hidden="1" x14ac:dyDescent="0.3">
      <c r="A1618" t="str">
        <f t="shared" si="153"/>
        <v>2023Michael8</v>
      </c>
      <c r="B1618">
        <f t="shared" si="150"/>
        <v>517</v>
      </c>
      <c r="C1618">
        <f t="shared" si="151"/>
        <v>186</v>
      </c>
      <c r="D1618" t="s">
        <v>23</v>
      </c>
      <c r="E1618" t="str">
        <f>D1619</f>
        <v>Brent</v>
      </c>
      <c r="F1618">
        <v>2023</v>
      </c>
      <c r="G1618">
        <v>8</v>
      </c>
      <c r="H1618">
        <v>1.1000000000000001</v>
      </c>
      <c r="I1618">
        <v>123</v>
      </c>
      <c r="J1618">
        <f>I1618-I1619</f>
        <v>20</v>
      </c>
      <c r="K1618" t="str">
        <f t="shared" si="155"/>
        <v>W</v>
      </c>
      <c r="L1618" t="str">
        <f t="shared" si="152"/>
        <v>Michael</v>
      </c>
      <c r="M1618" t="str">
        <f>VLOOKUP(L1618,References!$A$2:$B$16,2,FALSE)</f>
        <v>AKCOVA</v>
      </c>
      <c r="N1618" s="19" t="str">
        <f>IF(M1618=M1619,"N","Y")</f>
        <v>Y</v>
      </c>
      <c r="O1618">
        <f>SUM(I1618:I1619)</f>
        <v>226</v>
      </c>
      <c r="P1618">
        <f t="shared" si="154"/>
        <v>103</v>
      </c>
    </row>
    <row r="1619" spans="1:16" hidden="1" x14ac:dyDescent="0.3">
      <c r="A1619" t="str">
        <f t="shared" si="153"/>
        <v>2023Brent8</v>
      </c>
      <c r="B1619">
        <f t="shared" si="150"/>
        <v>1546</v>
      </c>
      <c r="C1619">
        <f t="shared" si="151"/>
        <v>603</v>
      </c>
      <c r="D1619" t="s">
        <v>47</v>
      </c>
      <c r="E1619" t="str">
        <f>D1618</f>
        <v>Michael</v>
      </c>
      <c r="F1619">
        <v>2023</v>
      </c>
      <c r="G1619">
        <v>8</v>
      </c>
      <c r="H1619">
        <v>1.2</v>
      </c>
      <c r="I1619">
        <v>103</v>
      </c>
      <c r="J1619">
        <f>I1619-I1618</f>
        <v>-20</v>
      </c>
      <c r="K1619" t="str">
        <f t="shared" si="155"/>
        <v>L</v>
      </c>
      <c r="L1619" t="str">
        <f t="shared" si="152"/>
        <v>Brent</v>
      </c>
      <c r="M1619" t="str">
        <f>VLOOKUP(L1619,References!$A$2:$B$16,2,FALSE)</f>
        <v>TEXAROK</v>
      </c>
      <c r="N1619" s="19" t="str">
        <f>IF(M1619=M1618,"N","Y")</f>
        <v>Y</v>
      </c>
      <c r="O1619">
        <f>SUM(I1618:I1619)</f>
        <v>226</v>
      </c>
      <c r="P1619">
        <f t="shared" si="154"/>
        <v>123</v>
      </c>
    </row>
    <row r="1620" spans="1:16" hidden="1" x14ac:dyDescent="0.3">
      <c r="A1620" t="str">
        <f t="shared" si="153"/>
        <v>2023Mark8</v>
      </c>
      <c r="B1620">
        <f t="shared" si="150"/>
        <v>1840</v>
      </c>
      <c r="C1620">
        <f t="shared" si="151"/>
        <v>2014</v>
      </c>
      <c r="D1620" t="s">
        <v>22</v>
      </c>
      <c r="E1620" t="str">
        <f>D1621</f>
        <v>Russell</v>
      </c>
      <c r="F1620">
        <v>2023</v>
      </c>
      <c r="G1620">
        <v>8</v>
      </c>
      <c r="H1620">
        <v>2.1</v>
      </c>
      <c r="I1620">
        <v>55</v>
      </c>
      <c r="J1620">
        <f>I1620-I1621</f>
        <v>-36</v>
      </c>
      <c r="K1620" t="str">
        <f t="shared" si="155"/>
        <v>L</v>
      </c>
      <c r="L1620" t="str">
        <f t="shared" si="152"/>
        <v>Mark</v>
      </c>
      <c r="M1620" t="str">
        <f>VLOOKUP(L1620,References!$A$2:$B$16,2,FALSE)</f>
        <v>AKCOVA</v>
      </c>
      <c r="N1620" s="19" t="str">
        <f>IF(M1620=M1621,"N","Y")</f>
        <v>Y</v>
      </c>
      <c r="O1620">
        <f>SUM(I1620:I1621)</f>
        <v>146</v>
      </c>
      <c r="P1620">
        <f t="shared" si="154"/>
        <v>91</v>
      </c>
    </row>
    <row r="1621" spans="1:16" hidden="1" x14ac:dyDescent="0.3">
      <c r="A1621" t="str">
        <f t="shared" si="153"/>
        <v>2023Russell8</v>
      </c>
      <c r="B1621">
        <f t="shared" si="150"/>
        <v>238</v>
      </c>
      <c r="C1621">
        <f t="shared" si="151"/>
        <v>992</v>
      </c>
      <c r="D1621" t="s">
        <v>28</v>
      </c>
      <c r="E1621" t="str">
        <f>D1620</f>
        <v>Mark</v>
      </c>
      <c r="F1621">
        <v>2023</v>
      </c>
      <c r="G1621">
        <v>8</v>
      </c>
      <c r="H1621">
        <v>2.2000000000000002</v>
      </c>
      <c r="I1621">
        <v>91</v>
      </c>
      <c r="J1621">
        <f>I1621-I1620</f>
        <v>36</v>
      </c>
      <c r="K1621" t="str">
        <f t="shared" si="155"/>
        <v>W</v>
      </c>
      <c r="L1621" t="str">
        <f t="shared" si="152"/>
        <v>Russell</v>
      </c>
      <c r="M1621" t="str">
        <f>VLOOKUP(L1621,References!$A$2:$B$16,2,FALSE)</f>
        <v>TEXAROK</v>
      </c>
      <c r="N1621" s="19" t="str">
        <f>IF(M1621=M1620,"N","Y")</f>
        <v>Y</v>
      </c>
      <c r="O1621">
        <f>SUM(I1620:I1621)</f>
        <v>146</v>
      </c>
      <c r="P1621">
        <f t="shared" si="154"/>
        <v>55</v>
      </c>
    </row>
    <row r="1622" spans="1:16" hidden="1" x14ac:dyDescent="0.3">
      <c r="A1622" t="str">
        <f t="shared" si="153"/>
        <v>2023Watty8</v>
      </c>
      <c r="B1622">
        <f t="shared" si="150"/>
        <v>297</v>
      </c>
      <c r="C1622">
        <f t="shared" si="151"/>
        <v>678</v>
      </c>
      <c r="D1622" t="s">
        <v>24</v>
      </c>
      <c r="E1622" t="str">
        <f>D1623</f>
        <v>David</v>
      </c>
      <c r="F1622">
        <v>2023</v>
      </c>
      <c r="G1622">
        <v>8</v>
      </c>
      <c r="H1622">
        <v>3.1</v>
      </c>
      <c r="I1622">
        <v>100</v>
      </c>
      <c r="J1622">
        <f>I1622-I1623</f>
        <v>31</v>
      </c>
      <c r="K1622" t="str">
        <f t="shared" si="155"/>
        <v>W</v>
      </c>
      <c r="L1622" t="str">
        <f t="shared" si="152"/>
        <v>Watty</v>
      </c>
      <c r="M1622" t="str">
        <f>VLOOKUP(L1622,References!$A$2:$B$16,2,FALSE)</f>
        <v>AKCOVA</v>
      </c>
      <c r="N1622" s="19" t="str">
        <f>IF(M1622=M1623,"N","Y")</f>
        <v>Y</v>
      </c>
      <c r="O1622">
        <f>SUM(I1622:I1623)</f>
        <v>169</v>
      </c>
      <c r="P1622">
        <f t="shared" si="154"/>
        <v>69</v>
      </c>
    </row>
    <row r="1623" spans="1:16" hidden="1" x14ac:dyDescent="0.3">
      <c r="A1623" t="str">
        <f t="shared" si="153"/>
        <v>2023David8</v>
      </c>
      <c r="B1623">
        <f t="shared" si="150"/>
        <v>1775</v>
      </c>
      <c r="C1623">
        <f t="shared" si="151"/>
        <v>1767</v>
      </c>
      <c r="D1623" t="s">
        <v>29</v>
      </c>
      <c r="E1623" t="str">
        <f>D1622</f>
        <v>Watty</v>
      </c>
      <c r="F1623">
        <v>2023</v>
      </c>
      <c r="G1623">
        <v>8</v>
      </c>
      <c r="H1623">
        <v>3.2</v>
      </c>
      <c r="I1623">
        <v>69</v>
      </c>
      <c r="J1623">
        <f>I1623-I1622</f>
        <v>-31</v>
      </c>
      <c r="K1623" t="str">
        <f t="shared" si="155"/>
        <v>L</v>
      </c>
      <c r="L1623" t="str">
        <f t="shared" si="152"/>
        <v>David</v>
      </c>
      <c r="M1623" t="str">
        <f>VLOOKUP(L1623,References!$A$2:$B$16,2,FALSE)</f>
        <v>TEXAROK</v>
      </c>
      <c r="N1623" s="19" t="str">
        <f>IF(M1623=M1622,"N","Y")</f>
        <v>Y</v>
      </c>
      <c r="O1623">
        <f>SUM(I1622:I1623)</f>
        <v>169</v>
      </c>
      <c r="P1623">
        <f t="shared" si="154"/>
        <v>100</v>
      </c>
    </row>
    <row r="1624" spans="1:16" hidden="1" x14ac:dyDescent="0.3">
      <c r="A1624" t="str">
        <f t="shared" si="153"/>
        <v>2023BR8</v>
      </c>
      <c r="B1624">
        <f t="shared" si="150"/>
        <v>1004</v>
      </c>
      <c r="C1624">
        <f t="shared" si="151"/>
        <v>1173</v>
      </c>
      <c r="D1624" t="s">
        <v>25</v>
      </c>
      <c r="E1624" t="str">
        <f>D1625</f>
        <v>Emily</v>
      </c>
      <c r="F1624">
        <v>2023</v>
      </c>
      <c r="G1624">
        <v>8</v>
      </c>
      <c r="H1624">
        <v>4.0999999999999996</v>
      </c>
      <c r="I1624">
        <v>86</v>
      </c>
      <c r="J1624">
        <f>I1624-I1625</f>
        <v>1</v>
      </c>
      <c r="K1624" t="str">
        <f t="shared" si="155"/>
        <v>W</v>
      </c>
      <c r="L1624" t="str">
        <f t="shared" si="152"/>
        <v>BR</v>
      </c>
      <c r="M1624" t="str">
        <f>VLOOKUP(L1624,References!$A$2:$B$16,2,FALSE)</f>
        <v>AKCOVA</v>
      </c>
      <c r="N1624" s="19" t="str">
        <f>IF(M1624=M1625,"N","Y")</f>
        <v>Y</v>
      </c>
      <c r="O1624">
        <f>SUM(I1624:I1625)</f>
        <v>171</v>
      </c>
      <c r="P1624">
        <f t="shared" si="154"/>
        <v>85</v>
      </c>
    </row>
    <row r="1625" spans="1:16" hidden="1" x14ac:dyDescent="0.3">
      <c r="A1625" t="str">
        <f t="shared" si="153"/>
        <v>2023Emily8</v>
      </c>
      <c r="B1625">
        <f t="shared" si="150"/>
        <v>1055</v>
      </c>
      <c r="C1625">
        <f t="shared" si="151"/>
        <v>1210</v>
      </c>
      <c r="D1625" t="s">
        <v>43</v>
      </c>
      <c r="E1625" t="str">
        <f>D1624</f>
        <v>BR</v>
      </c>
      <c r="F1625">
        <v>2023</v>
      </c>
      <c r="G1625">
        <v>8</v>
      </c>
      <c r="H1625">
        <v>4.2</v>
      </c>
      <c r="I1625">
        <v>85</v>
      </c>
      <c r="J1625">
        <f>I1625-I1624</f>
        <v>-1</v>
      </c>
      <c r="K1625" t="str">
        <f t="shared" si="155"/>
        <v>L</v>
      </c>
      <c r="L1625" t="str">
        <f t="shared" si="152"/>
        <v>Emily</v>
      </c>
      <c r="M1625" t="str">
        <f>VLOOKUP(L1625,References!$A$2:$B$16,2,FALSE)</f>
        <v>TEXAROK</v>
      </c>
      <c r="N1625" s="19" t="str">
        <f>IF(M1625=M1624,"N","Y")</f>
        <v>Y</v>
      </c>
      <c r="O1625">
        <f>SUM(I1624:I1625)</f>
        <v>171</v>
      </c>
      <c r="P1625">
        <f t="shared" si="154"/>
        <v>86</v>
      </c>
    </row>
    <row r="1626" spans="1:16" hidden="1" x14ac:dyDescent="0.3">
      <c r="A1626" t="str">
        <f t="shared" si="153"/>
        <v>2023Arnold8</v>
      </c>
      <c r="B1626">
        <f t="shared" si="150"/>
        <v>1738</v>
      </c>
      <c r="C1626">
        <f t="shared" si="151"/>
        <v>926</v>
      </c>
      <c r="D1626" t="s">
        <v>227</v>
      </c>
      <c r="E1626" t="str">
        <f>D1627</f>
        <v>Brian</v>
      </c>
      <c r="F1626">
        <v>2023</v>
      </c>
      <c r="G1626">
        <v>8</v>
      </c>
      <c r="H1626">
        <v>5.0999999999999996</v>
      </c>
      <c r="I1626">
        <v>93</v>
      </c>
      <c r="J1626">
        <f>I1626-I1627</f>
        <v>-29</v>
      </c>
      <c r="K1626" t="str">
        <f t="shared" si="155"/>
        <v>L</v>
      </c>
      <c r="L1626" t="str">
        <f t="shared" si="152"/>
        <v>Arnold</v>
      </c>
      <c r="M1626" t="str">
        <f>VLOOKUP(L1626,References!$A$2:$B$16,2,FALSE)</f>
        <v>AKCOVA</v>
      </c>
      <c r="N1626" s="19" t="str">
        <f>IF(M1626=M1627,"N","Y")</f>
        <v>Y</v>
      </c>
      <c r="O1626">
        <f>SUM(I1626:I1627)</f>
        <v>215</v>
      </c>
      <c r="P1626">
        <f t="shared" si="154"/>
        <v>122</v>
      </c>
    </row>
    <row r="1627" spans="1:16" hidden="1" x14ac:dyDescent="0.3">
      <c r="A1627" t="str">
        <f t="shared" si="153"/>
        <v>2023Brian8</v>
      </c>
      <c r="B1627">
        <f t="shared" si="150"/>
        <v>341</v>
      </c>
      <c r="C1627">
        <f t="shared" si="151"/>
        <v>197</v>
      </c>
      <c r="D1627" t="s">
        <v>26</v>
      </c>
      <c r="E1627" t="str">
        <f>D1626</f>
        <v>Arnold</v>
      </c>
      <c r="F1627">
        <v>2023</v>
      </c>
      <c r="G1627">
        <v>8</v>
      </c>
      <c r="H1627">
        <v>5.2</v>
      </c>
      <c r="I1627">
        <v>122</v>
      </c>
      <c r="J1627">
        <f>I1627-I1626</f>
        <v>29</v>
      </c>
      <c r="K1627" t="str">
        <f t="shared" si="155"/>
        <v>W</v>
      </c>
      <c r="L1627" t="str">
        <f t="shared" si="152"/>
        <v>Brian</v>
      </c>
      <c r="M1627" t="str">
        <f>VLOOKUP(L1627,References!$A$2:$B$16,2,FALSE)</f>
        <v>TEXAROK</v>
      </c>
      <c r="N1627" s="19" t="str">
        <f>IF(M1627=M1626,"N","Y")</f>
        <v>Y</v>
      </c>
      <c r="O1627">
        <f>SUM(I1626:I1627)</f>
        <v>215</v>
      </c>
      <c r="P1627">
        <f t="shared" si="154"/>
        <v>93</v>
      </c>
    </row>
    <row r="1628" spans="1:16" hidden="1" x14ac:dyDescent="0.3">
      <c r="A1628" t="str">
        <f t="shared" si="153"/>
        <v>2023Charles8</v>
      </c>
      <c r="B1628">
        <f t="shared" si="150"/>
        <v>1907</v>
      </c>
      <c r="C1628">
        <f t="shared" si="151"/>
        <v>2060</v>
      </c>
      <c r="D1628" t="s">
        <v>48</v>
      </c>
      <c r="E1628" t="str">
        <f>D1629</f>
        <v>Matt</v>
      </c>
      <c r="F1628">
        <v>2023</v>
      </c>
      <c r="G1628">
        <v>8</v>
      </c>
      <c r="H1628">
        <v>6.1</v>
      </c>
      <c r="I1628">
        <v>48</v>
      </c>
      <c r="J1628">
        <f>I1628-I1629</f>
        <v>-41</v>
      </c>
      <c r="K1628" t="str">
        <f t="shared" si="155"/>
        <v>L</v>
      </c>
      <c r="L1628" t="str">
        <f t="shared" si="152"/>
        <v>Charles</v>
      </c>
      <c r="M1628" t="str">
        <f>VLOOKUP(L1628,References!$A$2:$B$16,2,FALSE)</f>
        <v>AKCOVA</v>
      </c>
      <c r="N1628" s="19" t="str">
        <f>IF(M1628=M1629,"N","Y")</f>
        <v>Y</v>
      </c>
      <c r="O1628">
        <f>SUM(I1628:I1629)</f>
        <v>137</v>
      </c>
      <c r="P1628">
        <f t="shared" si="154"/>
        <v>89</v>
      </c>
    </row>
    <row r="1629" spans="1:16" hidden="1" x14ac:dyDescent="0.3">
      <c r="A1629" t="str">
        <f t="shared" si="153"/>
        <v>2023Matt8</v>
      </c>
      <c r="B1629">
        <f t="shared" si="150"/>
        <v>180</v>
      </c>
      <c r="C1629">
        <f t="shared" si="151"/>
        <v>1055</v>
      </c>
      <c r="D1629" t="s">
        <v>30</v>
      </c>
      <c r="E1629" t="str">
        <f>D1628</f>
        <v>Charles</v>
      </c>
      <c r="F1629">
        <v>2023</v>
      </c>
      <c r="G1629">
        <v>8</v>
      </c>
      <c r="H1629">
        <v>6.2</v>
      </c>
      <c r="I1629">
        <v>89</v>
      </c>
      <c r="J1629">
        <f>I1629-I1628</f>
        <v>41</v>
      </c>
      <c r="K1629" t="str">
        <f t="shared" si="155"/>
        <v>W</v>
      </c>
      <c r="L1629" t="str">
        <f t="shared" si="152"/>
        <v>Matt</v>
      </c>
      <c r="M1629" t="str">
        <f>VLOOKUP(L1629,References!$A$2:$B$16,2,FALSE)</f>
        <v>TEXAROK</v>
      </c>
      <c r="N1629" s="19" t="str">
        <f>IF(M1629=M1628,"N","Y")</f>
        <v>Y</v>
      </c>
      <c r="O1629">
        <f>SUM(I1628:I1629)</f>
        <v>137</v>
      </c>
      <c r="P1629">
        <f t="shared" si="154"/>
        <v>48</v>
      </c>
    </row>
    <row r="1630" spans="1:16" hidden="1" x14ac:dyDescent="0.3">
      <c r="A1630" t="str">
        <f t="shared" si="153"/>
        <v>2023Russell9</v>
      </c>
      <c r="B1630">
        <f t="shared" si="150"/>
        <v>1884</v>
      </c>
      <c r="C1630">
        <f t="shared" si="151"/>
        <v>1738</v>
      </c>
      <c r="D1630" t="s">
        <v>28</v>
      </c>
      <c r="E1630" t="str">
        <f>D1631</f>
        <v>Michael</v>
      </c>
      <c r="F1630">
        <v>2023</v>
      </c>
      <c r="G1630">
        <v>9</v>
      </c>
      <c r="H1630">
        <v>1.1000000000000001</v>
      </c>
      <c r="I1630">
        <v>70</v>
      </c>
      <c r="J1630">
        <f>I1630-I1631</f>
        <v>-39</v>
      </c>
      <c r="K1630" t="str">
        <f t="shared" si="155"/>
        <v>L</v>
      </c>
      <c r="L1630" t="str">
        <f t="shared" si="152"/>
        <v>Russell</v>
      </c>
      <c r="M1630" t="str">
        <f>VLOOKUP(L1630,References!$A$2:$B$16,2,FALSE)</f>
        <v>TEXAROK</v>
      </c>
      <c r="N1630" s="19" t="str">
        <f>IF(M1630=M1631,"N","Y")</f>
        <v>Y</v>
      </c>
      <c r="O1630">
        <f>SUM(I1630:I1631)</f>
        <v>179</v>
      </c>
      <c r="P1630">
        <f t="shared" si="154"/>
        <v>109</v>
      </c>
    </row>
    <row r="1631" spans="1:16" x14ac:dyDescent="0.3">
      <c r="A1631" t="str">
        <f t="shared" si="153"/>
        <v>2023Michael9</v>
      </c>
      <c r="B1631">
        <f t="shared" si="150"/>
        <v>199</v>
      </c>
      <c r="C1631">
        <f t="shared" si="151"/>
        <v>435</v>
      </c>
      <c r="D1631" t="s">
        <v>23</v>
      </c>
      <c r="E1631" t="str">
        <f>D1630</f>
        <v>Russell</v>
      </c>
      <c r="F1631">
        <v>2023</v>
      </c>
      <c r="G1631">
        <v>9</v>
      </c>
      <c r="H1631">
        <v>1.2</v>
      </c>
      <c r="I1631">
        <v>109</v>
      </c>
      <c r="J1631">
        <f>I1631-I1630</f>
        <v>39</v>
      </c>
      <c r="K1631" t="str">
        <f t="shared" si="155"/>
        <v>W</v>
      </c>
      <c r="L1631" t="str">
        <f t="shared" si="152"/>
        <v>Michael</v>
      </c>
      <c r="M1631" t="str">
        <f>VLOOKUP(L1631,References!$A$2:$B$16,2,FALSE)</f>
        <v>AKCOVA</v>
      </c>
      <c r="N1631" s="19" t="str">
        <f>IF(M1631=M1630,"N","Y")</f>
        <v>Y</v>
      </c>
      <c r="O1631">
        <f>SUM(I1630:I1631)</f>
        <v>179</v>
      </c>
      <c r="P1631">
        <f t="shared" si="154"/>
        <v>70</v>
      </c>
    </row>
    <row r="1632" spans="1:16" hidden="1" x14ac:dyDescent="0.3">
      <c r="A1632" t="str">
        <f t="shared" si="153"/>
        <v>2023David9</v>
      </c>
      <c r="B1632">
        <f t="shared" si="150"/>
        <v>284</v>
      </c>
      <c r="C1632">
        <f t="shared" si="151"/>
        <v>111</v>
      </c>
      <c r="D1632" t="s">
        <v>29</v>
      </c>
      <c r="E1632" t="str">
        <f>D1633</f>
        <v>BR</v>
      </c>
      <c r="F1632">
        <v>2023</v>
      </c>
      <c r="G1632">
        <v>9</v>
      </c>
      <c r="H1632">
        <v>2.1</v>
      </c>
      <c r="I1632">
        <v>130</v>
      </c>
      <c r="J1632">
        <f>I1632-I1633</f>
        <v>32</v>
      </c>
      <c r="K1632" t="str">
        <f t="shared" si="155"/>
        <v>W</v>
      </c>
      <c r="L1632" t="str">
        <f t="shared" si="152"/>
        <v>David</v>
      </c>
      <c r="M1632" t="str">
        <f>VLOOKUP(L1632,References!$A$2:$B$16,2,FALSE)</f>
        <v>TEXAROK</v>
      </c>
      <c r="N1632" s="19" t="str">
        <f>IF(M1632=M1633,"N","Y")</f>
        <v>Y</v>
      </c>
      <c r="O1632">
        <f>SUM(I1632:I1633)</f>
        <v>228</v>
      </c>
      <c r="P1632">
        <f t="shared" si="154"/>
        <v>98</v>
      </c>
    </row>
    <row r="1633" spans="1:16" hidden="1" x14ac:dyDescent="0.3">
      <c r="A1633" t="str">
        <f t="shared" si="153"/>
        <v>2023BR9</v>
      </c>
      <c r="B1633">
        <f t="shared" si="150"/>
        <v>1797</v>
      </c>
      <c r="C1633">
        <f t="shared" si="151"/>
        <v>746</v>
      </c>
      <c r="D1633" t="s">
        <v>25</v>
      </c>
      <c r="E1633" t="str">
        <f>D1632</f>
        <v>David</v>
      </c>
      <c r="F1633">
        <v>2023</v>
      </c>
      <c r="G1633">
        <v>9</v>
      </c>
      <c r="H1633">
        <v>2.2000000000000002</v>
      </c>
      <c r="I1633">
        <v>98</v>
      </c>
      <c r="J1633">
        <f>I1633-I1632</f>
        <v>-32</v>
      </c>
      <c r="K1633" t="str">
        <f t="shared" si="155"/>
        <v>L</v>
      </c>
      <c r="L1633" t="str">
        <f t="shared" si="152"/>
        <v>BR</v>
      </c>
      <c r="M1633" t="str">
        <f>VLOOKUP(L1633,References!$A$2:$B$16,2,FALSE)</f>
        <v>AKCOVA</v>
      </c>
      <c r="N1633" s="19" t="str">
        <f>IF(M1633=M1632,"N","Y")</f>
        <v>Y</v>
      </c>
      <c r="O1633">
        <f>SUM(I1632:I1633)</f>
        <v>228</v>
      </c>
      <c r="P1633">
        <f t="shared" si="154"/>
        <v>130</v>
      </c>
    </row>
    <row r="1634" spans="1:16" hidden="1" x14ac:dyDescent="0.3">
      <c r="A1634" t="str">
        <f t="shared" si="153"/>
        <v>2023Emily9</v>
      </c>
      <c r="B1634">
        <f t="shared" si="150"/>
        <v>319</v>
      </c>
      <c r="C1634">
        <f t="shared" si="151"/>
        <v>1055</v>
      </c>
      <c r="D1634" t="s">
        <v>43</v>
      </c>
      <c r="E1634" t="str">
        <f>D1635</f>
        <v>Arnold</v>
      </c>
      <c r="F1634">
        <v>2023</v>
      </c>
      <c r="G1634">
        <v>9</v>
      </c>
      <c r="H1634">
        <v>3.1</v>
      </c>
      <c r="I1634">
        <v>89</v>
      </c>
      <c r="J1634">
        <f>I1634-I1635</f>
        <v>30</v>
      </c>
      <c r="K1634" t="str">
        <f t="shared" si="155"/>
        <v>W</v>
      </c>
      <c r="L1634" t="str">
        <f t="shared" si="152"/>
        <v>Emily</v>
      </c>
      <c r="M1634" t="str">
        <f>VLOOKUP(L1634,References!$A$2:$B$16,2,FALSE)</f>
        <v>TEXAROK</v>
      </c>
      <c r="N1634" s="19" t="str">
        <f>IF(M1634=M1635,"N","Y")</f>
        <v>Y</v>
      </c>
      <c r="O1634">
        <f>SUM(I1634:I1635)</f>
        <v>148</v>
      </c>
      <c r="P1634">
        <f t="shared" si="154"/>
        <v>59</v>
      </c>
    </row>
    <row r="1635" spans="1:16" hidden="1" x14ac:dyDescent="0.3">
      <c r="A1635" t="str">
        <f t="shared" si="153"/>
        <v>2023Arnold9</v>
      </c>
      <c r="B1635">
        <f t="shared" si="150"/>
        <v>1753</v>
      </c>
      <c r="C1635">
        <f t="shared" si="151"/>
        <v>1951</v>
      </c>
      <c r="D1635" t="s">
        <v>227</v>
      </c>
      <c r="E1635" t="str">
        <f>D1634</f>
        <v>Emily</v>
      </c>
      <c r="F1635">
        <v>2023</v>
      </c>
      <c r="G1635">
        <v>9</v>
      </c>
      <c r="H1635">
        <v>3.2</v>
      </c>
      <c r="I1635">
        <v>59</v>
      </c>
      <c r="J1635">
        <f>I1635-I1634</f>
        <v>-30</v>
      </c>
      <c r="K1635" t="str">
        <f t="shared" si="155"/>
        <v>L</v>
      </c>
      <c r="L1635" t="str">
        <f t="shared" si="152"/>
        <v>Arnold</v>
      </c>
      <c r="M1635" t="str">
        <f>VLOOKUP(L1635,References!$A$2:$B$16,2,FALSE)</f>
        <v>AKCOVA</v>
      </c>
      <c r="N1635" s="19" t="str">
        <f>IF(M1635=M1634,"N","Y")</f>
        <v>Y</v>
      </c>
      <c r="O1635">
        <f>SUM(I1634:I1635)</f>
        <v>148</v>
      </c>
      <c r="P1635">
        <f t="shared" si="154"/>
        <v>89</v>
      </c>
    </row>
    <row r="1636" spans="1:16" hidden="1" x14ac:dyDescent="0.3">
      <c r="A1636" t="str">
        <f t="shared" si="153"/>
        <v>2023Brian9</v>
      </c>
      <c r="B1636">
        <f t="shared" si="150"/>
        <v>450</v>
      </c>
      <c r="C1636">
        <f t="shared" si="151"/>
        <v>992</v>
      </c>
      <c r="D1636" t="s">
        <v>26</v>
      </c>
      <c r="E1636" t="str">
        <f>D1637</f>
        <v>Charles</v>
      </c>
      <c r="F1636">
        <v>2023</v>
      </c>
      <c r="G1636">
        <v>9</v>
      </c>
      <c r="H1636">
        <v>4.0999999999999996</v>
      </c>
      <c r="I1636">
        <v>91</v>
      </c>
      <c r="J1636">
        <f>I1636-I1637</f>
        <v>23</v>
      </c>
      <c r="K1636" t="str">
        <f t="shared" si="155"/>
        <v>W</v>
      </c>
      <c r="L1636" t="str">
        <f t="shared" si="152"/>
        <v>Brian</v>
      </c>
      <c r="M1636" t="str">
        <f>VLOOKUP(L1636,References!$A$2:$B$16,2,FALSE)</f>
        <v>TEXAROK</v>
      </c>
      <c r="N1636" s="19" t="str">
        <f>IF(M1636=M1637,"N","Y")</f>
        <v>Y</v>
      </c>
      <c r="O1636">
        <f>SUM(I1636:I1637)</f>
        <v>159</v>
      </c>
      <c r="P1636">
        <f t="shared" si="154"/>
        <v>68</v>
      </c>
    </row>
    <row r="1637" spans="1:16" hidden="1" x14ac:dyDescent="0.3">
      <c r="A1637" t="str">
        <f t="shared" si="153"/>
        <v>2023Charles9</v>
      </c>
      <c r="B1637">
        <f t="shared" si="150"/>
        <v>1625</v>
      </c>
      <c r="C1637">
        <f t="shared" si="151"/>
        <v>1793</v>
      </c>
      <c r="D1637" t="s">
        <v>48</v>
      </c>
      <c r="E1637" t="str">
        <f>D1636</f>
        <v>Brian</v>
      </c>
      <c r="F1637">
        <v>2023</v>
      </c>
      <c r="G1637">
        <v>9</v>
      </c>
      <c r="H1637">
        <v>4.2</v>
      </c>
      <c r="I1637">
        <v>68</v>
      </c>
      <c r="J1637">
        <f>I1637-I1636</f>
        <v>-23</v>
      </c>
      <c r="K1637" t="str">
        <f t="shared" si="155"/>
        <v>L</v>
      </c>
      <c r="L1637" t="str">
        <f t="shared" si="152"/>
        <v>Charles</v>
      </c>
      <c r="M1637" t="str">
        <f>VLOOKUP(L1637,References!$A$2:$B$16,2,FALSE)</f>
        <v>AKCOVA</v>
      </c>
      <c r="N1637" s="19" t="str">
        <f>IF(M1637=M1636,"N","Y")</f>
        <v>Y</v>
      </c>
      <c r="O1637">
        <f>SUM(I1636:I1637)</f>
        <v>159</v>
      </c>
      <c r="P1637">
        <f t="shared" si="154"/>
        <v>91</v>
      </c>
    </row>
    <row r="1638" spans="1:16" hidden="1" x14ac:dyDescent="0.3">
      <c r="A1638" t="str">
        <f t="shared" si="153"/>
        <v>2023Matt9</v>
      </c>
      <c r="B1638">
        <f t="shared" si="150"/>
        <v>1856</v>
      </c>
      <c r="C1638">
        <f t="shared" si="151"/>
        <v>1512</v>
      </c>
      <c r="D1638" t="s">
        <v>30</v>
      </c>
      <c r="E1638" t="str">
        <f>D1639</f>
        <v>Watty</v>
      </c>
      <c r="F1638">
        <v>2023</v>
      </c>
      <c r="G1638">
        <v>9</v>
      </c>
      <c r="H1638">
        <v>5.0999999999999996</v>
      </c>
      <c r="I1638">
        <v>77</v>
      </c>
      <c r="J1638">
        <f>I1638-I1639</f>
        <v>-37</v>
      </c>
      <c r="K1638" t="str">
        <f t="shared" si="155"/>
        <v>L</v>
      </c>
      <c r="L1638" t="str">
        <f t="shared" si="152"/>
        <v>Matt</v>
      </c>
      <c r="M1638" t="str">
        <f>VLOOKUP(L1638,References!$A$2:$B$16,2,FALSE)</f>
        <v>TEXAROK</v>
      </c>
      <c r="N1638" s="19" t="str">
        <f>IF(M1638=M1639,"N","Y")</f>
        <v>Y</v>
      </c>
      <c r="O1638">
        <f>SUM(I1638:I1639)</f>
        <v>191</v>
      </c>
      <c r="P1638">
        <f t="shared" si="154"/>
        <v>114</v>
      </c>
    </row>
    <row r="1639" spans="1:16" hidden="1" x14ac:dyDescent="0.3">
      <c r="A1639" t="str">
        <f t="shared" si="153"/>
        <v>2023Watty9</v>
      </c>
      <c r="B1639">
        <f t="shared" si="150"/>
        <v>225</v>
      </c>
      <c r="C1639">
        <f t="shared" si="151"/>
        <v>321</v>
      </c>
      <c r="D1639" t="s">
        <v>24</v>
      </c>
      <c r="E1639" t="str">
        <f>D1638</f>
        <v>Matt</v>
      </c>
      <c r="F1639">
        <v>2023</v>
      </c>
      <c r="G1639">
        <v>9</v>
      </c>
      <c r="H1639">
        <v>5.2</v>
      </c>
      <c r="I1639">
        <v>114</v>
      </c>
      <c r="J1639">
        <f>I1639-I1638</f>
        <v>37</v>
      </c>
      <c r="K1639" t="str">
        <f t="shared" si="155"/>
        <v>W</v>
      </c>
      <c r="L1639" t="str">
        <f t="shared" si="152"/>
        <v>Watty</v>
      </c>
      <c r="M1639" t="str">
        <f>VLOOKUP(L1639,References!$A$2:$B$16,2,FALSE)</f>
        <v>AKCOVA</v>
      </c>
      <c r="N1639" s="19" t="str">
        <f>IF(M1639=M1638,"N","Y")</f>
        <v>Y</v>
      </c>
      <c r="O1639">
        <f>SUM(I1638:I1639)</f>
        <v>191</v>
      </c>
      <c r="P1639">
        <f t="shared" si="154"/>
        <v>77</v>
      </c>
    </row>
    <row r="1640" spans="1:16" hidden="1" x14ac:dyDescent="0.3">
      <c r="A1640" t="str">
        <f t="shared" si="153"/>
        <v>2023Brent9</v>
      </c>
      <c r="B1640">
        <f t="shared" si="150"/>
        <v>619</v>
      </c>
      <c r="C1640">
        <f t="shared" si="151"/>
        <v>1100</v>
      </c>
      <c r="D1640" t="s">
        <v>47</v>
      </c>
      <c r="E1640" t="str">
        <f>D1641</f>
        <v>Mark</v>
      </c>
      <c r="F1640">
        <v>2023</v>
      </c>
      <c r="G1640">
        <v>9</v>
      </c>
      <c r="H1640">
        <v>6.1</v>
      </c>
      <c r="I1640">
        <v>88</v>
      </c>
      <c r="J1640">
        <f>I1640-I1641</f>
        <v>16</v>
      </c>
      <c r="K1640" t="str">
        <f t="shared" si="155"/>
        <v>W</v>
      </c>
      <c r="L1640" t="str">
        <f t="shared" si="152"/>
        <v>Brent</v>
      </c>
      <c r="M1640" t="str">
        <f>VLOOKUP(L1640,References!$A$2:$B$16,2,FALSE)</f>
        <v>TEXAROK</v>
      </c>
      <c r="N1640" s="19" t="str">
        <f>IF(M1640=M1641,"N","Y")</f>
        <v>Y</v>
      </c>
      <c r="O1640">
        <f>SUM(I1640:I1641)</f>
        <v>160</v>
      </c>
      <c r="P1640">
        <f t="shared" si="154"/>
        <v>72</v>
      </c>
    </row>
    <row r="1641" spans="1:16" hidden="1" x14ac:dyDescent="0.3">
      <c r="A1641" t="str">
        <f t="shared" si="153"/>
        <v>2023Mark9</v>
      </c>
      <c r="B1641">
        <f t="shared" si="150"/>
        <v>1455</v>
      </c>
      <c r="C1641">
        <f t="shared" si="151"/>
        <v>1684</v>
      </c>
      <c r="D1641" t="s">
        <v>22</v>
      </c>
      <c r="E1641" t="str">
        <f>D1640</f>
        <v>Brent</v>
      </c>
      <c r="F1641">
        <v>2023</v>
      </c>
      <c r="G1641">
        <v>9</v>
      </c>
      <c r="H1641">
        <v>6.2</v>
      </c>
      <c r="I1641">
        <v>72</v>
      </c>
      <c r="J1641">
        <f>I1641-I1640</f>
        <v>-16</v>
      </c>
      <c r="K1641" t="str">
        <f t="shared" si="155"/>
        <v>L</v>
      </c>
      <c r="L1641" t="str">
        <f t="shared" si="152"/>
        <v>Mark</v>
      </c>
      <c r="M1641" t="str">
        <f>VLOOKUP(L1641,References!$A$2:$B$16,2,FALSE)</f>
        <v>AKCOVA</v>
      </c>
      <c r="N1641" s="19" t="str">
        <f>IF(M1641=M1640,"N","Y")</f>
        <v>Y</v>
      </c>
      <c r="O1641">
        <f>SUM(I1640:I1641)</f>
        <v>160</v>
      </c>
      <c r="P1641">
        <f t="shared" si="154"/>
        <v>88</v>
      </c>
    </row>
    <row r="1642" spans="1:16" hidden="1" x14ac:dyDescent="0.3">
      <c r="A1642" t="str">
        <f t="shared" si="153"/>
        <v>2023Michael10</v>
      </c>
      <c r="B1642">
        <f t="shared" si="150"/>
        <v>713</v>
      </c>
      <c r="C1642">
        <f t="shared" si="151"/>
        <v>1241</v>
      </c>
      <c r="D1642" t="s">
        <v>23</v>
      </c>
      <c r="E1642" t="str">
        <f>D1643</f>
        <v>David</v>
      </c>
      <c r="F1642">
        <v>2023</v>
      </c>
      <c r="G1642">
        <v>10</v>
      </c>
      <c r="H1642">
        <v>1.1000000000000001</v>
      </c>
      <c r="I1642">
        <v>84</v>
      </c>
      <c r="J1642">
        <f>I1642-I1643</f>
        <v>12</v>
      </c>
      <c r="K1642" t="str">
        <f t="shared" si="155"/>
        <v>W</v>
      </c>
      <c r="L1642" t="str">
        <f t="shared" si="152"/>
        <v>Michael</v>
      </c>
      <c r="M1642" t="str">
        <f>VLOOKUP(L1642,References!$A$2:$B$16,2,FALSE)</f>
        <v>AKCOVA</v>
      </c>
      <c r="N1642" s="19" t="str">
        <f>IF(M1642=M1643,"N","Y")</f>
        <v>Y</v>
      </c>
      <c r="O1642">
        <f>SUM(I1642:I1643)</f>
        <v>156</v>
      </c>
      <c r="P1642">
        <f t="shared" si="154"/>
        <v>72</v>
      </c>
    </row>
    <row r="1643" spans="1:16" hidden="1" x14ac:dyDescent="0.3">
      <c r="A1643" t="str">
        <f t="shared" si="153"/>
        <v>2023David10</v>
      </c>
      <c r="B1643">
        <f t="shared" si="150"/>
        <v>1357</v>
      </c>
      <c r="C1643">
        <f t="shared" si="151"/>
        <v>1684</v>
      </c>
      <c r="D1643" t="s">
        <v>29</v>
      </c>
      <c r="E1643" t="str">
        <f>D1642</f>
        <v>Michael</v>
      </c>
      <c r="F1643">
        <v>2023</v>
      </c>
      <c r="G1643">
        <v>10</v>
      </c>
      <c r="H1643">
        <v>1.2</v>
      </c>
      <c r="I1643">
        <v>72</v>
      </c>
      <c r="J1643">
        <f>I1643-I1642</f>
        <v>-12</v>
      </c>
      <c r="K1643" t="str">
        <f t="shared" si="155"/>
        <v>L</v>
      </c>
      <c r="L1643" t="str">
        <f t="shared" si="152"/>
        <v>David</v>
      </c>
      <c r="M1643" t="str">
        <f>VLOOKUP(L1643,References!$A$2:$B$16,2,FALSE)</f>
        <v>TEXAROK</v>
      </c>
      <c r="N1643" s="19" t="str">
        <f>IF(M1643=M1642,"N","Y")</f>
        <v>Y</v>
      </c>
      <c r="O1643">
        <f>SUM(I1642:I1643)</f>
        <v>156</v>
      </c>
      <c r="P1643">
        <f t="shared" si="154"/>
        <v>84</v>
      </c>
    </row>
    <row r="1644" spans="1:16" hidden="1" x14ac:dyDescent="0.3">
      <c r="A1644" t="str">
        <f t="shared" si="153"/>
        <v>2023BR10</v>
      </c>
      <c r="B1644">
        <f t="shared" si="150"/>
        <v>210</v>
      </c>
      <c r="C1644">
        <f t="shared" si="151"/>
        <v>678</v>
      </c>
      <c r="D1644" t="s">
        <v>25</v>
      </c>
      <c r="E1644" t="str">
        <f>D1645</f>
        <v>Russell</v>
      </c>
      <c r="F1644">
        <v>2023</v>
      </c>
      <c r="G1644">
        <v>10</v>
      </c>
      <c r="H1644">
        <v>2.1</v>
      </c>
      <c r="I1644">
        <v>100</v>
      </c>
      <c r="J1644">
        <f>I1644-I1645</f>
        <v>38</v>
      </c>
      <c r="K1644" t="str">
        <f t="shared" si="155"/>
        <v>W</v>
      </c>
      <c r="L1644" t="str">
        <f t="shared" si="152"/>
        <v>BR</v>
      </c>
      <c r="M1644" t="str">
        <f>VLOOKUP(L1644,References!$A$2:$B$16,2,FALSE)</f>
        <v>AKCOVA</v>
      </c>
      <c r="N1644" s="19" t="str">
        <f>IF(M1644=M1645,"N","Y")</f>
        <v>Y</v>
      </c>
      <c r="O1644">
        <f>SUM(I1644:I1645)</f>
        <v>162</v>
      </c>
      <c r="P1644">
        <f t="shared" si="154"/>
        <v>62</v>
      </c>
    </row>
    <row r="1645" spans="1:16" hidden="1" x14ac:dyDescent="0.3">
      <c r="A1645" t="str">
        <f t="shared" si="153"/>
        <v>2023Russell10</v>
      </c>
      <c r="B1645">
        <f t="shared" si="150"/>
        <v>1869</v>
      </c>
      <c r="C1645">
        <f t="shared" si="151"/>
        <v>1910</v>
      </c>
      <c r="D1645" t="s">
        <v>28</v>
      </c>
      <c r="E1645" t="str">
        <f>D1644</f>
        <v>BR</v>
      </c>
      <c r="F1645">
        <v>2023</v>
      </c>
      <c r="G1645">
        <v>10</v>
      </c>
      <c r="H1645">
        <v>2.2000000000000002</v>
      </c>
      <c r="I1645">
        <v>62</v>
      </c>
      <c r="J1645">
        <f>I1645-I1644</f>
        <v>-38</v>
      </c>
      <c r="K1645" t="str">
        <f t="shared" si="155"/>
        <v>L</v>
      </c>
      <c r="L1645" t="str">
        <f t="shared" si="152"/>
        <v>Russell</v>
      </c>
      <c r="M1645" t="str">
        <f>VLOOKUP(L1645,References!$A$2:$B$16,2,FALSE)</f>
        <v>TEXAROK</v>
      </c>
      <c r="N1645" s="19" t="str">
        <f>IF(M1645=M1644,"N","Y")</f>
        <v>Y</v>
      </c>
      <c r="O1645">
        <f>SUM(I1644:I1645)</f>
        <v>162</v>
      </c>
      <c r="P1645">
        <f t="shared" si="154"/>
        <v>100</v>
      </c>
    </row>
    <row r="1646" spans="1:16" hidden="1" x14ac:dyDescent="0.3">
      <c r="A1646" t="str">
        <f t="shared" si="153"/>
        <v>2023Charles10</v>
      </c>
      <c r="B1646">
        <f t="shared" si="150"/>
        <v>1895</v>
      </c>
      <c r="C1646">
        <f t="shared" si="151"/>
        <v>2027</v>
      </c>
      <c r="D1646" t="s">
        <v>48</v>
      </c>
      <c r="E1646" t="str">
        <f>D1647</f>
        <v>Emily</v>
      </c>
      <c r="F1646">
        <v>2023</v>
      </c>
      <c r="G1646">
        <v>10</v>
      </c>
      <c r="H1646">
        <v>3.1</v>
      </c>
      <c r="I1646">
        <v>53</v>
      </c>
      <c r="J1646">
        <f>I1646-I1647</f>
        <v>-40</v>
      </c>
      <c r="K1646" t="str">
        <f t="shared" si="155"/>
        <v>L</v>
      </c>
      <c r="L1646" t="str">
        <f t="shared" si="152"/>
        <v>Charles</v>
      </c>
      <c r="M1646" t="str">
        <f>VLOOKUP(L1646,References!$A$2:$B$16,2,FALSE)</f>
        <v>AKCOVA</v>
      </c>
      <c r="N1646" s="19" t="str">
        <f>IF(M1646=M1647,"N","Y")</f>
        <v>Y</v>
      </c>
      <c r="O1646">
        <f>SUM(I1646:I1647)</f>
        <v>146</v>
      </c>
      <c r="P1646">
        <f t="shared" si="154"/>
        <v>93</v>
      </c>
    </row>
    <row r="1647" spans="1:16" hidden="1" x14ac:dyDescent="0.3">
      <c r="A1647" t="str">
        <f t="shared" si="153"/>
        <v>2023Emily10</v>
      </c>
      <c r="B1647">
        <f t="shared" si="150"/>
        <v>187</v>
      </c>
      <c r="C1647">
        <f t="shared" si="151"/>
        <v>926</v>
      </c>
      <c r="D1647" t="s">
        <v>43</v>
      </c>
      <c r="E1647" t="str">
        <f>D1646</f>
        <v>Charles</v>
      </c>
      <c r="F1647">
        <v>2023</v>
      </c>
      <c r="G1647">
        <v>10</v>
      </c>
      <c r="H1647">
        <v>3.2</v>
      </c>
      <c r="I1647">
        <v>93</v>
      </c>
      <c r="J1647">
        <f>I1647-I1646</f>
        <v>40</v>
      </c>
      <c r="K1647" t="str">
        <f t="shared" si="155"/>
        <v>W</v>
      </c>
      <c r="L1647" t="str">
        <f t="shared" si="152"/>
        <v>Emily</v>
      </c>
      <c r="M1647" t="str">
        <f>VLOOKUP(L1647,References!$A$2:$B$16,2,FALSE)</f>
        <v>TEXAROK</v>
      </c>
      <c r="N1647" s="19" t="str">
        <f>IF(M1647=M1646,"N","Y")</f>
        <v>Y</v>
      </c>
      <c r="O1647">
        <f>SUM(I1646:I1647)</f>
        <v>146</v>
      </c>
      <c r="P1647">
        <f t="shared" si="154"/>
        <v>53</v>
      </c>
    </row>
    <row r="1648" spans="1:16" hidden="1" x14ac:dyDescent="0.3">
      <c r="A1648" t="str">
        <f t="shared" si="153"/>
        <v>2023Watty10</v>
      </c>
      <c r="B1648">
        <f t="shared" si="150"/>
        <v>1907</v>
      </c>
      <c r="C1648">
        <f t="shared" si="151"/>
        <v>1406</v>
      </c>
      <c r="D1648" t="s">
        <v>24</v>
      </c>
      <c r="E1648" t="str">
        <f>D1649</f>
        <v>Brian</v>
      </c>
      <c r="F1648">
        <v>2023</v>
      </c>
      <c r="G1648">
        <v>10</v>
      </c>
      <c r="H1648">
        <v>4.0999999999999996</v>
      </c>
      <c r="I1648">
        <v>80</v>
      </c>
      <c r="J1648">
        <f>I1648-I1649</f>
        <v>-41</v>
      </c>
      <c r="K1648" t="str">
        <f t="shared" si="155"/>
        <v>L</v>
      </c>
      <c r="L1648" t="str">
        <f t="shared" si="152"/>
        <v>Watty</v>
      </c>
      <c r="M1648" t="str">
        <f>VLOOKUP(L1648,References!$A$2:$B$16,2,FALSE)</f>
        <v>AKCOVA</v>
      </c>
      <c r="N1648" s="19" t="str">
        <f>IF(M1648=M1649,"N","Y")</f>
        <v>Y</v>
      </c>
      <c r="O1648">
        <f>SUM(I1648:I1649)</f>
        <v>201</v>
      </c>
      <c r="P1648">
        <f t="shared" si="154"/>
        <v>121</v>
      </c>
    </row>
    <row r="1649" spans="1:16" hidden="1" x14ac:dyDescent="0.3">
      <c r="A1649" t="str">
        <f t="shared" si="153"/>
        <v>2023Brian10</v>
      </c>
      <c r="B1649">
        <f t="shared" si="150"/>
        <v>180</v>
      </c>
      <c r="C1649">
        <f t="shared" si="151"/>
        <v>211</v>
      </c>
      <c r="D1649" t="s">
        <v>26</v>
      </c>
      <c r="E1649" t="str">
        <f>D1648</f>
        <v>Watty</v>
      </c>
      <c r="F1649">
        <v>2023</v>
      </c>
      <c r="G1649">
        <v>10</v>
      </c>
      <c r="H1649">
        <v>4.2</v>
      </c>
      <c r="I1649">
        <v>121</v>
      </c>
      <c r="J1649">
        <f>I1649-I1648</f>
        <v>41</v>
      </c>
      <c r="K1649" t="str">
        <f t="shared" si="155"/>
        <v>W</v>
      </c>
      <c r="L1649" t="str">
        <f t="shared" si="152"/>
        <v>Brian</v>
      </c>
      <c r="M1649" t="str">
        <f>VLOOKUP(L1649,References!$A$2:$B$16,2,FALSE)</f>
        <v>TEXAROK</v>
      </c>
      <c r="N1649" s="19" t="str">
        <f>IF(M1649=M1648,"N","Y")</f>
        <v>Y</v>
      </c>
      <c r="O1649">
        <f>SUM(I1648:I1649)</f>
        <v>201</v>
      </c>
      <c r="P1649">
        <f t="shared" si="154"/>
        <v>80</v>
      </c>
    </row>
    <row r="1650" spans="1:16" hidden="1" x14ac:dyDescent="0.3">
      <c r="A1650" t="str">
        <f t="shared" si="153"/>
        <v>2023Mark10</v>
      </c>
      <c r="B1650">
        <f t="shared" si="150"/>
        <v>639</v>
      </c>
      <c r="C1650">
        <f t="shared" si="151"/>
        <v>678</v>
      </c>
      <c r="D1650" t="s">
        <v>22</v>
      </c>
      <c r="E1650" t="str">
        <f>D1651</f>
        <v>Matt</v>
      </c>
      <c r="F1650">
        <v>2023</v>
      </c>
      <c r="G1650">
        <v>10</v>
      </c>
      <c r="H1650">
        <v>5.0999999999999996</v>
      </c>
      <c r="I1650">
        <v>100</v>
      </c>
      <c r="J1650">
        <f>I1650-I1651</f>
        <v>15</v>
      </c>
      <c r="K1650" t="str">
        <f t="shared" si="155"/>
        <v>W</v>
      </c>
      <c r="L1650" t="str">
        <f t="shared" si="152"/>
        <v>Mark</v>
      </c>
      <c r="M1650" t="str">
        <f>VLOOKUP(L1650,References!$A$2:$B$16,2,FALSE)</f>
        <v>AKCOVA</v>
      </c>
      <c r="N1650" s="19" t="str">
        <f>IF(M1650=M1651,"N","Y")</f>
        <v>Y</v>
      </c>
      <c r="O1650">
        <f>SUM(I1650:I1651)</f>
        <v>185</v>
      </c>
      <c r="P1650">
        <f t="shared" si="154"/>
        <v>85</v>
      </c>
    </row>
    <row r="1651" spans="1:16" hidden="1" x14ac:dyDescent="0.3">
      <c r="A1651" t="str">
        <f t="shared" si="153"/>
        <v>2023Matt10</v>
      </c>
      <c r="B1651">
        <f t="shared" si="150"/>
        <v>1434</v>
      </c>
      <c r="C1651">
        <f t="shared" si="151"/>
        <v>1210</v>
      </c>
      <c r="D1651" t="s">
        <v>30</v>
      </c>
      <c r="E1651" t="str">
        <f>D1650</f>
        <v>Mark</v>
      </c>
      <c r="F1651">
        <v>2023</v>
      </c>
      <c r="G1651">
        <v>10</v>
      </c>
      <c r="H1651">
        <v>5.2</v>
      </c>
      <c r="I1651">
        <v>85</v>
      </c>
      <c r="J1651">
        <f>I1651-I1650</f>
        <v>-15</v>
      </c>
      <c r="K1651" t="str">
        <f t="shared" si="155"/>
        <v>L</v>
      </c>
      <c r="L1651" t="str">
        <f t="shared" si="152"/>
        <v>Matt</v>
      </c>
      <c r="M1651" t="str">
        <f>VLOOKUP(L1651,References!$A$2:$B$16,2,FALSE)</f>
        <v>TEXAROK</v>
      </c>
      <c r="N1651" s="19" t="str">
        <f>IF(M1651=M1650,"N","Y")</f>
        <v>Y</v>
      </c>
      <c r="O1651">
        <f>SUM(I1650:I1651)</f>
        <v>185</v>
      </c>
      <c r="P1651">
        <f t="shared" si="154"/>
        <v>100</v>
      </c>
    </row>
    <row r="1652" spans="1:16" hidden="1" x14ac:dyDescent="0.3">
      <c r="A1652" t="str">
        <f t="shared" si="153"/>
        <v>2023Arnold10</v>
      </c>
      <c r="B1652">
        <f t="shared" si="150"/>
        <v>1964</v>
      </c>
      <c r="C1652">
        <f t="shared" si="151"/>
        <v>777</v>
      </c>
      <c r="D1652" t="s">
        <v>227</v>
      </c>
      <c r="E1652" t="str">
        <f>D1653</f>
        <v>Brent</v>
      </c>
      <c r="F1652">
        <v>2023</v>
      </c>
      <c r="G1652">
        <v>10</v>
      </c>
      <c r="H1652">
        <v>6.1</v>
      </c>
      <c r="I1652">
        <v>97</v>
      </c>
      <c r="J1652">
        <f>I1652-I1653</f>
        <v>-47</v>
      </c>
      <c r="K1652" t="str">
        <f t="shared" si="155"/>
        <v>L</v>
      </c>
      <c r="L1652" t="str">
        <f t="shared" si="152"/>
        <v>Arnold</v>
      </c>
      <c r="M1652" t="str">
        <f>VLOOKUP(L1652,References!$A$2:$B$16,2,FALSE)</f>
        <v>AKCOVA</v>
      </c>
      <c r="N1652" s="19" t="str">
        <f>IF(M1652=M1653,"N","Y")</f>
        <v>Y</v>
      </c>
      <c r="O1652">
        <f>SUM(I1652:I1653)</f>
        <v>241</v>
      </c>
      <c r="P1652">
        <f t="shared" si="154"/>
        <v>144</v>
      </c>
    </row>
    <row r="1653" spans="1:16" hidden="1" x14ac:dyDescent="0.3">
      <c r="A1653" t="str">
        <f t="shared" si="153"/>
        <v>2023Brent10</v>
      </c>
      <c r="B1653">
        <f t="shared" si="150"/>
        <v>124</v>
      </c>
      <c r="C1653">
        <f t="shared" si="151"/>
        <v>39</v>
      </c>
      <c r="D1653" t="s">
        <v>47</v>
      </c>
      <c r="E1653" t="str">
        <f>D1652</f>
        <v>Arnold</v>
      </c>
      <c r="F1653">
        <v>2023</v>
      </c>
      <c r="G1653">
        <v>10</v>
      </c>
      <c r="H1653">
        <v>6.2</v>
      </c>
      <c r="I1653">
        <v>144</v>
      </c>
      <c r="J1653">
        <f>I1653-I1652</f>
        <v>47</v>
      </c>
      <c r="K1653" t="str">
        <f t="shared" si="155"/>
        <v>W</v>
      </c>
      <c r="L1653" t="str">
        <f t="shared" si="152"/>
        <v>Brent</v>
      </c>
      <c r="M1653" t="str">
        <f>VLOOKUP(L1653,References!$A$2:$B$16,2,FALSE)</f>
        <v>TEXAROK</v>
      </c>
      <c r="N1653" s="19" t="str">
        <f>IF(M1653=M1652,"N","Y")</f>
        <v>Y</v>
      </c>
      <c r="O1653">
        <f>SUM(I1652:I1653)</f>
        <v>241</v>
      </c>
      <c r="P1653">
        <f t="shared" si="154"/>
        <v>97</v>
      </c>
    </row>
    <row r="1654" spans="1:16" hidden="1" x14ac:dyDescent="0.3">
      <c r="A1654" t="str">
        <f t="shared" si="153"/>
        <v>2023Matt11</v>
      </c>
      <c r="B1654">
        <f t="shared" si="150"/>
        <v>1312</v>
      </c>
      <c r="C1654">
        <f t="shared" si="151"/>
        <v>1684</v>
      </c>
      <c r="D1654" t="s">
        <v>30</v>
      </c>
      <c r="E1654" t="str">
        <f>D1655</f>
        <v>Michael</v>
      </c>
      <c r="F1654">
        <v>2023</v>
      </c>
      <c r="G1654">
        <v>11</v>
      </c>
      <c r="H1654">
        <v>1.1000000000000001</v>
      </c>
      <c r="I1654">
        <v>72</v>
      </c>
      <c r="J1654">
        <f>I1654-I1655</f>
        <v>-10</v>
      </c>
      <c r="K1654" t="str">
        <f t="shared" si="155"/>
        <v>L</v>
      </c>
      <c r="L1654" t="str">
        <f t="shared" si="152"/>
        <v>Matt</v>
      </c>
      <c r="M1654" t="str">
        <f>VLOOKUP(L1654,References!$A$2:$B$16,2,FALSE)</f>
        <v>TEXAROK</v>
      </c>
      <c r="N1654" s="19" t="str">
        <f>IF(M1654=M1655,"N","Y")</f>
        <v>Y</v>
      </c>
      <c r="O1654">
        <f>SUM(I1654:I1655)</f>
        <v>154</v>
      </c>
      <c r="P1654">
        <f t="shared" si="154"/>
        <v>82</v>
      </c>
    </row>
    <row r="1655" spans="1:16" hidden="1" x14ac:dyDescent="0.3">
      <c r="A1655" t="str">
        <f t="shared" si="153"/>
        <v>2023Michael11</v>
      </c>
      <c r="B1655">
        <f t="shared" si="150"/>
        <v>758</v>
      </c>
      <c r="C1655">
        <f t="shared" si="151"/>
        <v>1318</v>
      </c>
      <c r="D1655" t="s">
        <v>23</v>
      </c>
      <c r="E1655" t="str">
        <f>D1654</f>
        <v>Matt</v>
      </c>
      <c r="F1655">
        <v>2023</v>
      </c>
      <c r="G1655">
        <v>11</v>
      </c>
      <c r="H1655">
        <v>1.2</v>
      </c>
      <c r="I1655">
        <v>82</v>
      </c>
      <c r="J1655">
        <f>I1655-I1654</f>
        <v>10</v>
      </c>
      <c r="K1655" t="str">
        <f t="shared" si="155"/>
        <v>W</v>
      </c>
      <c r="L1655" t="str">
        <f t="shared" si="152"/>
        <v>Michael</v>
      </c>
      <c r="M1655" t="str">
        <f>VLOOKUP(L1655,References!$A$2:$B$16,2,FALSE)</f>
        <v>AKCOVA</v>
      </c>
      <c r="N1655" s="19" t="str">
        <f>IF(M1655=M1654,"N","Y")</f>
        <v>Y</v>
      </c>
      <c r="O1655">
        <f>SUM(I1654:I1655)</f>
        <v>154</v>
      </c>
      <c r="P1655">
        <f t="shared" si="154"/>
        <v>72</v>
      </c>
    </row>
    <row r="1656" spans="1:16" hidden="1" x14ac:dyDescent="0.3">
      <c r="A1656" t="str">
        <f t="shared" si="153"/>
        <v>2023Russell11</v>
      </c>
      <c r="B1656">
        <f t="shared" si="150"/>
        <v>949</v>
      </c>
      <c r="C1656">
        <f t="shared" si="151"/>
        <v>857</v>
      </c>
      <c r="D1656" t="s">
        <v>28</v>
      </c>
      <c r="E1656" t="str">
        <f>D1657</f>
        <v>Arnold</v>
      </c>
      <c r="F1656">
        <v>2023</v>
      </c>
      <c r="G1656">
        <v>11</v>
      </c>
      <c r="H1656">
        <v>2.1</v>
      </c>
      <c r="I1656">
        <v>95</v>
      </c>
      <c r="J1656">
        <f>I1656-I1657</f>
        <v>3</v>
      </c>
      <c r="K1656" t="str">
        <f t="shared" si="155"/>
        <v>W</v>
      </c>
      <c r="L1656" t="str">
        <f t="shared" si="152"/>
        <v>Russell</v>
      </c>
      <c r="M1656" t="str">
        <f>VLOOKUP(L1656,References!$A$2:$B$16,2,FALSE)</f>
        <v>TEXAROK</v>
      </c>
      <c r="N1656" s="19" t="str">
        <f>IF(M1656=M1657,"N","Y")</f>
        <v>Y</v>
      </c>
      <c r="O1656">
        <f>SUM(I1656:I1657)</f>
        <v>187</v>
      </c>
      <c r="P1656">
        <f t="shared" si="154"/>
        <v>92</v>
      </c>
    </row>
    <row r="1657" spans="1:16" hidden="1" x14ac:dyDescent="0.3">
      <c r="A1657" t="str">
        <f t="shared" si="153"/>
        <v>2023Arnold11</v>
      </c>
      <c r="B1657">
        <f t="shared" si="150"/>
        <v>1117</v>
      </c>
      <c r="C1657">
        <f t="shared" si="151"/>
        <v>958</v>
      </c>
      <c r="D1657" t="s">
        <v>227</v>
      </c>
      <c r="E1657" t="str">
        <f>D1656</f>
        <v>Russell</v>
      </c>
      <c r="F1657">
        <v>2023</v>
      </c>
      <c r="G1657">
        <v>11</v>
      </c>
      <c r="H1657">
        <v>2.2000000000000002</v>
      </c>
      <c r="I1657">
        <v>92</v>
      </c>
      <c r="J1657">
        <f>I1657-I1656</f>
        <v>-3</v>
      </c>
      <c r="K1657" t="str">
        <f t="shared" si="155"/>
        <v>L</v>
      </c>
      <c r="L1657" t="str">
        <f t="shared" si="152"/>
        <v>Arnold</v>
      </c>
      <c r="M1657" t="str">
        <f>VLOOKUP(L1657,References!$A$2:$B$16,2,FALSE)</f>
        <v>AKCOVA</v>
      </c>
      <c r="N1657" s="19" t="str">
        <f>IF(M1657=M1656,"N","Y")</f>
        <v>Y</v>
      </c>
      <c r="O1657">
        <f>SUM(I1656:I1657)</f>
        <v>187</v>
      </c>
      <c r="P1657">
        <f t="shared" si="154"/>
        <v>95</v>
      </c>
    </row>
    <row r="1658" spans="1:16" hidden="1" x14ac:dyDescent="0.3">
      <c r="A1658" t="str">
        <f t="shared" si="153"/>
        <v>2023David11</v>
      </c>
      <c r="B1658">
        <f t="shared" si="150"/>
        <v>1869</v>
      </c>
      <c r="C1658">
        <f t="shared" si="151"/>
        <v>1951</v>
      </c>
      <c r="D1658" t="s">
        <v>29</v>
      </c>
      <c r="E1658" t="str">
        <f>D1659</f>
        <v>Charles</v>
      </c>
      <c r="F1658">
        <v>2023</v>
      </c>
      <c r="G1658">
        <v>11</v>
      </c>
      <c r="H1658">
        <v>3.1</v>
      </c>
      <c r="I1658">
        <v>59</v>
      </c>
      <c r="J1658">
        <f>I1658-I1659</f>
        <v>-38</v>
      </c>
      <c r="K1658" t="str">
        <f t="shared" si="155"/>
        <v>L</v>
      </c>
      <c r="L1658" t="str">
        <f t="shared" si="152"/>
        <v>David</v>
      </c>
      <c r="M1658" t="str">
        <f>VLOOKUP(L1658,References!$A$2:$B$16,2,FALSE)</f>
        <v>TEXAROK</v>
      </c>
      <c r="N1658" s="19" t="str">
        <f>IF(M1658=M1659,"N","Y")</f>
        <v>Y</v>
      </c>
      <c r="O1658">
        <f>SUM(I1658:I1659)</f>
        <v>156</v>
      </c>
      <c r="P1658">
        <f t="shared" si="154"/>
        <v>97</v>
      </c>
    </row>
    <row r="1659" spans="1:16" hidden="1" x14ac:dyDescent="0.3">
      <c r="A1659" t="str">
        <f t="shared" si="153"/>
        <v>2023Charles11</v>
      </c>
      <c r="B1659">
        <f t="shared" si="150"/>
        <v>210</v>
      </c>
      <c r="C1659">
        <f t="shared" si="151"/>
        <v>777</v>
      </c>
      <c r="D1659" t="s">
        <v>48</v>
      </c>
      <c r="E1659" t="str">
        <f>D1658</f>
        <v>David</v>
      </c>
      <c r="F1659">
        <v>2023</v>
      </c>
      <c r="G1659">
        <v>11</v>
      </c>
      <c r="H1659">
        <v>3.2</v>
      </c>
      <c r="I1659">
        <v>97</v>
      </c>
      <c r="J1659">
        <f>I1659-I1658</f>
        <v>38</v>
      </c>
      <c r="K1659" t="str">
        <f t="shared" si="155"/>
        <v>W</v>
      </c>
      <c r="L1659" t="str">
        <f t="shared" si="152"/>
        <v>Charles</v>
      </c>
      <c r="M1659" t="str">
        <f>VLOOKUP(L1659,References!$A$2:$B$16,2,FALSE)</f>
        <v>AKCOVA</v>
      </c>
      <c r="N1659" s="19" t="str">
        <f>IF(M1659=M1658,"N","Y")</f>
        <v>Y</v>
      </c>
      <c r="O1659">
        <f>SUM(I1658:I1659)</f>
        <v>156</v>
      </c>
      <c r="P1659">
        <f t="shared" si="154"/>
        <v>59</v>
      </c>
    </row>
    <row r="1660" spans="1:16" hidden="1" x14ac:dyDescent="0.3">
      <c r="A1660" t="str">
        <f t="shared" si="153"/>
        <v>2023Emily11</v>
      </c>
      <c r="B1660">
        <f t="shared" si="150"/>
        <v>1625</v>
      </c>
      <c r="C1660">
        <f t="shared" si="151"/>
        <v>1684</v>
      </c>
      <c r="D1660" t="s">
        <v>43</v>
      </c>
      <c r="E1660" t="str">
        <f>D1661</f>
        <v>Watty</v>
      </c>
      <c r="F1660">
        <v>2023</v>
      </c>
      <c r="G1660">
        <v>11</v>
      </c>
      <c r="H1660">
        <v>4.0999999999999996</v>
      </c>
      <c r="I1660">
        <v>72</v>
      </c>
      <c r="J1660">
        <f>I1660-I1661</f>
        <v>-23</v>
      </c>
      <c r="K1660" t="str">
        <f t="shared" si="155"/>
        <v>L</v>
      </c>
      <c r="L1660" t="str">
        <f t="shared" si="152"/>
        <v>Emily</v>
      </c>
      <c r="M1660" t="str">
        <f>VLOOKUP(L1660,References!$A$2:$B$16,2,FALSE)</f>
        <v>TEXAROK</v>
      </c>
      <c r="N1660" s="19" t="str">
        <f>IF(M1660=M1661,"N","Y")</f>
        <v>Y</v>
      </c>
      <c r="O1660">
        <f>SUM(I1660:I1661)</f>
        <v>167</v>
      </c>
      <c r="P1660">
        <f t="shared" si="154"/>
        <v>95</v>
      </c>
    </row>
    <row r="1661" spans="1:16" hidden="1" x14ac:dyDescent="0.3">
      <c r="A1661" t="str">
        <f t="shared" si="153"/>
        <v>2023Watty11</v>
      </c>
      <c r="B1661">
        <f t="shared" si="150"/>
        <v>450</v>
      </c>
      <c r="C1661">
        <f t="shared" si="151"/>
        <v>857</v>
      </c>
      <c r="D1661" t="s">
        <v>24</v>
      </c>
      <c r="E1661" t="str">
        <f>D1660</f>
        <v>Emily</v>
      </c>
      <c r="F1661">
        <v>2023</v>
      </c>
      <c r="G1661">
        <v>11</v>
      </c>
      <c r="H1661">
        <v>4.2</v>
      </c>
      <c r="I1661">
        <v>95</v>
      </c>
      <c r="J1661">
        <f>I1661-I1660</f>
        <v>23</v>
      </c>
      <c r="K1661" t="str">
        <f t="shared" si="155"/>
        <v>W</v>
      </c>
      <c r="L1661" t="str">
        <f t="shared" si="152"/>
        <v>Watty</v>
      </c>
      <c r="M1661" t="str">
        <f>VLOOKUP(L1661,References!$A$2:$B$16,2,FALSE)</f>
        <v>AKCOVA</v>
      </c>
      <c r="N1661" s="19" t="str">
        <f>IF(M1661=M1660,"N","Y")</f>
        <v>Y</v>
      </c>
      <c r="O1661">
        <f>SUM(I1660:I1661)</f>
        <v>167</v>
      </c>
      <c r="P1661">
        <f t="shared" si="154"/>
        <v>72</v>
      </c>
    </row>
    <row r="1662" spans="1:16" hidden="1" x14ac:dyDescent="0.3">
      <c r="A1662" t="str">
        <f t="shared" si="153"/>
        <v>2023Brian11</v>
      </c>
      <c r="B1662">
        <f t="shared" si="150"/>
        <v>410</v>
      </c>
      <c r="C1662">
        <f t="shared" si="151"/>
        <v>603</v>
      </c>
      <c r="D1662" t="s">
        <v>26</v>
      </c>
      <c r="E1662" t="str">
        <f>D1663</f>
        <v>Mark</v>
      </c>
      <c r="F1662">
        <v>2023</v>
      </c>
      <c r="G1662">
        <v>11</v>
      </c>
      <c r="H1662">
        <v>5.0999999999999996</v>
      </c>
      <c r="I1662">
        <v>103</v>
      </c>
      <c r="J1662">
        <f>I1662-I1663</f>
        <v>25</v>
      </c>
      <c r="K1662" t="str">
        <f t="shared" si="155"/>
        <v>W</v>
      </c>
      <c r="L1662" t="str">
        <f t="shared" si="152"/>
        <v>Brian</v>
      </c>
      <c r="M1662" t="str">
        <f>VLOOKUP(L1662,References!$A$2:$B$16,2,FALSE)</f>
        <v>TEXAROK</v>
      </c>
      <c r="N1662" s="19" t="str">
        <f>IF(M1662=M1663,"N","Y")</f>
        <v>Y</v>
      </c>
      <c r="O1662">
        <f>SUM(I1662:I1663)</f>
        <v>181</v>
      </c>
      <c r="P1662">
        <f t="shared" si="154"/>
        <v>78</v>
      </c>
    </row>
    <row r="1663" spans="1:16" hidden="1" x14ac:dyDescent="0.3">
      <c r="A1663" t="str">
        <f t="shared" si="153"/>
        <v>2023Mark11</v>
      </c>
      <c r="B1663">
        <f t="shared" si="150"/>
        <v>1661</v>
      </c>
      <c r="C1663">
        <f t="shared" si="151"/>
        <v>1468</v>
      </c>
      <c r="D1663" t="s">
        <v>22</v>
      </c>
      <c r="E1663" t="str">
        <f>D1662</f>
        <v>Brian</v>
      </c>
      <c r="F1663">
        <v>2023</v>
      </c>
      <c r="G1663">
        <v>11</v>
      </c>
      <c r="H1663">
        <v>5.2</v>
      </c>
      <c r="I1663">
        <v>78</v>
      </c>
      <c r="J1663">
        <f>I1663-I1662</f>
        <v>-25</v>
      </c>
      <c r="K1663" t="str">
        <f t="shared" si="155"/>
        <v>L</v>
      </c>
      <c r="L1663" t="str">
        <f t="shared" si="152"/>
        <v>Mark</v>
      </c>
      <c r="M1663" t="str">
        <f>VLOOKUP(L1663,References!$A$2:$B$16,2,FALSE)</f>
        <v>AKCOVA</v>
      </c>
      <c r="N1663" s="19" t="str">
        <f>IF(M1663=M1662,"N","Y")</f>
        <v>Y</v>
      </c>
      <c r="O1663">
        <f>SUM(I1662:I1663)</f>
        <v>181</v>
      </c>
      <c r="P1663">
        <f t="shared" si="154"/>
        <v>103</v>
      </c>
    </row>
    <row r="1664" spans="1:16" hidden="1" x14ac:dyDescent="0.3">
      <c r="A1664" t="str">
        <f t="shared" si="153"/>
        <v>2023Brent11</v>
      </c>
      <c r="B1664">
        <f t="shared" si="150"/>
        <v>392</v>
      </c>
      <c r="C1664">
        <f t="shared" si="151"/>
        <v>136</v>
      </c>
      <c r="D1664" t="s">
        <v>47</v>
      </c>
      <c r="E1664" t="str">
        <f>D1665</f>
        <v>BR</v>
      </c>
      <c r="F1664">
        <v>2023</v>
      </c>
      <c r="G1664">
        <v>11</v>
      </c>
      <c r="H1664">
        <v>6.1</v>
      </c>
      <c r="I1664">
        <v>127</v>
      </c>
      <c r="J1664">
        <f>I1664-I1665</f>
        <v>26</v>
      </c>
      <c r="K1664" t="str">
        <f t="shared" si="155"/>
        <v>W</v>
      </c>
      <c r="L1664" t="str">
        <f t="shared" si="152"/>
        <v>Brent</v>
      </c>
      <c r="M1664" t="str">
        <f>VLOOKUP(L1664,References!$A$2:$B$16,2,FALSE)</f>
        <v>TEXAROK</v>
      </c>
      <c r="N1664" s="19" t="str">
        <f>IF(M1664=M1665,"N","Y")</f>
        <v>Y</v>
      </c>
      <c r="O1664">
        <f>SUM(I1664:I1665)</f>
        <v>228</v>
      </c>
      <c r="P1664">
        <f t="shared" si="154"/>
        <v>101</v>
      </c>
    </row>
    <row r="1665" spans="1:16" hidden="1" x14ac:dyDescent="0.3">
      <c r="A1665" t="str">
        <f t="shared" si="153"/>
        <v>2023BR11</v>
      </c>
      <c r="B1665">
        <f t="shared" si="150"/>
        <v>1684</v>
      </c>
      <c r="C1665">
        <f t="shared" si="151"/>
        <v>652</v>
      </c>
      <c r="D1665" t="s">
        <v>25</v>
      </c>
      <c r="E1665" t="str">
        <f>D1664</f>
        <v>Brent</v>
      </c>
      <c r="F1665">
        <v>2023</v>
      </c>
      <c r="G1665">
        <v>11</v>
      </c>
      <c r="H1665">
        <v>6.2</v>
      </c>
      <c r="I1665">
        <v>101</v>
      </c>
      <c r="J1665">
        <f>I1665-I1664</f>
        <v>-26</v>
      </c>
      <c r="K1665" t="str">
        <f t="shared" si="155"/>
        <v>L</v>
      </c>
      <c r="L1665" t="str">
        <f t="shared" si="152"/>
        <v>BR</v>
      </c>
      <c r="M1665" t="str">
        <f>VLOOKUP(L1665,References!$A$2:$B$16,2,FALSE)</f>
        <v>AKCOVA</v>
      </c>
      <c r="N1665" s="19" t="str">
        <f>IF(M1665=M1664,"N","Y")</f>
        <v>Y</v>
      </c>
      <c r="O1665">
        <f>SUM(I1664:I1665)</f>
        <v>228</v>
      </c>
      <c r="P1665">
        <f t="shared" si="154"/>
        <v>127</v>
      </c>
    </row>
    <row r="1666" spans="1:16" hidden="1" x14ac:dyDescent="0.3">
      <c r="A1666" t="str">
        <f t="shared" si="153"/>
        <v>2023Michael12</v>
      </c>
      <c r="B1666">
        <f t="shared" ref="B1666:B1729" si="156">RANK(J1666,diff)</f>
        <v>392</v>
      </c>
      <c r="C1666">
        <f t="shared" ref="C1666:C1729" si="157">RANK(I1666,points)</f>
        <v>435</v>
      </c>
      <c r="D1666" t="s">
        <v>23</v>
      </c>
      <c r="E1666" t="str">
        <f>D1667</f>
        <v>Brian</v>
      </c>
      <c r="F1666">
        <v>2023</v>
      </c>
      <c r="G1666">
        <v>12</v>
      </c>
      <c r="H1666">
        <v>1.1000000000000001</v>
      </c>
      <c r="I1666">
        <v>109</v>
      </c>
      <c r="J1666">
        <f>I1666-I1667</f>
        <v>26</v>
      </c>
      <c r="K1666" t="str">
        <f t="shared" si="155"/>
        <v>W</v>
      </c>
      <c r="L1666" t="str">
        <f t="shared" ref="L1666:L1729" si="158">D1666</f>
        <v>Michael</v>
      </c>
      <c r="M1666" t="str">
        <f>VLOOKUP(L1666,References!$A$2:$B$16,2,FALSE)</f>
        <v>AKCOVA</v>
      </c>
      <c r="N1666" s="19" t="str">
        <f>IF(M1666=M1667,"N","Y")</f>
        <v>Y</v>
      </c>
      <c r="O1666">
        <f>SUM(I1666:I1667)</f>
        <v>192</v>
      </c>
      <c r="P1666">
        <f t="shared" si="154"/>
        <v>83</v>
      </c>
    </row>
    <row r="1667" spans="1:16" hidden="1" x14ac:dyDescent="0.3">
      <c r="A1667" t="str">
        <f t="shared" ref="A1667:A1730" si="159">F1667&amp;D1667&amp;G1667</f>
        <v>2023Brian12</v>
      </c>
      <c r="B1667">
        <f t="shared" si="156"/>
        <v>1684</v>
      </c>
      <c r="C1667">
        <f t="shared" si="157"/>
        <v>1282</v>
      </c>
      <c r="D1667" t="s">
        <v>26</v>
      </c>
      <c r="E1667" t="str">
        <f>D1666</f>
        <v>Michael</v>
      </c>
      <c r="F1667">
        <v>2023</v>
      </c>
      <c r="G1667">
        <v>12</v>
      </c>
      <c r="H1667">
        <v>1.2</v>
      </c>
      <c r="I1667">
        <v>83</v>
      </c>
      <c r="J1667">
        <f>I1667-I1666</f>
        <v>-26</v>
      </c>
      <c r="K1667" t="str">
        <f t="shared" si="155"/>
        <v>L</v>
      </c>
      <c r="L1667" t="str">
        <f t="shared" si="158"/>
        <v>Brian</v>
      </c>
      <c r="M1667" t="str">
        <f>VLOOKUP(L1667,References!$A$2:$B$16,2,FALSE)</f>
        <v>TEXAROK</v>
      </c>
      <c r="N1667" s="19" t="str">
        <f>IF(M1667=M1666,"N","Y")</f>
        <v>Y</v>
      </c>
      <c r="O1667">
        <f>SUM(I1666:I1667)</f>
        <v>192</v>
      </c>
      <c r="P1667">
        <f t="shared" ref="P1667:P1730" si="160">I1667-J1667</f>
        <v>109</v>
      </c>
    </row>
    <row r="1668" spans="1:16" hidden="1" x14ac:dyDescent="0.3">
      <c r="A1668" t="str">
        <f t="shared" si="159"/>
        <v>2023Charles12</v>
      </c>
      <c r="B1668">
        <f t="shared" si="156"/>
        <v>1895</v>
      </c>
      <c r="C1668">
        <f t="shared" si="157"/>
        <v>1365</v>
      </c>
      <c r="D1668" t="s">
        <v>48</v>
      </c>
      <c r="E1668" t="str">
        <f>D1669</f>
        <v>Russell</v>
      </c>
      <c r="F1668">
        <v>2023</v>
      </c>
      <c r="G1668">
        <v>12</v>
      </c>
      <c r="H1668">
        <v>2.1</v>
      </c>
      <c r="I1668">
        <v>81</v>
      </c>
      <c r="J1668">
        <f>I1668-I1669</f>
        <v>-40</v>
      </c>
      <c r="K1668" t="str">
        <f t="shared" si="155"/>
        <v>L</v>
      </c>
      <c r="L1668" t="str">
        <f t="shared" si="158"/>
        <v>Charles</v>
      </c>
      <c r="M1668" t="str">
        <f>VLOOKUP(L1668,References!$A$2:$B$16,2,FALSE)</f>
        <v>AKCOVA</v>
      </c>
      <c r="N1668" s="19" t="str">
        <f>IF(M1668=M1669,"N","Y")</f>
        <v>Y</v>
      </c>
      <c r="O1668">
        <f>SUM(I1668:I1669)</f>
        <v>202</v>
      </c>
      <c r="P1668">
        <f t="shared" si="160"/>
        <v>121</v>
      </c>
    </row>
    <row r="1669" spans="1:16" hidden="1" x14ac:dyDescent="0.3">
      <c r="A1669" t="str">
        <f t="shared" si="159"/>
        <v>2023Russell12</v>
      </c>
      <c r="B1669">
        <f t="shared" si="156"/>
        <v>187</v>
      </c>
      <c r="C1669">
        <f t="shared" si="157"/>
        <v>211</v>
      </c>
      <c r="D1669" t="s">
        <v>28</v>
      </c>
      <c r="E1669" t="str">
        <f>D1668</f>
        <v>Charles</v>
      </c>
      <c r="F1669">
        <v>2023</v>
      </c>
      <c r="G1669">
        <v>12</v>
      </c>
      <c r="H1669">
        <v>2.2000000000000002</v>
      </c>
      <c r="I1669">
        <v>121</v>
      </c>
      <c r="J1669">
        <f>I1669-I1668</f>
        <v>40</v>
      </c>
      <c r="K1669" t="str">
        <f t="shared" si="155"/>
        <v>W</v>
      </c>
      <c r="L1669" t="str">
        <f t="shared" si="158"/>
        <v>Russell</v>
      </c>
      <c r="M1669" t="str">
        <f>VLOOKUP(L1669,References!$A$2:$B$16,2,FALSE)</f>
        <v>TEXAROK</v>
      </c>
      <c r="N1669" s="19" t="str">
        <f>IF(M1669=M1668,"N","Y")</f>
        <v>Y</v>
      </c>
      <c r="O1669">
        <f>SUM(I1668:I1669)</f>
        <v>202</v>
      </c>
      <c r="P1669">
        <f t="shared" si="160"/>
        <v>81</v>
      </c>
    </row>
    <row r="1670" spans="1:16" hidden="1" x14ac:dyDescent="0.3">
      <c r="A1670" t="str">
        <f t="shared" si="159"/>
        <v>2023Arnold12</v>
      </c>
      <c r="B1670">
        <f t="shared" si="156"/>
        <v>1884</v>
      </c>
      <c r="C1670">
        <f t="shared" si="157"/>
        <v>1833</v>
      </c>
      <c r="D1670" t="s">
        <v>227</v>
      </c>
      <c r="E1670" t="str">
        <f>D1671</f>
        <v>David</v>
      </c>
      <c r="F1670">
        <v>2023</v>
      </c>
      <c r="G1670">
        <v>12</v>
      </c>
      <c r="H1670">
        <v>3.1</v>
      </c>
      <c r="I1670">
        <v>66</v>
      </c>
      <c r="J1670">
        <f>I1670-I1671</f>
        <v>-39</v>
      </c>
      <c r="K1670" t="str">
        <f t="shared" ref="K1670:K1733" si="161">IF(J1670&gt;0,"W",IF(J1670&lt;0,"L","T"))</f>
        <v>L</v>
      </c>
      <c r="L1670" t="str">
        <f t="shared" si="158"/>
        <v>Arnold</v>
      </c>
      <c r="M1670" t="str">
        <f>VLOOKUP(L1670,References!$A$2:$B$16,2,FALSE)</f>
        <v>AKCOVA</v>
      </c>
      <c r="N1670" s="19" t="str">
        <f>IF(M1670=M1671,"N","Y")</f>
        <v>Y</v>
      </c>
      <c r="O1670">
        <f>SUM(I1670:I1671)</f>
        <v>171</v>
      </c>
      <c r="P1670">
        <f t="shared" si="160"/>
        <v>105</v>
      </c>
    </row>
    <row r="1671" spans="1:16" hidden="1" x14ac:dyDescent="0.3">
      <c r="A1671" t="str">
        <f t="shared" si="159"/>
        <v>2023David12</v>
      </c>
      <c r="B1671">
        <f t="shared" si="156"/>
        <v>199</v>
      </c>
      <c r="C1671">
        <f t="shared" si="157"/>
        <v>540</v>
      </c>
      <c r="D1671" t="s">
        <v>29</v>
      </c>
      <c r="E1671" t="str">
        <f>D1670</f>
        <v>Arnold</v>
      </c>
      <c r="F1671">
        <v>2023</v>
      </c>
      <c r="G1671">
        <v>12</v>
      </c>
      <c r="H1671">
        <v>3.2</v>
      </c>
      <c r="I1671">
        <v>105</v>
      </c>
      <c r="J1671">
        <f>I1671-I1670</f>
        <v>39</v>
      </c>
      <c r="K1671" t="str">
        <f t="shared" si="161"/>
        <v>W</v>
      </c>
      <c r="L1671" t="str">
        <f t="shared" si="158"/>
        <v>David</v>
      </c>
      <c r="M1671" t="str">
        <f>VLOOKUP(L1671,References!$A$2:$B$16,2,FALSE)</f>
        <v>TEXAROK</v>
      </c>
      <c r="N1671" s="19" t="str">
        <f>IF(M1671=M1670,"N","Y")</f>
        <v>Y</v>
      </c>
      <c r="O1671">
        <f>SUM(I1670:I1671)</f>
        <v>171</v>
      </c>
      <c r="P1671">
        <f t="shared" si="160"/>
        <v>66</v>
      </c>
    </row>
    <row r="1672" spans="1:16" hidden="1" x14ac:dyDescent="0.3">
      <c r="A1672" t="str">
        <f t="shared" si="159"/>
        <v>2023Mark12</v>
      </c>
      <c r="B1672">
        <f t="shared" si="156"/>
        <v>469</v>
      </c>
      <c r="C1672">
        <f t="shared" si="157"/>
        <v>1468</v>
      </c>
      <c r="D1672" t="s">
        <v>22</v>
      </c>
      <c r="E1672" t="str">
        <f>D1673</f>
        <v>Emily</v>
      </c>
      <c r="F1672">
        <v>2023</v>
      </c>
      <c r="G1672">
        <v>12</v>
      </c>
      <c r="H1672">
        <v>4.0999999999999996</v>
      </c>
      <c r="I1672">
        <v>78</v>
      </c>
      <c r="J1672">
        <f>I1672-I1673</f>
        <v>22</v>
      </c>
      <c r="K1672" t="str">
        <f t="shared" si="161"/>
        <v>W</v>
      </c>
      <c r="L1672" t="str">
        <f t="shared" si="158"/>
        <v>Mark</v>
      </c>
      <c r="M1672" t="str">
        <f>VLOOKUP(L1672,References!$A$2:$B$16,2,FALSE)</f>
        <v>AKCOVA</v>
      </c>
      <c r="N1672" s="19" t="str">
        <f>IF(M1672=M1673,"N","Y")</f>
        <v>Y</v>
      </c>
      <c r="O1672">
        <f>SUM(I1672:I1673)</f>
        <v>134</v>
      </c>
      <c r="P1672">
        <f t="shared" si="160"/>
        <v>56</v>
      </c>
    </row>
    <row r="1673" spans="1:16" hidden="1" x14ac:dyDescent="0.3">
      <c r="A1673" t="str">
        <f t="shared" si="159"/>
        <v>2023Emily12</v>
      </c>
      <c r="B1673">
        <f t="shared" si="156"/>
        <v>1605</v>
      </c>
      <c r="C1673">
        <f t="shared" si="157"/>
        <v>2001</v>
      </c>
      <c r="D1673" t="s">
        <v>43</v>
      </c>
      <c r="E1673" t="str">
        <f>D1672</f>
        <v>Mark</v>
      </c>
      <c r="F1673">
        <v>2023</v>
      </c>
      <c r="G1673">
        <v>12</v>
      </c>
      <c r="H1673">
        <v>4.2</v>
      </c>
      <c r="I1673">
        <v>56</v>
      </c>
      <c r="J1673">
        <f>I1673-I1672</f>
        <v>-22</v>
      </c>
      <c r="K1673" t="str">
        <f t="shared" si="161"/>
        <v>L</v>
      </c>
      <c r="L1673" t="str">
        <f t="shared" si="158"/>
        <v>Emily</v>
      </c>
      <c r="M1673" t="str">
        <f>VLOOKUP(L1673,References!$A$2:$B$16,2,FALSE)</f>
        <v>TEXAROK</v>
      </c>
      <c r="N1673" s="19" t="str">
        <f>IF(M1673=M1672,"N","Y")</f>
        <v>Y</v>
      </c>
      <c r="O1673">
        <f>SUM(I1672:I1673)</f>
        <v>134</v>
      </c>
      <c r="P1673">
        <f t="shared" si="160"/>
        <v>78</v>
      </c>
    </row>
    <row r="1674" spans="1:16" hidden="1" x14ac:dyDescent="0.3">
      <c r="A1674" t="str">
        <f t="shared" si="159"/>
        <v>2023BR12</v>
      </c>
      <c r="B1674">
        <f t="shared" si="156"/>
        <v>1952</v>
      </c>
      <c r="C1674">
        <f t="shared" si="157"/>
        <v>822</v>
      </c>
      <c r="D1674" t="s">
        <v>25</v>
      </c>
      <c r="E1674" t="str">
        <f>D1675</f>
        <v>Matt</v>
      </c>
      <c r="F1674">
        <v>2023</v>
      </c>
      <c r="G1674">
        <v>12</v>
      </c>
      <c r="H1674">
        <v>5.0999999999999996</v>
      </c>
      <c r="I1674">
        <v>96</v>
      </c>
      <c r="J1674">
        <f>I1674-I1675</f>
        <v>-46</v>
      </c>
      <c r="K1674" t="str">
        <f t="shared" si="161"/>
        <v>L</v>
      </c>
      <c r="L1674" t="str">
        <f t="shared" si="158"/>
        <v>BR</v>
      </c>
      <c r="M1674" t="str">
        <f>VLOOKUP(L1674,References!$A$2:$B$16,2,FALSE)</f>
        <v>AKCOVA</v>
      </c>
      <c r="N1674" s="19" t="str">
        <f>IF(M1674=M1675,"N","Y")</f>
        <v>Y</v>
      </c>
      <c r="O1674">
        <f>SUM(I1674:I1675)</f>
        <v>238</v>
      </c>
      <c r="P1674">
        <f t="shared" si="160"/>
        <v>142</v>
      </c>
    </row>
    <row r="1675" spans="1:16" hidden="1" x14ac:dyDescent="0.3">
      <c r="A1675" t="str">
        <f t="shared" si="159"/>
        <v>2023Matt12</v>
      </c>
      <c r="B1675">
        <f t="shared" si="156"/>
        <v>130</v>
      </c>
      <c r="C1675">
        <f t="shared" si="157"/>
        <v>48</v>
      </c>
      <c r="D1675" t="s">
        <v>30</v>
      </c>
      <c r="E1675" t="str">
        <f>D1674</f>
        <v>BR</v>
      </c>
      <c r="F1675">
        <v>2023</v>
      </c>
      <c r="G1675">
        <v>12</v>
      </c>
      <c r="H1675">
        <v>5.2</v>
      </c>
      <c r="I1675">
        <v>142</v>
      </c>
      <c r="J1675">
        <f>I1675-I1674</f>
        <v>46</v>
      </c>
      <c r="K1675" t="str">
        <f t="shared" si="161"/>
        <v>W</v>
      </c>
      <c r="L1675" t="str">
        <f t="shared" si="158"/>
        <v>Matt</v>
      </c>
      <c r="M1675" t="str">
        <f>VLOOKUP(L1675,References!$A$2:$B$16,2,FALSE)</f>
        <v>TEXAROK</v>
      </c>
      <c r="N1675" s="19" t="str">
        <f>IF(M1675=M1674,"N","Y")</f>
        <v>Y</v>
      </c>
      <c r="O1675">
        <f>SUM(I1674:I1675)</f>
        <v>238</v>
      </c>
      <c r="P1675">
        <f t="shared" si="160"/>
        <v>96</v>
      </c>
    </row>
    <row r="1676" spans="1:16" hidden="1" x14ac:dyDescent="0.3">
      <c r="A1676" t="str">
        <f t="shared" si="159"/>
        <v>2023Watty12</v>
      </c>
      <c r="B1676">
        <f t="shared" si="156"/>
        <v>469</v>
      </c>
      <c r="C1676">
        <f t="shared" si="157"/>
        <v>509</v>
      </c>
      <c r="D1676" t="s">
        <v>24</v>
      </c>
      <c r="E1676" t="str">
        <f>D1677</f>
        <v>Brent</v>
      </c>
      <c r="F1676">
        <v>2023</v>
      </c>
      <c r="G1676">
        <v>12</v>
      </c>
      <c r="H1676">
        <v>6.1</v>
      </c>
      <c r="I1676">
        <v>106</v>
      </c>
      <c r="J1676">
        <f>I1676-I1677</f>
        <v>22</v>
      </c>
      <c r="K1676" t="str">
        <f t="shared" si="161"/>
        <v>W</v>
      </c>
      <c r="L1676" t="str">
        <f t="shared" si="158"/>
        <v>Watty</v>
      </c>
      <c r="M1676" t="str">
        <f>VLOOKUP(L1676,References!$A$2:$B$16,2,FALSE)</f>
        <v>AKCOVA</v>
      </c>
      <c r="N1676" s="19" t="str">
        <f>IF(M1676=M1677,"N","Y")</f>
        <v>Y</v>
      </c>
      <c r="O1676">
        <f>SUM(I1676:I1677)</f>
        <v>190</v>
      </c>
      <c r="P1676">
        <f t="shared" si="160"/>
        <v>84</v>
      </c>
    </row>
    <row r="1677" spans="1:16" hidden="1" x14ac:dyDescent="0.3">
      <c r="A1677" t="str">
        <f t="shared" si="159"/>
        <v>2023Brent12</v>
      </c>
      <c r="B1677">
        <f t="shared" si="156"/>
        <v>1605</v>
      </c>
      <c r="C1677">
        <f t="shared" si="157"/>
        <v>1241</v>
      </c>
      <c r="D1677" t="s">
        <v>47</v>
      </c>
      <c r="E1677" t="str">
        <f>D1676</f>
        <v>Watty</v>
      </c>
      <c r="F1677">
        <v>2023</v>
      </c>
      <c r="G1677">
        <v>12</v>
      </c>
      <c r="H1677">
        <v>6.2</v>
      </c>
      <c r="I1677">
        <v>84</v>
      </c>
      <c r="J1677">
        <f>I1677-I1676</f>
        <v>-22</v>
      </c>
      <c r="K1677" t="str">
        <f t="shared" si="161"/>
        <v>L</v>
      </c>
      <c r="L1677" t="str">
        <f t="shared" si="158"/>
        <v>Brent</v>
      </c>
      <c r="M1677" t="str">
        <f>VLOOKUP(L1677,References!$A$2:$B$16,2,FALSE)</f>
        <v>TEXAROK</v>
      </c>
      <c r="N1677" s="19" t="str">
        <f>IF(M1677=M1676,"N","Y")</f>
        <v>Y</v>
      </c>
      <c r="O1677">
        <f>SUM(I1676:I1677)</f>
        <v>190</v>
      </c>
      <c r="P1677">
        <f t="shared" si="160"/>
        <v>106</v>
      </c>
    </row>
    <row r="1678" spans="1:16" hidden="1" x14ac:dyDescent="0.3">
      <c r="A1678" t="str">
        <f t="shared" si="159"/>
        <v>2023Watty13</v>
      </c>
      <c r="B1678">
        <f t="shared" si="156"/>
        <v>297</v>
      </c>
      <c r="C1678">
        <f t="shared" si="157"/>
        <v>56</v>
      </c>
      <c r="D1678" t="s">
        <v>24</v>
      </c>
      <c r="E1678" t="str">
        <f>D1679</f>
        <v>Michael</v>
      </c>
      <c r="F1678">
        <v>2023</v>
      </c>
      <c r="G1678">
        <v>13</v>
      </c>
      <c r="H1678">
        <v>1.1000000000000001</v>
      </c>
      <c r="I1678">
        <v>140</v>
      </c>
      <c r="J1678">
        <f>I1678-I1679</f>
        <v>31</v>
      </c>
      <c r="K1678" t="str">
        <f t="shared" si="161"/>
        <v>W</v>
      </c>
      <c r="L1678" t="str">
        <f t="shared" si="158"/>
        <v>Watty</v>
      </c>
      <c r="M1678" t="str">
        <f>VLOOKUP(L1678,References!$A$2:$B$16,2,FALSE)</f>
        <v>AKCOVA</v>
      </c>
      <c r="N1678" s="19" t="str">
        <f>IF(M1678=M1679,"N","Y")</f>
        <v>N</v>
      </c>
      <c r="O1678">
        <f>SUM(I1678:I1679)</f>
        <v>249</v>
      </c>
      <c r="P1678">
        <f t="shared" si="160"/>
        <v>109</v>
      </c>
    </row>
    <row r="1679" spans="1:16" hidden="1" x14ac:dyDescent="0.3">
      <c r="A1679" t="str">
        <f t="shared" si="159"/>
        <v>2023Michael13</v>
      </c>
      <c r="B1679">
        <f t="shared" si="156"/>
        <v>1775</v>
      </c>
      <c r="C1679">
        <f t="shared" si="157"/>
        <v>435</v>
      </c>
      <c r="D1679" t="s">
        <v>23</v>
      </c>
      <c r="E1679" t="str">
        <f>D1678</f>
        <v>Watty</v>
      </c>
      <c r="F1679">
        <v>2023</v>
      </c>
      <c r="G1679">
        <v>13</v>
      </c>
      <c r="H1679">
        <v>1.2</v>
      </c>
      <c r="I1679">
        <v>109</v>
      </c>
      <c r="J1679">
        <f>I1679-I1678</f>
        <v>-31</v>
      </c>
      <c r="K1679" t="str">
        <f t="shared" si="161"/>
        <v>L</v>
      </c>
      <c r="L1679" t="str">
        <f t="shared" si="158"/>
        <v>Michael</v>
      </c>
      <c r="M1679" t="str">
        <f>VLOOKUP(L1679,References!$A$2:$B$16,2,FALSE)</f>
        <v>AKCOVA</v>
      </c>
      <c r="N1679" s="19" t="str">
        <f>IF(M1679=M1678,"N","Y")</f>
        <v>N</v>
      </c>
      <c r="O1679">
        <f>SUM(I1678:I1679)</f>
        <v>249</v>
      </c>
      <c r="P1679">
        <f t="shared" si="160"/>
        <v>140</v>
      </c>
    </row>
    <row r="1680" spans="1:16" hidden="1" x14ac:dyDescent="0.3">
      <c r="A1680" t="str">
        <f t="shared" si="159"/>
        <v>2023David13</v>
      </c>
      <c r="B1680">
        <f t="shared" si="156"/>
        <v>897</v>
      </c>
      <c r="C1680">
        <f t="shared" si="157"/>
        <v>678</v>
      </c>
      <c r="D1680" t="s">
        <v>29</v>
      </c>
      <c r="E1680" t="str">
        <f>D1681</f>
        <v>Brian</v>
      </c>
      <c r="F1680">
        <v>2023</v>
      </c>
      <c r="G1680">
        <v>13</v>
      </c>
      <c r="H1680">
        <v>2.1</v>
      </c>
      <c r="I1680">
        <v>100</v>
      </c>
      <c r="J1680">
        <f>I1680-I1681</f>
        <v>5</v>
      </c>
      <c r="K1680" t="str">
        <f t="shared" si="161"/>
        <v>W</v>
      </c>
      <c r="L1680" t="str">
        <f t="shared" si="158"/>
        <v>David</v>
      </c>
      <c r="M1680" t="str">
        <f>VLOOKUP(L1680,References!$A$2:$B$16,2,FALSE)</f>
        <v>TEXAROK</v>
      </c>
      <c r="N1680" s="19" t="str">
        <f>IF(M1680=M1681,"N","Y")</f>
        <v>N</v>
      </c>
      <c r="O1680">
        <f>SUM(I1680:I1681)</f>
        <v>195</v>
      </c>
      <c r="P1680">
        <f t="shared" si="160"/>
        <v>95</v>
      </c>
    </row>
    <row r="1681" spans="1:16" hidden="1" x14ac:dyDescent="0.3">
      <c r="A1681" t="str">
        <f t="shared" si="159"/>
        <v>2023Brian13</v>
      </c>
      <c r="B1681">
        <f t="shared" si="156"/>
        <v>1177</v>
      </c>
      <c r="C1681">
        <f t="shared" si="157"/>
        <v>857</v>
      </c>
      <c r="D1681" t="s">
        <v>26</v>
      </c>
      <c r="E1681" t="str">
        <f>D1680</f>
        <v>David</v>
      </c>
      <c r="F1681">
        <v>2023</v>
      </c>
      <c r="G1681">
        <v>13</v>
      </c>
      <c r="H1681">
        <v>2.2000000000000002</v>
      </c>
      <c r="I1681">
        <v>95</v>
      </c>
      <c r="J1681">
        <f>I1681-I1680</f>
        <v>-5</v>
      </c>
      <c r="K1681" t="str">
        <f t="shared" si="161"/>
        <v>L</v>
      </c>
      <c r="L1681" t="str">
        <f t="shared" si="158"/>
        <v>Brian</v>
      </c>
      <c r="M1681" t="str">
        <f>VLOOKUP(L1681,References!$A$2:$B$16,2,FALSE)</f>
        <v>TEXAROK</v>
      </c>
      <c r="N1681" s="19" t="str">
        <f>IF(M1681=M1680,"N","Y")</f>
        <v>N</v>
      </c>
      <c r="O1681">
        <f>SUM(I1680:I1681)</f>
        <v>195</v>
      </c>
      <c r="P1681">
        <f t="shared" si="160"/>
        <v>100</v>
      </c>
    </row>
    <row r="1682" spans="1:16" hidden="1" x14ac:dyDescent="0.3">
      <c r="A1682" t="str">
        <f t="shared" si="159"/>
        <v>2023Russell13</v>
      </c>
      <c r="B1682">
        <f t="shared" si="156"/>
        <v>1197</v>
      </c>
      <c r="C1682">
        <f t="shared" si="157"/>
        <v>1468</v>
      </c>
      <c r="D1682" t="s">
        <v>28</v>
      </c>
      <c r="E1682" t="str">
        <f>D1683</f>
        <v>Emily</v>
      </c>
      <c r="F1682">
        <v>2023</v>
      </c>
      <c r="G1682">
        <v>13</v>
      </c>
      <c r="H1682">
        <v>3.1</v>
      </c>
      <c r="I1682">
        <v>78</v>
      </c>
      <c r="J1682">
        <f>I1682-I1683</f>
        <v>-6</v>
      </c>
      <c r="K1682" t="str">
        <f t="shared" si="161"/>
        <v>L</v>
      </c>
      <c r="L1682" t="str">
        <f t="shared" si="158"/>
        <v>Russell</v>
      </c>
      <c r="M1682" t="str">
        <f>VLOOKUP(L1682,References!$A$2:$B$16,2,FALSE)</f>
        <v>TEXAROK</v>
      </c>
      <c r="N1682" s="19" t="str">
        <f>IF(M1682=M1683,"N","Y")</f>
        <v>N</v>
      </c>
      <c r="O1682">
        <f>SUM(I1682:I1683)</f>
        <v>162</v>
      </c>
      <c r="P1682">
        <f t="shared" si="160"/>
        <v>84</v>
      </c>
    </row>
    <row r="1683" spans="1:16" hidden="1" x14ac:dyDescent="0.3">
      <c r="A1683" t="str">
        <f t="shared" si="159"/>
        <v>2023Emily13</v>
      </c>
      <c r="B1683">
        <f t="shared" si="156"/>
        <v>865</v>
      </c>
      <c r="C1683">
        <f t="shared" si="157"/>
        <v>1241</v>
      </c>
      <c r="D1683" t="s">
        <v>43</v>
      </c>
      <c r="E1683" t="str">
        <f>D1682</f>
        <v>Russell</v>
      </c>
      <c r="F1683">
        <v>2023</v>
      </c>
      <c r="G1683">
        <v>13</v>
      </c>
      <c r="H1683">
        <v>3.2</v>
      </c>
      <c r="I1683">
        <v>84</v>
      </c>
      <c r="J1683">
        <f>I1683-I1682</f>
        <v>6</v>
      </c>
      <c r="K1683" t="str">
        <f t="shared" si="161"/>
        <v>W</v>
      </c>
      <c r="L1683" t="str">
        <f t="shared" si="158"/>
        <v>Emily</v>
      </c>
      <c r="M1683" t="str">
        <f>VLOOKUP(L1683,References!$A$2:$B$16,2,FALSE)</f>
        <v>TEXAROK</v>
      </c>
      <c r="N1683" s="19" t="str">
        <f>IF(M1683=M1682,"N","Y")</f>
        <v>N</v>
      </c>
      <c r="O1683">
        <f>SUM(I1682:I1683)</f>
        <v>162</v>
      </c>
      <c r="P1683">
        <f t="shared" si="160"/>
        <v>78</v>
      </c>
    </row>
    <row r="1684" spans="1:16" hidden="1" x14ac:dyDescent="0.3">
      <c r="A1684" t="str">
        <f t="shared" si="159"/>
        <v>2023Brent13</v>
      </c>
      <c r="B1684">
        <f t="shared" si="156"/>
        <v>1797</v>
      </c>
      <c r="C1684">
        <f t="shared" si="157"/>
        <v>1618</v>
      </c>
      <c r="D1684" t="s">
        <v>47</v>
      </c>
      <c r="E1684" t="str">
        <f>D1685</f>
        <v>Matt</v>
      </c>
      <c r="F1684">
        <v>2023</v>
      </c>
      <c r="G1684">
        <v>13</v>
      </c>
      <c r="H1684">
        <v>4.0999999999999996</v>
      </c>
      <c r="I1684">
        <v>74</v>
      </c>
      <c r="J1684">
        <f>I1684-I1685</f>
        <v>-32</v>
      </c>
      <c r="K1684" t="str">
        <f t="shared" si="161"/>
        <v>L</v>
      </c>
      <c r="L1684" t="str">
        <f t="shared" si="158"/>
        <v>Brent</v>
      </c>
      <c r="M1684" t="str">
        <f>VLOOKUP(L1684,References!$A$2:$B$16,2,FALSE)</f>
        <v>TEXAROK</v>
      </c>
      <c r="N1684" s="19" t="str">
        <f>IF(M1684=M1685,"N","Y")</f>
        <v>N</v>
      </c>
      <c r="O1684">
        <f>SUM(I1684:I1685)</f>
        <v>180</v>
      </c>
      <c r="P1684">
        <f t="shared" si="160"/>
        <v>106</v>
      </c>
    </row>
    <row r="1685" spans="1:16" hidden="1" x14ac:dyDescent="0.3">
      <c r="A1685" t="str">
        <f t="shared" si="159"/>
        <v>2023Matt13</v>
      </c>
      <c r="B1685">
        <f t="shared" si="156"/>
        <v>284</v>
      </c>
      <c r="C1685">
        <f t="shared" si="157"/>
        <v>509</v>
      </c>
      <c r="D1685" t="s">
        <v>30</v>
      </c>
      <c r="E1685" t="str">
        <f>D1684</f>
        <v>Brent</v>
      </c>
      <c r="F1685">
        <v>2023</v>
      </c>
      <c r="G1685">
        <v>13</v>
      </c>
      <c r="H1685">
        <v>4.2</v>
      </c>
      <c r="I1685">
        <v>106</v>
      </c>
      <c r="J1685">
        <f>I1685-I1684</f>
        <v>32</v>
      </c>
      <c r="K1685" t="str">
        <f t="shared" si="161"/>
        <v>W</v>
      </c>
      <c r="L1685" t="str">
        <f t="shared" si="158"/>
        <v>Matt</v>
      </c>
      <c r="M1685" t="str">
        <f>VLOOKUP(L1685,References!$A$2:$B$16,2,FALSE)</f>
        <v>TEXAROK</v>
      </c>
      <c r="N1685" s="19" t="str">
        <f>IF(M1685=M1684,"N","Y")</f>
        <v>N</v>
      </c>
      <c r="O1685">
        <f>SUM(I1684:I1685)</f>
        <v>180</v>
      </c>
      <c r="P1685">
        <f t="shared" si="160"/>
        <v>74</v>
      </c>
    </row>
    <row r="1686" spans="1:16" hidden="1" x14ac:dyDescent="0.3">
      <c r="A1686" t="str">
        <f t="shared" si="159"/>
        <v>2023BR13</v>
      </c>
      <c r="B1686">
        <f t="shared" si="156"/>
        <v>685</v>
      </c>
      <c r="C1686">
        <f t="shared" si="157"/>
        <v>1365</v>
      </c>
      <c r="D1686" t="s">
        <v>25</v>
      </c>
      <c r="E1686" t="str">
        <f>D1687</f>
        <v>Charles</v>
      </c>
      <c r="F1686">
        <v>2023</v>
      </c>
      <c r="G1686">
        <v>13</v>
      </c>
      <c r="H1686">
        <v>5.0999999999999996</v>
      </c>
      <c r="I1686">
        <v>81</v>
      </c>
      <c r="J1686">
        <f>I1686-I1687</f>
        <v>13</v>
      </c>
      <c r="K1686" t="str">
        <f t="shared" si="161"/>
        <v>W</v>
      </c>
      <c r="L1686" t="str">
        <f t="shared" si="158"/>
        <v>BR</v>
      </c>
      <c r="M1686" t="str">
        <f>VLOOKUP(L1686,References!$A$2:$B$16,2,FALSE)</f>
        <v>AKCOVA</v>
      </c>
      <c r="N1686" s="19" t="str">
        <f>IF(M1686=M1687,"N","Y")</f>
        <v>N</v>
      </c>
      <c r="O1686">
        <f>SUM(I1686:I1687)</f>
        <v>149</v>
      </c>
      <c r="P1686">
        <f t="shared" si="160"/>
        <v>68</v>
      </c>
    </row>
    <row r="1687" spans="1:16" hidden="1" x14ac:dyDescent="0.3">
      <c r="A1687" t="str">
        <f t="shared" si="159"/>
        <v>2023Charles13</v>
      </c>
      <c r="B1687">
        <f t="shared" si="156"/>
        <v>1381</v>
      </c>
      <c r="C1687">
        <f t="shared" si="157"/>
        <v>1793</v>
      </c>
      <c r="D1687" t="s">
        <v>48</v>
      </c>
      <c r="E1687" t="str">
        <f>D1686</f>
        <v>BR</v>
      </c>
      <c r="F1687">
        <v>2023</v>
      </c>
      <c r="G1687">
        <v>13</v>
      </c>
      <c r="H1687">
        <v>5.2</v>
      </c>
      <c r="I1687">
        <v>68</v>
      </c>
      <c r="J1687">
        <f>I1687-I1686</f>
        <v>-13</v>
      </c>
      <c r="K1687" t="str">
        <f t="shared" si="161"/>
        <v>L</v>
      </c>
      <c r="L1687" t="str">
        <f t="shared" si="158"/>
        <v>Charles</v>
      </c>
      <c r="M1687" t="str">
        <f>VLOOKUP(L1687,References!$A$2:$B$16,2,FALSE)</f>
        <v>AKCOVA</v>
      </c>
      <c r="N1687" s="19" t="str">
        <f>IF(M1687=M1686,"N","Y")</f>
        <v>N</v>
      </c>
      <c r="O1687">
        <f>SUM(I1686:I1687)</f>
        <v>149</v>
      </c>
      <c r="P1687">
        <f t="shared" si="160"/>
        <v>81</v>
      </c>
    </row>
    <row r="1688" spans="1:16" hidden="1" x14ac:dyDescent="0.3">
      <c r="A1688" t="str">
        <f t="shared" si="159"/>
        <v>2023Mark13</v>
      </c>
      <c r="B1688">
        <f t="shared" si="156"/>
        <v>469</v>
      </c>
      <c r="C1688">
        <f t="shared" si="157"/>
        <v>412</v>
      </c>
      <c r="D1688" t="s">
        <v>22</v>
      </c>
      <c r="E1688" t="str">
        <f>D1689</f>
        <v>Arnold</v>
      </c>
      <c r="F1688">
        <v>2023</v>
      </c>
      <c r="G1688">
        <v>13</v>
      </c>
      <c r="H1688">
        <v>6.1</v>
      </c>
      <c r="I1688">
        <v>110</v>
      </c>
      <c r="J1688">
        <f>I1688-I1689</f>
        <v>22</v>
      </c>
      <c r="K1688" t="str">
        <f t="shared" si="161"/>
        <v>W</v>
      </c>
      <c r="L1688" t="str">
        <f t="shared" si="158"/>
        <v>Mark</v>
      </c>
      <c r="M1688" t="str">
        <f>VLOOKUP(L1688,References!$A$2:$B$16,2,FALSE)</f>
        <v>AKCOVA</v>
      </c>
      <c r="N1688" s="19" t="str">
        <f>IF(M1688=M1689,"N","Y")</f>
        <v>N</v>
      </c>
      <c r="O1688">
        <f>SUM(I1688:I1689)</f>
        <v>198</v>
      </c>
      <c r="P1688">
        <f t="shared" si="160"/>
        <v>88</v>
      </c>
    </row>
    <row r="1689" spans="1:16" hidden="1" x14ac:dyDescent="0.3">
      <c r="A1689" t="str">
        <f t="shared" si="159"/>
        <v>2023Arnold13</v>
      </c>
      <c r="B1689">
        <f t="shared" si="156"/>
        <v>1605</v>
      </c>
      <c r="C1689">
        <f t="shared" si="157"/>
        <v>1100</v>
      </c>
      <c r="D1689" t="s">
        <v>227</v>
      </c>
      <c r="E1689" t="str">
        <f>D1688</f>
        <v>Mark</v>
      </c>
      <c r="F1689">
        <v>2023</v>
      </c>
      <c r="G1689">
        <v>13</v>
      </c>
      <c r="H1689">
        <v>6.2</v>
      </c>
      <c r="I1689">
        <v>88</v>
      </c>
      <c r="J1689">
        <f>I1689-I1688</f>
        <v>-22</v>
      </c>
      <c r="K1689" t="str">
        <f t="shared" si="161"/>
        <v>L</v>
      </c>
      <c r="L1689" t="str">
        <f t="shared" si="158"/>
        <v>Arnold</v>
      </c>
      <c r="M1689" t="str">
        <f>VLOOKUP(L1689,References!$A$2:$B$16,2,FALSE)</f>
        <v>AKCOVA</v>
      </c>
      <c r="N1689" s="19" t="str">
        <f>IF(M1689=M1688,"N","Y")</f>
        <v>N</v>
      </c>
      <c r="O1689">
        <f>SUM(I1688:I1689)</f>
        <v>198</v>
      </c>
      <c r="P1689">
        <f t="shared" si="160"/>
        <v>110</v>
      </c>
    </row>
    <row r="1690" spans="1:16" hidden="1" x14ac:dyDescent="0.3">
      <c r="A1690" t="str">
        <f t="shared" si="159"/>
        <v>2023Michael14</v>
      </c>
      <c r="B1690">
        <f t="shared" si="156"/>
        <v>70</v>
      </c>
      <c r="C1690">
        <f t="shared" si="157"/>
        <v>305</v>
      </c>
      <c r="D1690" t="s">
        <v>23</v>
      </c>
      <c r="E1690" t="str">
        <f>D1691</f>
        <v>Arnold</v>
      </c>
      <c r="F1690">
        <v>2023</v>
      </c>
      <c r="G1690">
        <v>14</v>
      </c>
      <c r="H1690">
        <v>1.1000000000000001</v>
      </c>
      <c r="I1690">
        <v>115</v>
      </c>
      <c r="J1690">
        <f>I1690-I1691</f>
        <v>57</v>
      </c>
      <c r="K1690" t="str">
        <f t="shared" si="161"/>
        <v>W</v>
      </c>
      <c r="L1690" t="str">
        <f t="shared" si="158"/>
        <v>Michael</v>
      </c>
      <c r="M1690" t="str">
        <f>VLOOKUP(L1690,References!$A$2:$B$16,2,FALSE)</f>
        <v>AKCOVA</v>
      </c>
      <c r="N1690" s="19" t="str">
        <f>IF(M1690=M1691,"N","Y")</f>
        <v>N</v>
      </c>
      <c r="O1690">
        <f>SUM(I1690:I1691)</f>
        <v>173</v>
      </c>
      <c r="P1690">
        <f t="shared" si="160"/>
        <v>58</v>
      </c>
    </row>
    <row r="1691" spans="1:16" hidden="1" x14ac:dyDescent="0.3">
      <c r="A1691" t="str">
        <f t="shared" si="159"/>
        <v>2023Arnold14</v>
      </c>
      <c r="B1691">
        <f t="shared" si="156"/>
        <v>2018</v>
      </c>
      <c r="C1691">
        <f t="shared" si="157"/>
        <v>1974</v>
      </c>
      <c r="D1691" t="s">
        <v>227</v>
      </c>
      <c r="E1691" t="str">
        <f>D1690</f>
        <v>Michael</v>
      </c>
      <c r="F1691">
        <v>2023</v>
      </c>
      <c r="G1691">
        <v>14</v>
      </c>
      <c r="H1691">
        <v>1.2</v>
      </c>
      <c r="I1691">
        <v>58</v>
      </c>
      <c r="J1691">
        <f>I1691-I1690</f>
        <v>-57</v>
      </c>
      <c r="K1691" t="str">
        <f t="shared" si="161"/>
        <v>L</v>
      </c>
      <c r="L1691" t="str">
        <f t="shared" si="158"/>
        <v>Arnold</v>
      </c>
      <c r="M1691" t="str">
        <f>VLOOKUP(L1691,References!$A$2:$B$16,2,FALSE)</f>
        <v>AKCOVA</v>
      </c>
      <c r="N1691" s="19" t="str">
        <f>IF(M1691=M1690,"N","Y")</f>
        <v>N</v>
      </c>
      <c r="O1691">
        <f>SUM(I1690:I1691)</f>
        <v>173</v>
      </c>
      <c r="P1691">
        <f t="shared" si="160"/>
        <v>115</v>
      </c>
    </row>
    <row r="1692" spans="1:16" hidden="1" x14ac:dyDescent="0.3">
      <c r="A1692" t="str">
        <f t="shared" si="159"/>
        <v>2023David14</v>
      </c>
      <c r="B1692">
        <f t="shared" si="156"/>
        <v>949</v>
      </c>
      <c r="C1692">
        <f t="shared" si="157"/>
        <v>1738</v>
      </c>
      <c r="D1692" t="s">
        <v>29</v>
      </c>
      <c r="E1692" t="str">
        <f>D1693</f>
        <v>Russell</v>
      </c>
      <c r="F1692">
        <v>2023</v>
      </c>
      <c r="G1692">
        <v>14</v>
      </c>
      <c r="H1692">
        <v>2.1</v>
      </c>
      <c r="I1692">
        <v>70</v>
      </c>
      <c r="J1692">
        <f>I1692-I1693</f>
        <v>3</v>
      </c>
      <c r="K1692" t="str">
        <f t="shared" si="161"/>
        <v>W</v>
      </c>
      <c r="L1692" t="str">
        <f t="shared" si="158"/>
        <v>David</v>
      </c>
      <c r="M1692" t="str">
        <f>VLOOKUP(L1692,References!$A$2:$B$16,2,FALSE)</f>
        <v>TEXAROK</v>
      </c>
      <c r="N1692" s="19" t="str">
        <f>IF(M1692=M1693,"N","Y")</f>
        <v>N</v>
      </c>
      <c r="O1692">
        <f>SUM(I1692:I1693)</f>
        <v>137</v>
      </c>
      <c r="P1692">
        <f t="shared" si="160"/>
        <v>67</v>
      </c>
    </row>
    <row r="1693" spans="1:16" hidden="1" x14ac:dyDescent="0.3">
      <c r="A1693" t="str">
        <f t="shared" si="159"/>
        <v>2023Russell14</v>
      </c>
      <c r="B1693">
        <f t="shared" si="156"/>
        <v>1117</v>
      </c>
      <c r="C1693">
        <f t="shared" si="157"/>
        <v>1815</v>
      </c>
      <c r="D1693" t="s">
        <v>28</v>
      </c>
      <c r="E1693" t="str">
        <f>D1692</f>
        <v>David</v>
      </c>
      <c r="F1693">
        <v>2023</v>
      </c>
      <c r="G1693">
        <v>14</v>
      </c>
      <c r="H1693">
        <v>2.2000000000000002</v>
      </c>
      <c r="I1693">
        <v>67</v>
      </c>
      <c r="J1693">
        <f>I1693-I1692</f>
        <v>-3</v>
      </c>
      <c r="K1693" t="str">
        <f t="shared" si="161"/>
        <v>L</v>
      </c>
      <c r="L1693" t="str">
        <f t="shared" si="158"/>
        <v>Russell</v>
      </c>
      <c r="M1693" t="str">
        <f>VLOOKUP(L1693,References!$A$2:$B$16,2,FALSE)</f>
        <v>TEXAROK</v>
      </c>
      <c r="N1693" s="19" t="str">
        <f>IF(M1693=M1692,"N","Y")</f>
        <v>N</v>
      </c>
      <c r="O1693">
        <f>SUM(I1692:I1693)</f>
        <v>137</v>
      </c>
      <c r="P1693">
        <f t="shared" si="160"/>
        <v>70</v>
      </c>
    </row>
    <row r="1694" spans="1:16" hidden="1" x14ac:dyDescent="0.3">
      <c r="A1694" t="str">
        <f t="shared" si="159"/>
        <v>2023Brian14</v>
      </c>
      <c r="B1694">
        <f t="shared" si="156"/>
        <v>1004</v>
      </c>
      <c r="C1694">
        <f t="shared" si="157"/>
        <v>1406</v>
      </c>
      <c r="D1694" t="s">
        <v>26</v>
      </c>
      <c r="E1694" t="str">
        <f>D1695</f>
        <v>Matt</v>
      </c>
      <c r="F1694">
        <v>2023</v>
      </c>
      <c r="G1694">
        <v>14</v>
      </c>
      <c r="H1694">
        <v>3.1</v>
      </c>
      <c r="I1694">
        <v>80</v>
      </c>
      <c r="J1694">
        <f>I1694-I1695</f>
        <v>1</v>
      </c>
      <c r="K1694" t="str">
        <f t="shared" si="161"/>
        <v>W</v>
      </c>
      <c r="L1694" t="str">
        <f t="shared" si="158"/>
        <v>Brian</v>
      </c>
      <c r="M1694" t="str">
        <f>VLOOKUP(L1694,References!$A$2:$B$16,2,FALSE)</f>
        <v>TEXAROK</v>
      </c>
      <c r="N1694" s="19" t="str">
        <f>IF(M1694=M1695,"N","Y")</f>
        <v>N</v>
      </c>
      <c r="O1694">
        <f>SUM(I1694:I1695)</f>
        <v>159</v>
      </c>
      <c r="P1694">
        <f t="shared" si="160"/>
        <v>79</v>
      </c>
    </row>
    <row r="1695" spans="1:16" hidden="1" x14ac:dyDescent="0.3">
      <c r="A1695" t="str">
        <f t="shared" si="159"/>
        <v>2023Matt14</v>
      </c>
      <c r="B1695">
        <f t="shared" si="156"/>
        <v>1055</v>
      </c>
      <c r="C1695">
        <f t="shared" si="157"/>
        <v>1439</v>
      </c>
      <c r="D1695" t="s">
        <v>30</v>
      </c>
      <c r="E1695" t="str">
        <f>D1694</f>
        <v>Brian</v>
      </c>
      <c r="F1695">
        <v>2023</v>
      </c>
      <c r="G1695">
        <v>14</v>
      </c>
      <c r="H1695">
        <v>3.2</v>
      </c>
      <c r="I1695">
        <v>79</v>
      </c>
      <c r="J1695">
        <f>I1695-I1694</f>
        <v>-1</v>
      </c>
      <c r="K1695" t="str">
        <f t="shared" si="161"/>
        <v>L</v>
      </c>
      <c r="L1695" t="str">
        <f t="shared" si="158"/>
        <v>Matt</v>
      </c>
      <c r="M1695" t="str">
        <f>VLOOKUP(L1695,References!$A$2:$B$16,2,FALSE)</f>
        <v>TEXAROK</v>
      </c>
      <c r="N1695" s="19" t="str">
        <f>IF(M1695=M1694,"N","Y")</f>
        <v>N</v>
      </c>
      <c r="O1695">
        <f>SUM(I1694:I1695)</f>
        <v>159</v>
      </c>
      <c r="P1695">
        <f t="shared" si="160"/>
        <v>80</v>
      </c>
    </row>
    <row r="1696" spans="1:16" hidden="1" x14ac:dyDescent="0.3">
      <c r="A1696" t="str">
        <f t="shared" si="159"/>
        <v>2023Brent14</v>
      </c>
      <c r="B1696">
        <f t="shared" si="156"/>
        <v>1753</v>
      </c>
      <c r="C1696">
        <f t="shared" si="157"/>
        <v>1974</v>
      </c>
      <c r="D1696" t="s">
        <v>47</v>
      </c>
      <c r="E1696" t="str">
        <f>D1697</f>
        <v>Emily</v>
      </c>
      <c r="F1696">
        <v>2023</v>
      </c>
      <c r="G1696">
        <v>14</v>
      </c>
      <c r="H1696">
        <v>4.0999999999999996</v>
      </c>
      <c r="I1696">
        <v>58</v>
      </c>
      <c r="J1696">
        <f>I1696-I1697</f>
        <v>-30</v>
      </c>
      <c r="K1696" t="str">
        <f t="shared" si="161"/>
        <v>L</v>
      </c>
      <c r="L1696" t="str">
        <f t="shared" si="158"/>
        <v>Brent</v>
      </c>
      <c r="M1696" t="str">
        <f>VLOOKUP(L1696,References!$A$2:$B$16,2,FALSE)</f>
        <v>TEXAROK</v>
      </c>
      <c r="N1696" s="19" t="str">
        <f>IF(M1696=M1697,"N","Y")</f>
        <v>N</v>
      </c>
      <c r="O1696">
        <f>SUM(I1696:I1697)</f>
        <v>146</v>
      </c>
      <c r="P1696">
        <f t="shared" si="160"/>
        <v>88</v>
      </c>
    </row>
    <row r="1697" spans="1:16" hidden="1" x14ac:dyDescent="0.3">
      <c r="A1697" t="str">
        <f t="shared" si="159"/>
        <v>2023Emily14</v>
      </c>
      <c r="B1697">
        <f t="shared" si="156"/>
        <v>319</v>
      </c>
      <c r="C1697">
        <f t="shared" si="157"/>
        <v>1100</v>
      </c>
      <c r="D1697" t="s">
        <v>43</v>
      </c>
      <c r="E1697" t="str">
        <f>D1696</f>
        <v>Brent</v>
      </c>
      <c r="F1697">
        <v>2023</v>
      </c>
      <c r="G1697">
        <v>14</v>
      </c>
      <c r="H1697">
        <v>4.2</v>
      </c>
      <c r="I1697">
        <v>88</v>
      </c>
      <c r="J1697">
        <f>I1697-I1696</f>
        <v>30</v>
      </c>
      <c r="K1697" t="str">
        <f t="shared" si="161"/>
        <v>W</v>
      </c>
      <c r="L1697" t="str">
        <f t="shared" si="158"/>
        <v>Emily</v>
      </c>
      <c r="M1697" t="str">
        <f>VLOOKUP(L1697,References!$A$2:$B$16,2,FALSE)</f>
        <v>TEXAROK</v>
      </c>
      <c r="N1697" s="19" t="str">
        <f>IF(M1697=M1696,"N","Y")</f>
        <v>N</v>
      </c>
      <c r="O1697">
        <f>SUM(I1696:I1697)</f>
        <v>146</v>
      </c>
      <c r="P1697">
        <f t="shared" si="160"/>
        <v>58</v>
      </c>
    </row>
    <row r="1698" spans="1:16" hidden="1" x14ac:dyDescent="0.3">
      <c r="A1698" t="str">
        <f t="shared" si="159"/>
        <v>2023Watty14</v>
      </c>
      <c r="B1698">
        <f t="shared" si="156"/>
        <v>517</v>
      </c>
      <c r="C1698">
        <f t="shared" si="157"/>
        <v>603</v>
      </c>
      <c r="D1698" t="s">
        <v>24</v>
      </c>
      <c r="E1698" t="str">
        <f>D1699</f>
        <v>BR</v>
      </c>
      <c r="F1698">
        <v>2023</v>
      </c>
      <c r="G1698">
        <v>14</v>
      </c>
      <c r="H1698">
        <v>5.0999999999999996</v>
      </c>
      <c r="I1698">
        <v>103</v>
      </c>
      <c r="J1698">
        <f>I1698-I1699</f>
        <v>20</v>
      </c>
      <c r="K1698" t="str">
        <f t="shared" si="161"/>
        <v>W</v>
      </c>
      <c r="L1698" t="str">
        <f t="shared" si="158"/>
        <v>Watty</v>
      </c>
      <c r="M1698" t="str">
        <f>VLOOKUP(L1698,References!$A$2:$B$16,2,FALSE)</f>
        <v>AKCOVA</v>
      </c>
      <c r="N1698" s="19" t="str">
        <f>IF(M1698=M1699,"N","Y")</f>
        <v>N</v>
      </c>
      <c r="O1698">
        <f>SUM(I1698:I1699)</f>
        <v>186</v>
      </c>
      <c r="P1698">
        <f t="shared" si="160"/>
        <v>83</v>
      </c>
    </row>
    <row r="1699" spans="1:16" hidden="1" x14ac:dyDescent="0.3">
      <c r="A1699" t="str">
        <f t="shared" si="159"/>
        <v>2023BR14</v>
      </c>
      <c r="B1699">
        <f t="shared" si="156"/>
        <v>1546</v>
      </c>
      <c r="C1699">
        <f t="shared" si="157"/>
        <v>1282</v>
      </c>
      <c r="D1699" t="s">
        <v>25</v>
      </c>
      <c r="E1699" t="str">
        <f>D1698</f>
        <v>Watty</v>
      </c>
      <c r="F1699">
        <v>2023</v>
      </c>
      <c r="G1699">
        <v>14</v>
      </c>
      <c r="H1699">
        <v>5.2</v>
      </c>
      <c r="I1699">
        <v>83</v>
      </c>
      <c r="J1699">
        <f>I1699-I1698</f>
        <v>-20</v>
      </c>
      <c r="K1699" t="str">
        <f t="shared" si="161"/>
        <v>L</v>
      </c>
      <c r="L1699" t="str">
        <f t="shared" si="158"/>
        <v>BR</v>
      </c>
      <c r="M1699" t="str">
        <f>VLOOKUP(L1699,References!$A$2:$B$16,2,FALSE)</f>
        <v>AKCOVA</v>
      </c>
      <c r="N1699" s="19" t="str">
        <f>IF(M1699=M1698,"N","Y")</f>
        <v>N</v>
      </c>
      <c r="O1699">
        <f>SUM(I1698:I1699)</f>
        <v>186</v>
      </c>
      <c r="P1699">
        <f t="shared" si="160"/>
        <v>103</v>
      </c>
    </row>
    <row r="1700" spans="1:16" hidden="1" x14ac:dyDescent="0.3">
      <c r="A1700" t="str">
        <f t="shared" si="159"/>
        <v>2023Mark14</v>
      </c>
      <c r="B1700">
        <f t="shared" si="156"/>
        <v>1753</v>
      </c>
      <c r="C1700">
        <f t="shared" si="157"/>
        <v>1143</v>
      </c>
      <c r="D1700" t="s">
        <v>22</v>
      </c>
      <c r="E1700" t="str">
        <f>D1701</f>
        <v>Charles</v>
      </c>
      <c r="F1700">
        <v>2023</v>
      </c>
      <c r="G1700">
        <v>14</v>
      </c>
      <c r="H1700">
        <v>6.1</v>
      </c>
      <c r="I1700">
        <v>87</v>
      </c>
      <c r="J1700">
        <f>I1700-I1701</f>
        <v>-30</v>
      </c>
      <c r="K1700" t="str">
        <f t="shared" si="161"/>
        <v>L</v>
      </c>
      <c r="L1700" t="str">
        <f t="shared" si="158"/>
        <v>Mark</v>
      </c>
      <c r="M1700" t="str">
        <f>VLOOKUP(L1700,References!$A$2:$B$16,2,FALSE)</f>
        <v>AKCOVA</v>
      </c>
      <c r="N1700" s="19" t="str">
        <f>IF(M1700=M1701,"N","Y")</f>
        <v>N</v>
      </c>
      <c r="O1700">
        <f>SUM(I1700:I1701)</f>
        <v>204</v>
      </c>
      <c r="P1700">
        <f t="shared" si="160"/>
        <v>117</v>
      </c>
    </row>
    <row r="1701" spans="1:16" hidden="1" x14ac:dyDescent="0.3">
      <c r="A1701" t="str">
        <f t="shared" si="159"/>
        <v>2023Charles14</v>
      </c>
      <c r="B1701">
        <f t="shared" si="156"/>
        <v>319</v>
      </c>
      <c r="C1701">
        <f t="shared" si="157"/>
        <v>275</v>
      </c>
      <c r="D1701" t="s">
        <v>48</v>
      </c>
      <c r="E1701" t="str">
        <f>D1700</f>
        <v>Mark</v>
      </c>
      <c r="F1701">
        <v>2023</v>
      </c>
      <c r="G1701">
        <v>14</v>
      </c>
      <c r="H1701">
        <v>6.2</v>
      </c>
      <c r="I1701">
        <v>117</v>
      </c>
      <c r="J1701">
        <f>I1701-I1700</f>
        <v>30</v>
      </c>
      <c r="K1701" t="str">
        <f t="shared" si="161"/>
        <v>W</v>
      </c>
      <c r="L1701" t="str">
        <f t="shared" si="158"/>
        <v>Charles</v>
      </c>
      <c r="M1701" t="str">
        <f>VLOOKUP(L1701,References!$A$2:$B$16,2,FALSE)</f>
        <v>AKCOVA</v>
      </c>
      <c r="N1701" s="19" t="str">
        <f>IF(M1701=M1700,"N","Y")</f>
        <v>N</v>
      </c>
      <c r="O1701">
        <f>SUM(I1700:I1701)</f>
        <v>204</v>
      </c>
      <c r="P1701">
        <f t="shared" si="160"/>
        <v>87</v>
      </c>
    </row>
    <row r="1702" spans="1:16" hidden="1" x14ac:dyDescent="0.3">
      <c r="A1702" t="str">
        <f t="shared" si="159"/>
        <v>2024Michael1</v>
      </c>
      <c r="B1702">
        <f t="shared" si="156"/>
        <v>685</v>
      </c>
      <c r="C1702">
        <f t="shared" si="157"/>
        <v>211</v>
      </c>
      <c r="D1702" t="s">
        <v>23</v>
      </c>
      <c r="E1702" t="str">
        <f>D1703</f>
        <v>Matt</v>
      </c>
      <c r="F1702">
        <v>2024</v>
      </c>
      <c r="G1702">
        <v>1</v>
      </c>
      <c r="H1702">
        <v>1.1000000000000001</v>
      </c>
      <c r="I1702">
        <v>121</v>
      </c>
      <c r="J1702">
        <f>I1702-I1703</f>
        <v>13</v>
      </c>
      <c r="K1702" t="str">
        <f t="shared" si="161"/>
        <v>W</v>
      </c>
      <c r="L1702" t="str">
        <f t="shared" si="158"/>
        <v>Michael</v>
      </c>
      <c r="M1702" t="str">
        <f>VLOOKUP(L1702,References!$A$2:$B$16,2,FALSE)</f>
        <v>AKCOVA</v>
      </c>
      <c r="N1702" s="19" t="str">
        <f>IF(M1702=M1703,"N","Y")</f>
        <v>Y</v>
      </c>
      <c r="O1702">
        <f>SUM(I1702:I1703)</f>
        <v>229</v>
      </c>
      <c r="P1702">
        <f t="shared" si="160"/>
        <v>108</v>
      </c>
    </row>
    <row r="1703" spans="1:16" hidden="1" x14ac:dyDescent="0.3">
      <c r="A1703" t="str">
        <f t="shared" si="159"/>
        <v>2024Matt1</v>
      </c>
      <c r="B1703">
        <f t="shared" si="156"/>
        <v>1381</v>
      </c>
      <c r="C1703">
        <f t="shared" si="157"/>
        <v>462</v>
      </c>
      <c r="D1703" t="s">
        <v>30</v>
      </c>
      <c r="E1703" t="str">
        <f>D1702</f>
        <v>Michael</v>
      </c>
      <c r="F1703">
        <v>2024</v>
      </c>
      <c r="G1703">
        <v>1</v>
      </c>
      <c r="H1703">
        <v>1.2</v>
      </c>
      <c r="I1703">
        <v>108</v>
      </c>
      <c r="J1703">
        <f>I1703-I1702</f>
        <v>-13</v>
      </c>
      <c r="K1703" t="str">
        <f t="shared" si="161"/>
        <v>L</v>
      </c>
      <c r="L1703" t="str">
        <f t="shared" si="158"/>
        <v>Matt</v>
      </c>
      <c r="M1703" t="str">
        <f>VLOOKUP(L1703,References!$A$2:$B$16,2,FALSE)</f>
        <v>TEXAROK</v>
      </c>
      <c r="N1703" s="19" t="str">
        <f>IF(M1703=M1702,"N","Y")</f>
        <v>Y</v>
      </c>
      <c r="O1703">
        <f>SUM(I1702:I1703)</f>
        <v>229</v>
      </c>
      <c r="P1703">
        <f t="shared" si="160"/>
        <v>121</v>
      </c>
    </row>
    <row r="1704" spans="1:16" hidden="1" x14ac:dyDescent="0.3">
      <c r="A1704" t="str">
        <f t="shared" si="159"/>
        <v>2024Watty1</v>
      </c>
      <c r="B1704">
        <f t="shared" si="156"/>
        <v>489</v>
      </c>
      <c r="C1704">
        <f t="shared" si="157"/>
        <v>56</v>
      </c>
      <c r="D1704" t="s">
        <v>24</v>
      </c>
      <c r="E1704" t="str">
        <f>D1705</f>
        <v>Brian</v>
      </c>
      <c r="F1704">
        <v>2024</v>
      </c>
      <c r="G1704">
        <v>1</v>
      </c>
      <c r="H1704">
        <v>2.1</v>
      </c>
      <c r="I1704">
        <v>140</v>
      </c>
      <c r="J1704">
        <f>I1704-I1705</f>
        <v>21</v>
      </c>
      <c r="K1704" t="str">
        <f t="shared" si="161"/>
        <v>W</v>
      </c>
      <c r="L1704" t="str">
        <f t="shared" si="158"/>
        <v>Watty</v>
      </c>
      <c r="M1704" t="str">
        <f>VLOOKUP(L1704,References!$A$2:$B$16,2,FALSE)</f>
        <v>AKCOVA</v>
      </c>
      <c r="N1704" s="19" t="str">
        <f>IF(M1704=M1705,"N","Y")</f>
        <v>Y</v>
      </c>
      <c r="O1704">
        <f>SUM(I1704:I1705)</f>
        <v>259</v>
      </c>
      <c r="P1704">
        <f t="shared" si="160"/>
        <v>119</v>
      </c>
    </row>
    <row r="1705" spans="1:16" hidden="1" x14ac:dyDescent="0.3">
      <c r="A1705" t="str">
        <f t="shared" si="159"/>
        <v>2024Brian1</v>
      </c>
      <c r="B1705">
        <f t="shared" si="156"/>
        <v>1577</v>
      </c>
      <c r="C1705">
        <f t="shared" si="157"/>
        <v>248</v>
      </c>
      <c r="D1705" t="s">
        <v>26</v>
      </c>
      <c r="E1705" t="str">
        <f>D1704</f>
        <v>Watty</v>
      </c>
      <c r="F1705">
        <v>2024</v>
      </c>
      <c r="G1705">
        <v>1</v>
      </c>
      <c r="H1705">
        <v>2.2000000000000002</v>
      </c>
      <c r="I1705">
        <v>119</v>
      </c>
      <c r="J1705">
        <f>I1705-I1704</f>
        <v>-21</v>
      </c>
      <c r="K1705" t="str">
        <f t="shared" si="161"/>
        <v>L</v>
      </c>
      <c r="L1705" t="str">
        <f t="shared" si="158"/>
        <v>Brian</v>
      </c>
      <c r="M1705" t="str">
        <f>VLOOKUP(L1705,References!$A$2:$B$16,2,FALSE)</f>
        <v>TEXAROK</v>
      </c>
      <c r="N1705" s="19" t="str">
        <f>IF(M1705=M1704,"N","Y")</f>
        <v>Y</v>
      </c>
      <c r="O1705">
        <f>SUM(I1704:I1705)</f>
        <v>259</v>
      </c>
      <c r="P1705">
        <f t="shared" si="160"/>
        <v>140</v>
      </c>
    </row>
    <row r="1706" spans="1:16" hidden="1" x14ac:dyDescent="0.3">
      <c r="A1706" t="str">
        <f t="shared" si="159"/>
        <v>2024David1</v>
      </c>
      <c r="B1706">
        <f t="shared" si="156"/>
        <v>1090</v>
      </c>
      <c r="C1706">
        <f t="shared" si="157"/>
        <v>714</v>
      </c>
      <c r="D1706" t="s">
        <v>29</v>
      </c>
      <c r="E1706" t="str">
        <f>D1707</f>
        <v>Russell</v>
      </c>
      <c r="F1706">
        <v>2024</v>
      </c>
      <c r="G1706">
        <v>1</v>
      </c>
      <c r="H1706">
        <v>3.1</v>
      </c>
      <c r="I1706">
        <v>99</v>
      </c>
      <c r="J1706">
        <f>I1706-I1707</f>
        <v>-2</v>
      </c>
      <c r="K1706" t="str">
        <f t="shared" si="161"/>
        <v>L</v>
      </c>
      <c r="L1706" t="str">
        <f t="shared" si="158"/>
        <v>David</v>
      </c>
      <c r="M1706" t="str">
        <f>VLOOKUP(L1706,References!$A$2:$B$16,2,FALSE)</f>
        <v>TEXAROK</v>
      </c>
      <c r="N1706" s="19" t="str">
        <f>IF(M1706=M1707,"N","Y")</f>
        <v>N</v>
      </c>
      <c r="O1706">
        <f>SUM(I1706:I1707)</f>
        <v>200</v>
      </c>
      <c r="P1706">
        <f t="shared" si="160"/>
        <v>101</v>
      </c>
    </row>
    <row r="1707" spans="1:16" hidden="1" x14ac:dyDescent="0.3">
      <c r="A1707" t="str">
        <f t="shared" si="159"/>
        <v>2024Russell1</v>
      </c>
      <c r="B1707">
        <f t="shared" si="156"/>
        <v>977</v>
      </c>
      <c r="C1707">
        <f t="shared" si="157"/>
        <v>652</v>
      </c>
      <c r="D1707" t="s">
        <v>28</v>
      </c>
      <c r="E1707" t="str">
        <f>D1706</f>
        <v>David</v>
      </c>
      <c r="F1707">
        <v>2024</v>
      </c>
      <c r="G1707">
        <v>1</v>
      </c>
      <c r="H1707">
        <v>3.2</v>
      </c>
      <c r="I1707">
        <v>101</v>
      </c>
      <c r="J1707">
        <f>I1707-I1706</f>
        <v>2</v>
      </c>
      <c r="K1707" t="str">
        <f t="shared" si="161"/>
        <v>W</v>
      </c>
      <c r="L1707" t="str">
        <f t="shared" si="158"/>
        <v>Russell</v>
      </c>
      <c r="M1707" t="str">
        <f>VLOOKUP(L1707,References!$A$2:$B$16,2,FALSE)</f>
        <v>TEXAROK</v>
      </c>
      <c r="N1707" s="19" t="str">
        <f>IF(M1707=M1706,"N","Y")</f>
        <v>N</v>
      </c>
      <c r="O1707">
        <f>SUM(I1706:I1707)</f>
        <v>200</v>
      </c>
      <c r="P1707">
        <f t="shared" si="160"/>
        <v>99</v>
      </c>
    </row>
    <row r="1708" spans="1:16" hidden="1" x14ac:dyDescent="0.3">
      <c r="A1708" t="str">
        <f t="shared" si="159"/>
        <v>2024Mark1</v>
      </c>
      <c r="B1708">
        <f t="shared" si="156"/>
        <v>685</v>
      </c>
      <c r="C1708">
        <f t="shared" si="157"/>
        <v>165</v>
      </c>
      <c r="D1708" t="s">
        <v>22</v>
      </c>
      <c r="E1708" t="str">
        <f>D1709</f>
        <v>Jordan</v>
      </c>
      <c r="F1708">
        <v>2024</v>
      </c>
      <c r="G1708">
        <v>1</v>
      </c>
      <c r="H1708">
        <v>4.0999999999999996</v>
      </c>
      <c r="I1708">
        <v>125</v>
      </c>
      <c r="J1708">
        <f>I1708-I1709</f>
        <v>13</v>
      </c>
      <c r="K1708" t="str">
        <f t="shared" si="161"/>
        <v>W</v>
      </c>
      <c r="L1708" t="str">
        <f t="shared" si="158"/>
        <v>Mark</v>
      </c>
      <c r="M1708" t="str">
        <f>VLOOKUP(L1708,References!$A$2:$B$16,2,FALSE)</f>
        <v>AKCOVA</v>
      </c>
      <c r="N1708" s="19" t="str">
        <f>IF(M1708=M1709,"N","Y")</f>
        <v>N</v>
      </c>
      <c r="O1708">
        <f>SUM(I1708:I1709)</f>
        <v>237</v>
      </c>
      <c r="P1708">
        <f t="shared" si="160"/>
        <v>112</v>
      </c>
    </row>
    <row r="1709" spans="1:16" hidden="1" x14ac:dyDescent="0.3">
      <c r="A1709" t="str">
        <f t="shared" si="159"/>
        <v>2024Jordan1</v>
      </c>
      <c r="B1709">
        <f t="shared" si="156"/>
        <v>1381</v>
      </c>
      <c r="C1709">
        <f t="shared" si="157"/>
        <v>364</v>
      </c>
      <c r="D1709" t="s">
        <v>472</v>
      </c>
      <c r="E1709" t="str">
        <f>D1708</f>
        <v>Mark</v>
      </c>
      <c r="F1709">
        <v>2024</v>
      </c>
      <c r="G1709">
        <v>1</v>
      </c>
      <c r="H1709">
        <v>4.2</v>
      </c>
      <c r="I1709">
        <v>112</v>
      </c>
      <c r="J1709">
        <f>I1709-I1708</f>
        <v>-13</v>
      </c>
      <c r="K1709" t="str">
        <f t="shared" si="161"/>
        <v>L</v>
      </c>
      <c r="L1709" t="str">
        <f t="shared" si="158"/>
        <v>Jordan</v>
      </c>
      <c r="M1709" t="str">
        <f>VLOOKUP(L1709,References!$A$2:$B$16,2,FALSE)</f>
        <v>AKCOVA</v>
      </c>
      <c r="N1709" s="19" t="str">
        <f>IF(M1709=M1708,"N","Y")</f>
        <v>N</v>
      </c>
      <c r="O1709">
        <f>SUM(I1708:I1709)</f>
        <v>237</v>
      </c>
      <c r="P1709">
        <f t="shared" si="160"/>
        <v>125</v>
      </c>
    </row>
    <row r="1710" spans="1:16" hidden="1" x14ac:dyDescent="0.3">
      <c r="A1710" t="str">
        <f t="shared" si="159"/>
        <v>2024Charles1</v>
      </c>
      <c r="B1710">
        <f t="shared" si="156"/>
        <v>917</v>
      </c>
      <c r="C1710">
        <f t="shared" si="157"/>
        <v>1406</v>
      </c>
      <c r="D1710" t="s">
        <v>48</v>
      </c>
      <c r="E1710" t="str">
        <f>D1711</f>
        <v>BR</v>
      </c>
      <c r="F1710">
        <v>2024</v>
      </c>
      <c r="G1710">
        <v>1</v>
      </c>
      <c r="H1710">
        <v>5.0999999999999996</v>
      </c>
      <c r="I1710">
        <v>80</v>
      </c>
      <c r="J1710">
        <f>I1710-I1711</f>
        <v>4</v>
      </c>
      <c r="K1710" t="str">
        <f t="shared" si="161"/>
        <v>W</v>
      </c>
      <c r="L1710" t="str">
        <f t="shared" si="158"/>
        <v>Charles</v>
      </c>
      <c r="M1710" t="str">
        <f>VLOOKUP(L1710,References!$A$2:$B$16,2,FALSE)</f>
        <v>AKCOVA</v>
      </c>
      <c r="N1710" s="19" t="str">
        <f>IF(M1710=M1711,"N","Y")</f>
        <v>N</v>
      </c>
      <c r="O1710">
        <f>SUM(I1710:I1711)</f>
        <v>156</v>
      </c>
      <c r="P1710">
        <f t="shared" si="160"/>
        <v>76</v>
      </c>
    </row>
    <row r="1711" spans="1:16" hidden="1" x14ac:dyDescent="0.3">
      <c r="A1711" t="str">
        <f t="shared" si="159"/>
        <v>2024BR1</v>
      </c>
      <c r="B1711">
        <f t="shared" si="156"/>
        <v>1145</v>
      </c>
      <c r="C1711">
        <f t="shared" si="157"/>
        <v>1549</v>
      </c>
      <c r="D1711" t="s">
        <v>25</v>
      </c>
      <c r="E1711" t="str">
        <f>D1710</f>
        <v>Charles</v>
      </c>
      <c r="F1711">
        <v>2024</v>
      </c>
      <c r="G1711">
        <v>1</v>
      </c>
      <c r="H1711">
        <v>5.2</v>
      </c>
      <c r="I1711">
        <v>76</v>
      </c>
      <c r="J1711">
        <f>I1711-I1710</f>
        <v>-4</v>
      </c>
      <c r="K1711" t="str">
        <f t="shared" si="161"/>
        <v>L</v>
      </c>
      <c r="L1711" t="str">
        <f t="shared" si="158"/>
        <v>BR</v>
      </c>
      <c r="M1711" t="str">
        <f>VLOOKUP(L1711,References!$A$2:$B$16,2,FALSE)</f>
        <v>AKCOVA</v>
      </c>
      <c r="N1711" s="19" t="str">
        <f>IF(M1711=M1710,"N","Y")</f>
        <v>N</v>
      </c>
      <c r="O1711">
        <f>SUM(I1710:I1711)</f>
        <v>156</v>
      </c>
      <c r="P1711">
        <f t="shared" si="160"/>
        <v>80</v>
      </c>
    </row>
    <row r="1712" spans="1:16" hidden="1" x14ac:dyDescent="0.3">
      <c r="A1712" t="str">
        <f t="shared" si="159"/>
        <v>2024Brent1</v>
      </c>
      <c r="B1712">
        <f t="shared" si="156"/>
        <v>517</v>
      </c>
      <c r="C1712">
        <f t="shared" si="157"/>
        <v>462</v>
      </c>
      <c r="D1712" t="s">
        <v>47</v>
      </c>
      <c r="E1712" t="str">
        <f>D1713</f>
        <v>Arnold</v>
      </c>
      <c r="F1712">
        <v>2024</v>
      </c>
      <c r="G1712">
        <v>1</v>
      </c>
      <c r="H1712">
        <v>6.1</v>
      </c>
      <c r="I1712">
        <v>108</v>
      </c>
      <c r="J1712">
        <f>I1712-I1713</f>
        <v>20</v>
      </c>
      <c r="K1712" t="str">
        <f t="shared" si="161"/>
        <v>W</v>
      </c>
      <c r="L1712" t="str">
        <f t="shared" si="158"/>
        <v>Brent</v>
      </c>
      <c r="M1712" t="str">
        <f>VLOOKUP(L1712,References!$A$2:$B$16,2,FALSE)</f>
        <v>TEXAROK</v>
      </c>
      <c r="N1712" s="19" t="str">
        <f>IF(M1712=M1713,"N","Y")</f>
        <v>Y</v>
      </c>
      <c r="O1712">
        <f>SUM(I1712:I1713)</f>
        <v>196</v>
      </c>
      <c r="P1712">
        <f t="shared" si="160"/>
        <v>88</v>
      </c>
    </row>
    <row r="1713" spans="1:16" hidden="1" x14ac:dyDescent="0.3">
      <c r="A1713" t="str">
        <f t="shared" si="159"/>
        <v>2024Arnold1</v>
      </c>
      <c r="B1713">
        <f t="shared" si="156"/>
        <v>1546</v>
      </c>
      <c r="C1713">
        <f t="shared" si="157"/>
        <v>1100</v>
      </c>
      <c r="D1713" t="s">
        <v>227</v>
      </c>
      <c r="E1713" t="str">
        <f>D1712</f>
        <v>Brent</v>
      </c>
      <c r="F1713">
        <v>2024</v>
      </c>
      <c r="G1713">
        <v>1</v>
      </c>
      <c r="H1713">
        <v>6.2</v>
      </c>
      <c r="I1713">
        <v>88</v>
      </c>
      <c r="J1713">
        <f>I1713-I1712</f>
        <v>-20</v>
      </c>
      <c r="K1713" t="str">
        <f t="shared" si="161"/>
        <v>L</v>
      </c>
      <c r="L1713" t="str">
        <f t="shared" si="158"/>
        <v>Arnold</v>
      </c>
      <c r="M1713" t="str">
        <f>VLOOKUP(L1713,References!$A$2:$B$16,2,FALSE)</f>
        <v>AKCOVA</v>
      </c>
      <c r="N1713" s="19" t="str">
        <f>IF(M1713=M1712,"N","Y")</f>
        <v>Y</v>
      </c>
      <c r="O1713">
        <f>SUM(I1712:I1713)</f>
        <v>196</v>
      </c>
      <c r="P1713">
        <f t="shared" si="160"/>
        <v>108</v>
      </c>
    </row>
    <row r="1714" spans="1:16" hidden="1" x14ac:dyDescent="0.3">
      <c r="A1714" t="str">
        <f t="shared" si="159"/>
        <v>2024Grayson1</v>
      </c>
      <c r="B1714">
        <f t="shared" si="156"/>
        <v>1258</v>
      </c>
      <c r="C1714">
        <f t="shared" si="157"/>
        <v>714</v>
      </c>
      <c r="D1714" t="s">
        <v>473</v>
      </c>
      <c r="E1714" t="str">
        <f>D1715</f>
        <v>Emily</v>
      </c>
      <c r="F1714">
        <v>2024</v>
      </c>
      <c r="G1714">
        <v>1</v>
      </c>
      <c r="H1714">
        <v>7.1</v>
      </c>
      <c r="I1714">
        <v>99</v>
      </c>
      <c r="J1714">
        <f>I1714-I1715</f>
        <v>-8</v>
      </c>
      <c r="K1714" t="str">
        <f t="shared" si="161"/>
        <v>L</v>
      </c>
      <c r="L1714" t="str">
        <f t="shared" si="158"/>
        <v>Grayson</v>
      </c>
      <c r="M1714" t="str">
        <f>VLOOKUP(L1714,References!$A$2:$B$16,2,FALSE)</f>
        <v>TEXAROK</v>
      </c>
      <c r="N1714" s="19" t="str">
        <f>IF(M1714=M1715,"N","Y")</f>
        <v>N</v>
      </c>
      <c r="O1714">
        <f>SUM(I1714:I1715)</f>
        <v>206</v>
      </c>
      <c r="P1714">
        <f t="shared" si="160"/>
        <v>107</v>
      </c>
    </row>
    <row r="1715" spans="1:16" hidden="1" x14ac:dyDescent="0.3">
      <c r="A1715" t="str">
        <f t="shared" si="159"/>
        <v>2024Emily1</v>
      </c>
      <c r="B1715">
        <f t="shared" si="156"/>
        <v>803</v>
      </c>
      <c r="C1715">
        <f t="shared" si="157"/>
        <v>486</v>
      </c>
      <c r="D1715" t="s">
        <v>43</v>
      </c>
      <c r="E1715" t="str">
        <f>D1714</f>
        <v>Grayson</v>
      </c>
      <c r="F1715">
        <v>2024</v>
      </c>
      <c r="G1715">
        <v>1</v>
      </c>
      <c r="H1715">
        <v>7.2</v>
      </c>
      <c r="I1715">
        <v>107</v>
      </c>
      <c r="J1715">
        <f>I1715-I1714</f>
        <v>8</v>
      </c>
      <c r="K1715" t="str">
        <f t="shared" si="161"/>
        <v>W</v>
      </c>
      <c r="L1715" t="str">
        <f t="shared" si="158"/>
        <v>Emily</v>
      </c>
      <c r="M1715" t="str">
        <f>VLOOKUP(L1715,References!$A$2:$B$16,2,FALSE)</f>
        <v>TEXAROK</v>
      </c>
      <c r="N1715" s="19" t="str">
        <f>IF(M1715=M1714,"N","Y")</f>
        <v>N</v>
      </c>
      <c r="O1715">
        <f>SUM(I1714:I1715)</f>
        <v>206</v>
      </c>
      <c r="P1715">
        <f t="shared" si="160"/>
        <v>99</v>
      </c>
    </row>
    <row r="1716" spans="1:16" hidden="1" x14ac:dyDescent="0.3">
      <c r="A1716" t="str">
        <f t="shared" si="159"/>
        <v>2024Michael2</v>
      </c>
      <c r="B1716">
        <f t="shared" si="156"/>
        <v>1970</v>
      </c>
      <c r="C1716">
        <f t="shared" si="157"/>
        <v>822</v>
      </c>
      <c r="D1716" t="s">
        <v>23</v>
      </c>
      <c r="E1716" t="str">
        <f>D1717</f>
        <v>David</v>
      </c>
      <c r="F1716">
        <v>2024</v>
      </c>
      <c r="G1716">
        <v>2</v>
      </c>
      <c r="H1716">
        <v>1.1000000000000001</v>
      </c>
      <c r="I1716">
        <v>96</v>
      </c>
      <c r="J1716">
        <f>I1716-I1717</f>
        <v>-48</v>
      </c>
      <c r="K1716" t="str">
        <f t="shared" si="161"/>
        <v>L</v>
      </c>
      <c r="L1716" t="str">
        <f t="shared" si="158"/>
        <v>Michael</v>
      </c>
      <c r="M1716" t="str">
        <f>VLOOKUP(L1716,References!$A$2:$B$16,2,FALSE)</f>
        <v>AKCOVA</v>
      </c>
      <c r="N1716" s="19" t="str">
        <f>IF(M1716=M1717,"N","Y")</f>
        <v>Y</v>
      </c>
      <c r="O1716">
        <f>SUM(I1716:I1717)</f>
        <v>240</v>
      </c>
      <c r="P1716">
        <f t="shared" si="160"/>
        <v>144</v>
      </c>
    </row>
    <row r="1717" spans="1:16" hidden="1" x14ac:dyDescent="0.3">
      <c r="A1717" t="str">
        <f t="shared" si="159"/>
        <v>2024David2</v>
      </c>
      <c r="B1717">
        <f t="shared" si="156"/>
        <v>119</v>
      </c>
      <c r="C1717">
        <f t="shared" si="157"/>
        <v>39</v>
      </c>
      <c r="D1717" t="s">
        <v>29</v>
      </c>
      <c r="E1717" t="str">
        <f>D1716</f>
        <v>Michael</v>
      </c>
      <c r="F1717">
        <v>2024</v>
      </c>
      <c r="G1717">
        <v>2</v>
      </c>
      <c r="H1717">
        <v>1.2</v>
      </c>
      <c r="I1717">
        <v>144</v>
      </c>
      <c r="J1717">
        <f>I1717-I1716</f>
        <v>48</v>
      </c>
      <c r="K1717" t="str">
        <f t="shared" si="161"/>
        <v>W</v>
      </c>
      <c r="L1717" t="str">
        <f t="shared" si="158"/>
        <v>David</v>
      </c>
      <c r="M1717" t="str">
        <f>VLOOKUP(L1717,References!$A$2:$B$16,2,FALSE)</f>
        <v>TEXAROK</v>
      </c>
      <c r="N1717" s="19" t="str">
        <f>IF(M1717=M1716,"N","Y")</f>
        <v>Y</v>
      </c>
      <c r="O1717">
        <f>SUM(I1716:I1717)</f>
        <v>240</v>
      </c>
      <c r="P1717">
        <f t="shared" si="160"/>
        <v>96</v>
      </c>
    </row>
    <row r="1718" spans="1:16" hidden="1" x14ac:dyDescent="0.3">
      <c r="A1718" t="str">
        <f t="shared" si="159"/>
        <v>2024Russell2</v>
      </c>
      <c r="B1718">
        <f t="shared" si="156"/>
        <v>97</v>
      </c>
      <c r="C1718">
        <f t="shared" si="157"/>
        <v>46</v>
      </c>
      <c r="D1718" t="s">
        <v>28</v>
      </c>
      <c r="E1718" t="str">
        <f>D1719</f>
        <v>Mark</v>
      </c>
      <c r="F1718">
        <v>2024</v>
      </c>
      <c r="G1718">
        <v>2</v>
      </c>
      <c r="H1718">
        <v>2.1</v>
      </c>
      <c r="I1718">
        <v>143</v>
      </c>
      <c r="J1718">
        <f>I1718-I1719</f>
        <v>52</v>
      </c>
      <c r="K1718" t="str">
        <f t="shared" si="161"/>
        <v>W</v>
      </c>
      <c r="L1718" t="str">
        <f t="shared" si="158"/>
        <v>Russell</v>
      </c>
      <c r="M1718" t="str">
        <f>VLOOKUP(L1718,References!$A$2:$B$16,2,FALSE)</f>
        <v>TEXAROK</v>
      </c>
      <c r="N1718" s="19" t="str">
        <f>IF(M1718=M1719,"N","Y")</f>
        <v>Y</v>
      </c>
      <c r="O1718">
        <f>SUM(I1718:I1719)</f>
        <v>234</v>
      </c>
      <c r="P1718">
        <f t="shared" si="160"/>
        <v>91</v>
      </c>
    </row>
    <row r="1719" spans="1:16" hidden="1" x14ac:dyDescent="0.3">
      <c r="A1719" t="str">
        <f t="shared" si="159"/>
        <v>2024Mark2</v>
      </c>
      <c r="B1719">
        <f t="shared" si="156"/>
        <v>1991</v>
      </c>
      <c r="C1719">
        <f t="shared" si="157"/>
        <v>992</v>
      </c>
      <c r="D1719" t="s">
        <v>22</v>
      </c>
      <c r="E1719" t="str">
        <f>D1718</f>
        <v>Russell</v>
      </c>
      <c r="F1719">
        <v>2024</v>
      </c>
      <c r="G1719">
        <v>2</v>
      </c>
      <c r="H1719">
        <v>2.2000000000000002</v>
      </c>
      <c r="I1719">
        <v>91</v>
      </c>
      <c r="J1719">
        <f>I1719-I1718</f>
        <v>-52</v>
      </c>
      <c r="K1719" t="str">
        <f t="shared" si="161"/>
        <v>L</v>
      </c>
      <c r="L1719" t="str">
        <f t="shared" si="158"/>
        <v>Mark</v>
      </c>
      <c r="M1719" t="str">
        <f>VLOOKUP(L1719,References!$A$2:$B$16,2,FALSE)</f>
        <v>AKCOVA</v>
      </c>
      <c r="N1719" s="19" t="str">
        <f>IF(M1719=M1718,"N","Y")</f>
        <v>Y</v>
      </c>
      <c r="O1719">
        <f>SUM(I1718:I1719)</f>
        <v>234</v>
      </c>
      <c r="P1719">
        <f t="shared" si="160"/>
        <v>143</v>
      </c>
    </row>
    <row r="1720" spans="1:16" hidden="1" x14ac:dyDescent="0.3">
      <c r="A1720" t="str">
        <f t="shared" si="159"/>
        <v>2024Matt2</v>
      </c>
      <c r="B1720">
        <f t="shared" si="156"/>
        <v>1475</v>
      </c>
      <c r="C1720">
        <f t="shared" si="157"/>
        <v>1173</v>
      </c>
      <c r="D1720" t="s">
        <v>30</v>
      </c>
      <c r="E1720" t="str">
        <f>D1721</f>
        <v>Brent</v>
      </c>
      <c r="F1720">
        <v>2024</v>
      </c>
      <c r="G1720">
        <v>2</v>
      </c>
      <c r="H1720">
        <v>3.1</v>
      </c>
      <c r="I1720">
        <v>86</v>
      </c>
      <c r="J1720">
        <f>I1720-I1721</f>
        <v>-17</v>
      </c>
      <c r="K1720" t="str">
        <f t="shared" si="161"/>
        <v>L</v>
      </c>
      <c r="L1720" t="str">
        <f t="shared" si="158"/>
        <v>Matt</v>
      </c>
      <c r="M1720" t="str">
        <f>VLOOKUP(L1720,References!$A$2:$B$16,2,FALSE)</f>
        <v>TEXAROK</v>
      </c>
      <c r="N1720" s="19" t="str">
        <f>IF(M1720=M1721,"N","Y")</f>
        <v>N</v>
      </c>
      <c r="O1720">
        <f>SUM(I1720:I1721)</f>
        <v>189</v>
      </c>
      <c r="P1720">
        <f t="shared" si="160"/>
        <v>103</v>
      </c>
    </row>
    <row r="1721" spans="1:16" hidden="1" x14ac:dyDescent="0.3">
      <c r="A1721" t="str">
        <f t="shared" si="159"/>
        <v>2024Brent2</v>
      </c>
      <c r="B1721">
        <f t="shared" si="156"/>
        <v>597</v>
      </c>
      <c r="C1721">
        <f t="shared" si="157"/>
        <v>603</v>
      </c>
      <c r="D1721" t="s">
        <v>47</v>
      </c>
      <c r="E1721" t="str">
        <f>D1720</f>
        <v>Matt</v>
      </c>
      <c r="F1721">
        <v>2024</v>
      </c>
      <c r="G1721">
        <v>2</v>
      </c>
      <c r="H1721">
        <v>3.2</v>
      </c>
      <c r="I1721">
        <v>103</v>
      </c>
      <c r="J1721">
        <f>I1721-I1720</f>
        <v>17</v>
      </c>
      <c r="K1721" t="str">
        <f t="shared" si="161"/>
        <v>W</v>
      </c>
      <c r="L1721" t="str">
        <f t="shared" si="158"/>
        <v>Brent</v>
      </c>
      <c r="M1721" t="str">
        <f>VLOOKUP(L1721,References!$A$2:$B$16,2,FALSE)</f>
        <v>TEXAROK</v>
      </c>
      <c r="N1721" s="19" t="str">
        <f>IF(M1721=M1720,"N","Y")</f>
        <v>N</v>
      </c>
      <c r="O1721">
        <f>SUM(I1720:I1721)</f>
        <v>189</v>
      </c>
      <c r="P1721">
        <f t="shared" si="160"/>
        <v>86</v>
      </c>
    </row>
    <row r="1722" spans="1:16" hidden="1" x14ac:dyDescent="0.3">
      <c r="A1722" t="str">
        <f t="shared" si="159"/>
        <v>2024Jordan2</v>
      </c>
      <c r="B1722">
        <f t="shared" si="156"/>
        <v>238</v>
      </c>
      <c r="C1722">
        <f t="shared" si="157"/>
        <v>6</v>
      </c>
      <c r="D1722" t="s">
        <v>472</v>
      </c>
      <c r="E1722" t="str">
        <f>D1723</f>
        <v>Grayson</v>
      </c>
      <c r="F1722">
        <v>2024</v>
      </c>
      <c r="G1722">
        <v>2</v>
      </c>
      <c r="H1722">
        <v>4.0999999999999996</v>
      </c>
      <c r="I1722">
        <v>165</v>
      </c>
      <c r="J1722">
        <f>I1722-I1723</f>
        <v>36</v>
      </c>
      <c r="K1722" t="str">
        <f t="shared" si="161"/>
        <v>W</v>
      </c>
      <c r="L1722" t="str">
        <f t="shared" si="158"/>
        <v>Jordan</v>
      </c>
      <c r="M1722" t="str">
        <f>VLOOKUP(L1722,References!$A$2:$B$16,2,FALSE)</f>
        <v>AKCOVA</v>
      </c>
      <c r="N1722" s="19" t="str">
        <f>IF(M1722=M1723,"N","Y")</f>
        <v>Y</v>
      </c>
      <c r="O1722">
        <f>SUM(I1722:I1723)</f>
        <v>294</v>
      </c>
      <c r="P1722">
        <f t="shared" si="160"/>
        <v>129</v>
      </c>
    </row>
    <row r="1723" spans="1:16" hidden="1" x14ac:dyDescent="0.3">
      <c r="A1723" t="str">
        <f t="shared" si="159"/>
        <v>2024Grayson2</v>
      </c>
      <c r="B1723">
        <f t="shared" si="156"/>
        <v>1840</v>
      </c>
      <c r="C1723">
        <f t="shared" si="157"/>
        <v>119</v>
      </c>
      <c r="D1723" t="s">
        <v>473</v>
      </c>
      <c r="E1723" t="str">
        <f>D1722</f>
        <v>Jordan</v>
      </c>
      <c r="F1723">
        <v>2024</v>
      </c>
      <c r="G1723">
        <v>2</v>
      </c>
      <c r="H1723">
        <v>4.2</v>
      </c>
      <c r="I1723">
        <v>129</v>
      </c>
      <c r="J1723">
        <f>I1723-I1722</f>
        <v>-36</v>
      </c>
      <c r="K1723" t="str">
        <f t="shared" si="161"/>
        <v>L</v>
      </c>
      <c r="L1723" t="str">
        <f t="shared" si="158"/>
        <v>Grayson</v>
      </c>
      <c r="M1723" t="str">
        <f>VLOOKUP(L1723,References!$A$2:$B$16,2,FALSE)</f>
        <v>TEXAROK</v>
      </c>
      <c r="N1723" s="19" t="str">
        <f>IF(M1723=M1722,"N","Y")</f>
        <v>Y</v>
      </c>
      <c r="O1723">
        <f>SUM(I1722:I1723)</f>
        <v>294</v>
      </c>
      <c r="P1723">
        <f t="shared" si="160"/>
        <v>165</v>
      </c>
    </row>
    <row r="1724" spans="1:16" hidden="1" x14ac:dyDescent="0.3">
      <c r="A1724" t="str">
        <f t="shared" si="159"/>
        <v>2024BR2</v>
      </c>
      <c r="B1724">
        <f t="shared" si="156"/>
        <v>1810</v>
      </c>
      <c r="C1724">
        <f t="shared" si="157"/>
        <v>1173</v>
      </c>
      <c r="D1724" t="s">
        <v>25</v>
      </c>
      <c r="E1724" t="str">
        <f>D1725</f>
        <v>Watty</v>
      </c>
      <c r="F1724">
        <v>2024</v>
      </c>
      <c r="G1724">
        <v>2</v>
      </c>
      <c r="H1724">
        <v>5.0999999999999996</v>
      </c>
      <c r="I1724">
        <v>86</v>
      </c>
      <c r="J1724">
        <f>I1724-I1725</f>
        <v>-33</v>
      </c>
      <c r="K1724" t="str">
        <f t="shared" si="161"/>
        <v>L</v>
      </c>
      <c r="L1724" t="str">
        <f t="shared" si="158"/>
        <v>BR</v>
      </c>
      <c r="M1724" t="str">
        <f>VLOOKUP(L1724,References!$A$2:$B$16,2,FALSE)</f>
        <v>AKCOVA</v>
      </c>
      <c r="N1724" s="19" t="str">
        <f>IF(M1724=M1725,"N","Y")</f>
        <v>N</v>
      </c>
      <c r="O1724">
        <f>SUM(I1724:I1725)</f>
        <v>205</v>
      </c>
      <c r="P1724">
        <f t="shared" si="160"/>
        <v>119</v>
      </c>
    </row>
    <row r="1725" spans="1:16" hidden="1" x14ac:dyDescent="0.3">
      <c r="A1725" t="str">
        <f t="shared" si="159"/>
        <v>2024Watty2</v>
      </c>
      <c r="B1725">
        <f t="shared" si="156"/>
        <v>270</v>
      </c>
      <c r="C1725">
        <f t="shared" si="157"/>
        <v>248</v>
      </c>
      <c r="D1725" t="s">
        <v>24</v>
      </c>
      <c r="E1725" t="str">
        <f>D1724</f>
        <v>BR</v>
      </c>
      <c r="F1725">
        <v>2024</v>
      </c>
      <c r="G1725">
        <v>2</v>
      </c>
      <c r="H1725">
        <v>5.2</v>
      </c>
      <c r="I1725">
        <v>119</v>
      </c>
      <c r="J1725">
        <f>I1725-I1724</f>
        <v>33</v>
      </c>
      <c r="K1725" t="str">
        <f t="shared" si="161"/>
        <v>W</v>
      </c>
      <c r="L1725" t="str">
        <f t="shared" si="158"/>
        <v>Watty</v>
      </c>
      <c r="M1725" t="str">
        <f>VLOOKUP(L1725,References!$A$2:$B$16,2,FALSE)</f>
        <v>AKCOVA</v>
      </c>
      <c r="N1725" s="19" t="str">
        <f>IF(M1725=M1724,"N","Y")</f>
        <v>N</v>
      </c>
      <c r="O1725">
        <f>SUM(I1724:I1725)</f>
        <v>205</v>
      </c>
      <c r="P1725">
        <f t="shared" si="160"/>
        <v>86</v>
      </c>
    </row>
    <row r="1726" spans="1:16" hidden="1" x14ac:dyDescent="0.3">
      <c r="A1726" t="str">
        <f t="shared" si="159"/>
        <v>2024Arnold2</v>
      </c>
      <c r="B1726">
        <f t="shared" si="156"/>
        <v>1117</v>
      </c>
      <c r="C1726">
        <f t="shared" si="157"/>
        <v>678</v>
      </c>
      <c r="D1726" t="s">
        <v>227</v>
      </c>
      <c r="E1726" t="str">
        <f>D1727</f>
        <v>Charles</v>
      </c>
      <c r="F1726">
        <v>2024</v>
      </c>
      <c r="G1726">
        <v>2</v>
      </c>
      <c r="H1726">
        <v>6.1</v>
      </c>
      <c r="I1726">
        <v>100</v>
      </c>
      <c r="J1726">
        <f>I1726-I1727</f>
        <v>-3</v>
      </c>
      <c r="K1726" t="str">
        <f t="shared" si="161"/>
        <v>L</v>
      </c>
      <c r="L1726" t="str">
        <f t="shared" si="158"/>
        <v>Arnold</v>
      </c>
      <c r="M1726" t="str">
        <f>VLOOKUP(L1726,References!$A$2:$B$16,2,FALSE)</f>
        <v>AKCOVA</v>
      </c>
      <c r="N1726" s="19" t="str">
        <f>IF(M1726=M1727,"N","Y")</f>
        <v>N</v>
      </c>
      <c r="O1726">
        <f>SUM(I1726:I1727)</f>
        <v>203</v>
      </c>
      <c r="P1726">
        <f t="shared" si="160"/>
        <v>103</v>
      </c>
    </row>
    <row r="1727" spans="1:16" hidden="1" x14ac:dyDescent="0.3">
      <c r="A1727" t="str">
        <f t="shared" si="159"/>
        <v>2024Charles2</v>
      </c>
      <c r="B1727">
        <f t="shared" si="156"/>
        <v>949</v>
      </c>
      <c r="C1727">
        <f t="shared" si="157"/>
        <v>603</v>
      </c>
      <c r="D1727" t="s">
        <v>48</v>
      </c>
      <c r="E1727" t="str">
        <f>D1726</f>
        <v>Arnold</v>
      </c>
      <c r="F1727">
        <v>2024</v>
      </c>
      <c r="G1727">
        <v>2</v>
      </c>
      <c r="H1727">
        <v>6.2</v>
      </c>
      <c r="I1727">
        <v>103</v>
      </c>
      <c r="J1727">
        <f>I1727-I1726</f>
        <v>3</v>
      </c>
      <c r="K1727" t="str">
        <f t="shared" si="161"/>
        <v>W</v>
      </c>
      <c r="L1727" t="str">
        <f t="shared" si="158"/>
        <v>Charles</v>
      </c>
      <c r="M1727" t="str">
        <f>VLOOKUP(L1727,References!$A$2:$B$16,2,FALSE)</f>
        <v>AKCOVA</v>
      </c>
      <c r="N1727" s="19" t="str">
        <f>IF(M1727=M1726,"N","Y")</f>
        <v>N</v>
      </c>
      <c r="O1727">
        <f>SUM(I1726:I1727)</f>
        <v>203</v>
      </c>
      <c r="P1727">
        <f t="shared" si="160"/>
        <v>100</v>
      </c>
    </row>
    <row r="1728" spans="1:16" hidden="1" x14ac:dyDescent="0.3">
      <c r="A1728" t="str">
        <f t="shared" si="159"/>
        <v>2024Emily2</v>
      </c>
      <c r="B1728">
        <f t="shared" si="156"/>
        <v>758</v>
      </c>
      <c r="C1728">
        <f t="shared" si="157"/>
        <v>893</v>
      </c>
      <c r="D1728" t="s">
        <v>43</v>
      </c>
      <c r="E1728" t="str">
        <f>D1729</f>
        <v>Brian</v>
      </c>
      <c r="F1728">
        <v>2024</v>
      </c>
      <c r="G1728">
        <v>2</v>
      </c>
      <c r="H1728">
        <v>7.1</v>
      </c>
      <c r="I1728">
        <v>94</v>
      </c>
      <c r="J1728">
        <f>I1728-I1729</f>
        <v>10</v>
      </c>
      <c r="K1728" t="str">
        <f t="shared" si="161"/>
        <v>W</v>
      </c>
      <c r="L1728" t="str">
        <f t="shared" si="158"/>
        <v>Emily</v>
      </c>
      <c r="M1728" t="str">
        <f>VLOOKUP(L1728,References!$A$2:$B$16,2,FALSE)</f>
        <v>TEXAROK</v>
      </c>
      <c r="N1728" s="19" t="str">
        <f>IF(M1728=M1729,"N","Y")</f>
        <v>N</v>
      </c>
      <c r="O1728">
        <f>SUM(I1728:I1729)</f>
        <v>178</v>
      </c>
      <c r="P1728">
        <f t="shared" si="160"/>
        <v>84</v>
      </c>
    </row>
    <row r="1729" spans="1:16" hidden="1" x14ac:dyDescent="0.3">
      <c r="A1729" t="str">
        <f t="shared" si="159"/>
        <v>2024Brian2</v>
      </c>
      <c r="B1729">
        <f t="shared" si="156"/>
        <v>1312</v>
      </c>
      <c r="C1729">
        <f t="shared" si="157"/>
        <v>1241</v>
      </c>
      <c r="D1729" t="s">
        <v>26</v>
      </c>
      <c r="E1729" t="str">
        <f>D1728</f>
        <v>Emily</v>
      </c>
      <c r="F1729">
        <v>2024</v>
      </c>
      <c r="G1729">
        <v>2</v>
      </c>
      <c r="H1729">
        <v>7.2</v>
      </c>
      <c r="I1729">
        <v>84</v>
      </c>
      <c r="J1729">
        <f>I1729-I1728</f>
        <v>-10</v>
      </c>
      <c r="K1729" t="str">
        <f t="shared" si="161"/>
        <v>L</v>
      </c>
      <c r="L1729" t="str">
        <f t="shared" si="158"/>
        <v>Brian</v>
      </c>
      <c r="M1729" t="str">
        <f>VLOOKUP(L1729,References!$A$2:$B$16,2,FALSE)</f>
        <v>TEXAROK</v>
      </c>
      <c r="N1729" s="19" t="str">
        <f>IF(M1729=M1728,"N","Y")</f>
        <v>N</v>
      </c>
      <c r="O1729">
        <f>SUM(I1728:I1729)</f>
        <v>178</v>
      </c>
      <c r="P1729">
        <f t="shared" si="160"/>
        <v>94</v>
      </c>
    </row>
    <row r="1730" spans="1:16" hidden="1" x14ac:dyDescent="0.3">
      <c r="A1730" t="str">
        <f t="shared" si="159"/>
        <v>2024Mark3</v>
      </c>
      <c r="B1730">
        <f t="shared" ref="B1730:B1793" si="162">RANK(J1730,diff)</f>
        <v>2049</v>
      </c>
      <c r="C1730">
        <f t="shared" ref="C1730:C1793" si="163">RANK(I1730,points)</f>
        <v>1055</v>
      </c>
      <c r="D1730" t="s">
        <v>22</v>
      </c>
      <c r="E1730" t="str">
        <f>D1731</f>
        <v>Michael</v>
      </c>
      <c r="F1730">
        <v>2024</v>
      </c>
      <c r="G1730">
        <v>3</v>
      </c>
      <c r="H1730">
        <v>1.1000000000000001</v>
      </c>
      <c r="I1730">
        <v>89</v>
      </c>
      <c r="J1730">
        <f>I1730-I1731</f>
        <v>-63</v>
      </c>
      <c r="K1730" t="str">
        <f t="shared" si="161"/>
        <v>L</v>
      </c>
      <c r="L1730" t="str">
        <f t="shared" ref="L1730:L1793" si="164">D1730</f>
        <v>Mark</v>
      </c>
      <c r="M1730" t="str">
        <f>VLOOKUP(L1730,References!$A$2:$B$16,2,FALSE)</f>
        <v>AKCOVA</v>
      </c>
      <c r="N1730" s="19" t="str">
        <f>IF(M1730=M1731,"N","Y")</f>
        <v>N</v>
      </c>
      <c r="O1730">
        <f>SUM(I1730:I1731)</f>
        <v>241</v>
      </c>
      <c r="P1730">
        <f t="shared" si="160"/>
        <v>152</v>
      </c>
    </row>
    <row r="1731" spans="1:16" hidden="1" x14ac:dyDescent="0.3">
      <c r="A1731" t="str">
        <f t="shared" ref="A1731:A1794" si="165">F1731&amp;D1731&amp;G1731</f>
        <v>2024Michael3</v>
      </c>
      <c r="B1731">
        <f t="shared" si="162"/>
        <v>42</v>
      </c>
      <c r="C1731">
        <f t="shared" si="163"/>
        <v>21</v>
      </c>
      <c r="D1731" t="s">
        <v>23</v>
      </c>
      <c r="E1731" t="str">
        <f>D1730</f>
        <v>Mark</v>
      </c>
      <c r="F1731">
        <v>2024</v>
      </c>
      <c r="G1731">
        <v>3</v>
      </c>
      <c r="H1731">
        <v>1.2</v>
      </c>
      <c r="I1731">
        <v>152</v>
      </c>
      <c r="J1731">
        <f>I1731-I1730</f>
        <v>63</v>
      </c>
      <c r="K1731" t="str">
        <f t="shared" si="161"/>
        <v>W</v>
      </c>
      <c r="L1731" t="str">
        <f t="shared" si="164"/>
        <v>Michael</v>
      </c>
      <c r="M1731" t="str">
        <f>VLOOKUP(L1731,References!$A$2:$B$16,2,FALSE)</f>
        <v>AKCOVA</v>
      </c>
      <c r="N1731" s="19" t="str">
        <f>IF(M1731=M1730,"N","Y")</f>
        <v>N</v>
      </c>
      <c r="O1731">
        <f>SUM(I1730:I1731)</f>
        <v>241</v>
      </c>
      <c r="P1731">
        <f t="shared" ref="P1731:P1794" si="166">I1731-J1731</f>
        <v>89</v>
      </c>
    </row>
    <row r="1732" spans="1:16" hidden="1" x14ac:dyDescent="0.3">
      <c r="A1732" t="str">
        <f t="shared" si="165"/>
        <v>2024David3</v>
      </c>
      <c r="B1732">
        <f t="shared" si="162"/>
        <v>124</v>
      </c>
      <c r="C1732">
        <f t="shared" si="163"/>
        <v>89</v>
      </c>
      <c r="D1732" t="s">
        <v>29</v>
      </c>
      <c r="E1732" t="str">
        <f>D1733</f>
        <v>Brent</v>
      </c>
      <c r="F1732">
        <v>2024</v>
      </c>
      <c r="G1732">
        <v>3</v>
      </c>
      <c r="H1732">
        <v>2.1</v>
      </c>
      <c r="I1732">
        <v>133</v>
      </c>
      <c r="J1732">
        <f>I1732-I1733</f>
        <v>47</v>
      </c>
      <c r="K1732" t="str">
        <f t="shared" si="161"/>
        <v>W</v>
      </c>
      <c r="L1732" t="str">
        <f t="shared" si="164"/>
        <v>David</v>
      </c>
      <c r="M1732" t="str">
        <f>VLOOKUP(L1732,References!$A$2:$B$16,2,FALSE)</f>
        <v>TEXAROK</v>
      </c>
      <c r="N1732" s="19" t="str">
        <f>IF(M1732=M1733,"N","Y")</f>
        <v>N</v>
      </c>
      <c r="O1732">
        <f>SUM(I1732:I1733)</f>
        <v>219</v>
      </c>
      <c r="P1732">
        <f t="shared" si="166"/>
        <v>86</v>
      </c>
    </row>
    <row r="1733" spans="1:16" hidden="1" x14ac:dyDescent="0.3">
      <c r="A1733" t="str">
        <f t="shared" si="165"/>
        <v>2024Brent3</v>
      </c>
      <c r="B1733">
        <f t="shared" si="162"/>
        <v>1964</v>
      </c>
      <c r="C1733">
        <f t="shared" si="163"/>
        <v>1173</v>
      </c>
      <c r="D1733" t="s">
        <v>47</v>
      </c>
      <c r="E1733" t="str">
        <f>D1732</f>
        <v>David</v>
      </c>
      <c r="F1733">
        <v>2024</v>
      </c>
      <c r="G1733">
        <v>3</v>
      </c>
      <c r="H1733">
        <v>2.2000000000000002</v>
      </c>
      <c r="I1733">
        <v>86</v>
      </c>
      <c r="J1733">
        <f>I1733-I1732</f>
        <v>-47</v>
      </c>
      <c r="K1733" t="str">
        <f t="shared" si="161"/>
        <v>L</v>
      </c>
      <c r="L1733" t="str">
        <f t="shared" si="164"/>
        <v>Brent</v>
      </c>
      <c r="M1733" t="str">
        <f>VLOOKUP(L1733,References!$A$2:$B$16,2,FALSE)</f>
        <v>TEXAROK</v>
      </c>
      <c r="N1733" s="19" t="str">
        <f>IF(M1733=M1732,"N","Y")</f>
        <v>N</v>
      </c>
      <c r="O1733">
        <f>SUM(I1732:I1733)</f>
        <v>219</v>
      </c>
      <c r="P1733">
        <f t="shared" si="166"/>
        <v>133</v>
      </c>
    </row>
    <row r="1734" spans="1:16" hidden="1" x14ac:dyDescent="0.3">
      <c r="A1734" t="str">
        <f t="shared" si="165"/>
        <v>2024Watty3</v>
      </c>
      <c r="B1734">
        <f t="shared" si="162"/>
        <v>1625</v>
      </c>
      <c r="C1734">
        <f t="shared" si="163"/>
        <v>1365</v>
      </c>
      <c r="D1734" t="s">
        <v>24</v>
      </c>
      <c r="E1734" t="str">
        <f>D1735</f>
        <v>Emily</v>
      </c>
      <c r="F1734">
        <v>2024</v>
      </c>
      <c r="G1734">
        <v>3</v>
      </c>
      <c r="H1734">
        <v>3.1</v>
      </c>
      <c r="I1734">
        <v>81</v>
      </c>
      <c r="J1734">
        <f>I1734-I1735</f>
        <v>-23</v>
      </c>
      <c r="K1734" t="str">
        <f t="shared" ref="K1734:K1797" si="167">IF(J1734&gt;0,"W",IF(J1734&lt;0,"L","T"))</f>
        <v>L</v>
      </c>
      <c r="L1734" t="str">
        <f t="shared" si="164"/>
        <v>Watty</v>
      </c>
      <c r="M1734" t="str">
        <f>VLOOKUP(L1734,References!$A$2:$B$16,2,FALSE)</f>
        <v>AKCOVA</v>
      </c>
      <c r="N1734" s="19" t="str">
        <f>IF(M1734=M1735,"N","Y")</f>
        <v>Y</v>
      </c>
      <c r="O1734">
        <f>SUM(I1734:I1735)</f>
        <v>185</v>
      </c>
      <c r="P1734">
        <f t="shared" si="166"/>
        <v>104</v>
      </c>
    </row>
    <row r="1735" spans="1:16" hidden="1" x14ac:dyDescent="0.3">
      <c r="A1735" t="str">
        <f t="shared" si="165"/>
        <v>2024Emily3</v>
      </c>
      <c r="B1735">
        <f t="shared" si="162"/>
        <v>450</v>
      </c>
      <c r="C1735">
        <f t="shared" si="163"/>
        <v>566</v>
      </c>
      <c r="D1735" t="s">
        <v>43</v>
      </c>
      <c r="E1735" t="str">
        <f>D1734</f>
        <v>Watty</v>
      </c>
      <c r="F1735">
        <v>2024</v>
      </c>
      <c r="G1735">
        <v>3</v>
      </c>
      <c r="H1735">
        <v>3.2</v>
      </c>
      <c r="I1735">
        <v>104</v>
      </c>
      <c r="J1735">
        <f>I1735-I1734</f>
        <v>23</v>
      </c>
      <c r="K1735" t="str">
        <f t="shared" si="167"/>
        <v>W</v>
      </c>
      <c r="L1735" t="str">
        <f t="shared" si="164"/>
        <v>Emily</v>
      </c>
      <c r="M1735" t="str">
        <f>VLOOKUP(L1735,References!$A$2:$B$16,2,FALSE)</f>
        <v>TEXAROK</v>
      </c>
      <c r="N1735" s="19" t="str">
        <f>IF(M1735=M1734,"N","Y")</f>
        <v>Y</v>
      </c>
      <c r="O1735">
        <f>SUM(I1734:I1735)</f>
        <v>185</v>
      </c>
      <c r="P1735">
        <f t="shared" si="166"/>
        <v>81</v>
      </c>
    </row>
    <row r="1736" spans="1:16" hidden="1" x14ac:dyDescent="0.3">
      <c r="A1736" t="str">
        <f t="shared" si="165"/>
        <v>2024BR3</v>
      </c>
      <c r="B1736">
        <f t="shared" si="162"/>
        <v>469</v>
      </c>
      <c r="C1736">
        <f t="shared" si="163"/>
        <v>383</v>
      </c>
      <c r="D1736" t="s">
        <v>25</v>
      </c>
      <c r="E1736" t="str">
        <f>D1737</f>
        <v>Arnold</v>
      </c>
      <c r="F1736">
        <v>2024</v>
      </c>
      <c r="G1736">
        <v>3</v>
      </c>
      <c r="H1736">
        <v>4.0999999999999996</v>
      </c>
      <c r="I1736">
        <v>111</v>
      </c>
      <c r="J1736">
        <f>I1736-I1737</f>
        <v>22</v>
      </c>
      <c r="K1736" t="str">
        <f t="shared" si="167"/>
        <v>W</v>
      </c>
      <c r="L1736" t="str">
        <f t="shared" si="164"/>
        <v>BR</v>
      </c>
      <c r="M1736" t="str">
        <f>VLOOKUP(L1736,References!$A$2:$B$16,2,FALSE)</f>
        <v>AKCOVA</v>
      </c>
      <c r="N1736" s="19" t="str">
        <f>IF(M1736=M1737,"N","Y")</f>
        <v>N</v>
      </c>
      <c r="O1736">
        <f>SUM(I1736:I1737)</f>
        <v>200</v>
      </c>
      <c r="P1736">
        <f t="shared" si="166"/>
        <v>89</v>
      </c>
    </row>
    <row r="1737" spans="1:16" hidden="1" x14ac:dyDescent="0.3">
      <c r="A1737" t="str">
        <f t="shared" si="165"/>
        <v>2024Arnold3</v>
      </c>
      <c r="B1737">
        <f t="shared" si="162"/>
        <v>1605</v>
      </c>
      <c r="C1737">
        <f t="shared" si="163"/>
        <v>1055</v>
      </c>
      <c r="D1737" t="s">
        <v>227</v>
      </c>
      <c r="E1737" t="str">
        <f>D1736</f>
        <v>BR</v>
      </c>
      <c r="F1737">
        <v>2024</v>
      </c>
      <c r="G1737">
        <v>3</v>
      </c>
      <c r="H1737">
        <v>4.2</v>
      </c>
      <c r="I1737">
        <v>89</v>
      </c>
      <c r="J1737">
        <f>I1737-I1736</f>
        <v>-22</v>
      </c>
      <c r="K1737" t="str">
        <f t="shared" si="167"/>
        <v>L</v>
      </c>
      <c r="L1737" t="str">
        <f t="shared" si="164"/>
        <v>Arnold</v>
      </c>
      <c r="M1737" t="str">
        <f>VLOOKUP(L1737,References!$A$2:$B$16,2,FALSE)</f>
        <v>AKCOVA</v>
      </c>
      <c r="N1737" s="19" t="str">
        <f>IF(M1737=M1736,"N","Y")</f>
        <v>N</v>
      </c>
      <c r="O1737">
        <f>SUM(I1736:I1737)</f>
        <v>200</v>
      </c>
      <c r="P1737">
        <f t="shared" si="166"/>
        <v>111</v>
      </c>
    </row>
    <row r="1738" spans="1:16" hidden="1" x14ac:dyDescent="0.3">
      <c r="A1738" t="str">
        <f t="shared" si="165"/>
        <v>2024Brian3</v>
      </c>
      <c r="B1738">
        <f t="shared" si="162"/>
        <v>262</v>
      </c>
      <c r="C1738">
        <f t="shared" si="163"/>
        <v>305</v>
      </c>
      <c r="D1738" t="s">
        <v>26</v>
      </c>
      <c r="E1738" t="str">
        <f>D1739</f>
        <v>Jordan</v>
      </c>
      <c r="F1738">
        <v>2024</v>
      </c>
      <c r="G1738">
        <v>3</v>
      </c>
      <c r="H1738">
        <v>5.0999999999999996</v>
      </c>
      <c r="I1738">
        <v>115</v>
      </c>
      <c r="J1738">
        <f>I1738-I1739</f>
        <v>34</v>
      </c>
      <c r="K1738" t="str">
        <f t="shared" si="167"/>
        <v>W</v>
      </c>
      <c r="L1738" t="str">
        <f t="shared" si="164"/>
        <v>Brian</v>
      </c>
      <c r="M1738" t="str">
        <f>VLOOKUP(L1738,References!$A$2:$B$16,2,FALSE)</f>
        <v>TEXAROK</v>
      </c>
      <c r="N1738" s="19" t="str">
        <f>IF(M1738=M1739,"N","Y")</f>
        <v>Y</v>
      </c>
      <c r="O1738">
        <f>SUM(I1738:I1739)</f>
        <v>196</v>
      </c>
      <c r="P1738">
        <f t="shared" si="166"/>
        <v>81</v>
      </c>
    </row>
    <row r="1739" spans="1:16" hidden="1" x14ac:dyDescent="0.3">
      <c r="A1739" t="str">
        <f t="shared" si="165"/>
        <v>2024Jordan3</v>
      </c>
      <c r="B1739">
        <f t="shared" si="162"/>
        <v>1824</v>
      </c>
      <c r="C1739">
        <f t="shared" si="163"/>
        <v>1365</v>
      </c>
      <c r="D1739" t="s">
        <v>472</v>
      </c>
      <c r="E1739" t="str">
        <f>D1738</f>
        <v>Brian</v>
      </c>
      <c r="F1739">
        <v>2024</v>
      </c>
      <c r="G1739">
        <v>3</v>
      </c>
      <c r="H1739">
        <v>5.2</v>
      </c>
      <c r="I1739">
        <v>81</v>
      </c>
      <c r="J1739">
        <f>I1739-I1738</f>
        <v>-34</v>
      </c>
      <c r="K1739" t="str">
        <f t="shared" si="167"/>
        <v>L</v>
      </c>
      <c r="L1739" t="str">
        <f t="shared" si="164"/>
        <v>Jordan</v>
      </c>
      <c r="M1739" t="str">
        <f>VLOOKUP(L1739,References!$A$2:$B$16,2,FALSE)</f>
        <v>AKCOVA</v>
      </c>
      <c r="N1739" s="19" t="str">
        <f>IF(M1739=M1738,"N","Y")</f>
        <v>Y</v>
      </c>
      <c r="O1739">
        <f>SUM(I1738:I1739)</f>
        <v>196</v>
      </c>
      <c r="P1739">
        <f t="shared" si="166"/>
        <v>115</v>
      </c>
    </row>
    <row r="1740" spans="1:16" hidden="1" x14ac:dyDescent="0.3">
      <c r="A1740" t="str">
        <f t="shared" si="165"/>
        <v>2024Charles3</v>
      </c>
      <c r="B1740">
        <f t="shared" si="162"/>
        <v>517</v>
      </c>
      <c r="C1740">
        <f t="shared" si="163"/>
        <v>267</v>
      </c>
      <c r="D1740" t="s">
        <v>48</v>
      </c>
      <c r="E1740" t="str">
        <f>D1741</f>
        <v>Matt</v>
      </c>
      <c r="F1740">
        <v>2024</v>
      </c>
      <c r="G1740">
        <v>3</v>
      </c>
      <c r="H1740">
        <v>6.1</v>
      </c>
      <c r="I1740">
        <v>118</v>
      </c>
      <c r="J1740">
        <f>I1740-I1741</f>
        <v>20</v>
      </c>
      <c r="K1740" t="str">
        <f t="shared" si="167"/>
        <v>W</v>
      </c>
      <c r="L1740" t="str">
        <f t="shared" si="164"/>
        <v>Charles</v>
      </c>
      <c r="M1740" t="str">
        <f>VLOOKUP(L1740,References!$A$2:$B$16,2,FALSE)</f>
        <v>AKCOVA</v>
      </c>
      <c r="N1740" s="19" t="str">
        <f>IF(M1740=M1741,"N","Y")</f>
        <v>Y</v>
      </c>
      <c r="O1740">
        <f>SUM(I1740:I1741)</f>
        <v>216</v>
      </c>
      <c r="P1740">
        <f t="shared" si="166"/>
        <v>98</v>
      </c>
    </row>
    <row r="1741" spans="1:16" hidden="1" x14ac:dyDescent="0.3">
      <c r="A1741" t="str">
        <f t="shared" si="165"/>
        <v>2024Matt3</v>
      </c>
      <c r="B1741">
        <f t="shared" si="162"/>
        <v>1546</v>
      </c>
      <c r="C1741">
        <f t="shared" si="163"/>
        <v>746</v>
      </c>
      <c r="D1741" t="s">
        <v>30</v>
      </c>
      <c r="E1741" t="str">
        <f>D1740</f>
        <v>Charles</v>
      </c>
      <c r="F1741">
        <v>2024</v>
      </c>
      <c r="G1741">
        <v>3</v>
      </c>
      <c r="H1741">
        <v>6.2</v>
      </c>
      <c r="I1741">
        <v>98</v>
      </c>
      <c r="J1741">
        <f>I1741-I1740</f>
        <v>-20</v>
      </c>
      <c r="K1741" t="str">
        <f t="shared" si="167"/>
        <v>L</v>
      </c>
      <c r="L1741" t="str">
        <f t="shared" si="164"/>
        <v>Matt</v>
      </c>
      <c r="M1741" t="str">
        <f>VLOOKUP(L1741,References!$A$2:$B$16,2,FALSE)</f>
        <v>TEXAROK</v>
      </c>
      <c r="N1741" s="19" t="str">
        <f>IF(M1741=M1740,"N","Y")</f>
        <v>Y</v>
      </c>
      <c r="O1741">
        <f>SUM(I1740:I1741)</f>
        <v>216</v>
      </c>
      <c r="P1741">
        <f t="shared" si="166"/>
        <v>118</v>
      </c>
    </row>
    <row r="1742" spans="1:16" hidden="1" x14ac:dyDescent="0.3">
      <c r="A1742" t="str">
        <f t="shared" si="165"/>
        <v>2024Grayson3</v>
      </c>
      <c r="B1742">
        <f t="shared" si="162"/>
        <v>1952</v>
      </c>
      <c r="C1742">
        <f t="shared" si="163"/>
        <v>1318</v>
      </c>
      <c r="D1742" t="s">
        <v>473</v>
      </c>
      <c r="E1742" t="str">
        <f>D1743</f>
        <v>Russell</v>
      </c>
      <c r="F1742">
        <v>2024</v>
      </c>
      <c r="G1742">
        <v>3</v>
      </c>
      <c r="H1742">
        <v>7.1</v>
      </c>
      <c r="I1742">
        <v>82</v>
      </c>
      <c r="J1742">
        <f>I1742-I1743</f>
        <v>-46</v>
      </c>
      <c r="K1742" t="str">
        <f t="shared" si="167"/>
        <v>L</v>
      </c>
      <c r="L1742" t="str">
        <f t="shared" si="164"/>
        <v>Grayson</v>
      </c>
      <c r="M1742" t="str">
        <f>VLOOKUP(L1742,References!$A$2:$B$16,2,FALSE)</f>
        <v>TEXAROK</v>
      </c>
      <c r="N1742" s="19" t="str">
        <f>IF(M1742=M1743,"N","Y")</f>
        <v>N</v>
      </c>
      <c r="O1742">
        <f>SUM(I1742:I1743)</f>
        <v>210</v>
      </c>
      <c r="P1742">
        <f t="shared" si="166"/>
        <v>128</v>
      </c>
    </row>
    <row r="1743" spans="1:16" hidden="1" x14ac:dyDescent="0.3">
      <c r="A1743" t="str">
        <f t="shared" si="165"/>
        <v>2024Russell3</v>
      </c>
      <c r="B1743">
        <f t="shared" si="162"/>
        <v>130</v>
      </c>
      <c r="C1743">
        <f t="shared" si="163"/>
        <v>128</v>
      </c>
      <c r="D1743" t="s">
        <v>28</v>
      </c>
      <c r="E1743" t="str">
        <f>D1742</f>
        <v>Grayson</v>
      </c>
      <c r="F1743">
        <v>2024</v>
      </c>
      <c r="G1743">
        <v>3</v>
      </c>
      <c r="H1743">
        <v>7.2</v>
      </c>
      <c r="I1743">
        <v>128</v>
      </c>
      <c r="J1743">
        <f>I1743-I1742</f>
        <v>46</v>
      </c>
      <c r="K1743" t="str">
        <f t="shared" si="167"/>
        <v>W</v>
      </c>
      <c r="L1743" t="str">
        <f t="shared" si="164"/>
        <v>Russell</v>
      </c>
      <c r="M1743" t="str">
        <f>VLOOKUP(L1743,References!$A$2:$B$16,2,FALSE)</f>
        <v>TEXAROK</v>
      </c>
      <c r="N1743" s="19" t="str">
        <f>IF(M1743=M1742,"N","Y")</f>
        <v>N</v>
      </c>
      <c r="O1743">
        <f>SUM(I1742:I1743)</f>
        <v>210</v>
      </c>
      <c r="P1743">
        <f t="shared" si="166"/>
        <v>82</v>
      </c>
    </row>
    <row r="1744" spans="1:16" hidden="1" x14ac:dyDescent="0.3">
      <c r="A1744" t="str">
        <f t="shared" si="165"/>
        <v>2024Michael4</v>
      </c>
      <c r="B1744">
        <f t="shared" si="162"/>
        <v>297</v>
      </c>
      <c r="C1744">
        <f t="shared" si="163"/>
        <v>34</v>
      </c>
      <c r="D1744" t="s">
        <v>23</v>
      </c>
      <c r="E1744" t="str">
        <f>D1745</f>
        <v>Grayson</v>
      </c>
      <c r="F1744">
        <v>2024</v>
      </c>
      <c r="G1744">
        <v>4</v>
      </c>
      <c r="H1744">
        <v>1.1000000000000001</v>
      </c>
      <c r="I1744">
        <v>146</v>
      </c>
      <c r="J1744">
        <f>I1744-I1745</f>
        <v>31</v>
      </c>
      <c r="K1744" t="str">
        <f t="shared" si="167"/>
        <v>W</v>
      </c>
      <c r="L1744" t="str">
        <f t="shared" si="164"/>
        <v>Michael</v>
      </c>
      <c r="M1744" t="str">
        <f>VLOOKUP(L1744,References!$A$2:$B$16,2,FALSE)</f>
        <v>AKCOVA</v>
      </c>
      <c r="N1744" s="19" t="str">
        <f>IF(M1744=M1745,"N","Y")</f>
        <v>Y</v>
      </c>
      <c r="O1744">
        <f>SUM(I1744:I1745)</f>
        <v>261</v>
      </c>
      <c r="P1744">
        <f t="shared" si="166"/>
        <v>115</v>
      </c>
    </row>
    <row r="1745" spans="1:16" hidden="1" x14ac:dyDescent="0.3">
      <c r="A1745" t="str">
        <f t="shared" si="165"/>
        <v>2024Grayson4</v>
      </c>
      <c r="B1745">
        <f t="shared" si="162"/>
        <v>1775</v>
      </c>
      <c r="C1745">
        <f t="shared" si="163"/>
        <v>305</v>
      </c>
      <c r="D1745" t="s">
        <v>473</v>
      </c>
      <c r="E1745" t="str">
        <f>D1744</f>
        <v>Michael</v>
      </c>
      <c r="F1745">
        <v>2024</v>
      </c>
      <c r="G1745">
        <v>4</v>
      </c>
      <c r="H1745">
        <v>1.2</v>
      </c>
      <c r="I1745">
        <v>115</v>
      </c>
      <c r="J1745">
        <f>I1745-I1744</f>
        <v>-31</v>
      </c>
      <c r="K1745" t="str">
        <f t="shared" si="167"/>
        <v>L</v>
      </c>
      <c r="L1745" t="str">
        <f t="shared" si="164"/>
        <v>Grayson</v>
      </c>
      <c r="M1745" t="str">
        <f>VLOOKUP(L1745,References!$A$2:$B$16,2,FALSE)</f>
        <v>TEXAROK</v>
      </c>
      <c r="N1745" s="19" t="str">
        <f>IF(M1745=M1744,"N","Y")</f>
        <v>Y</v>
      </c>
      <c r="O1745">
        <f>SUM(I1744:I1745)</f>
        <v>261</v>
      </c>
      <c r="P1745">
        <f t="shared" si="166"/>
        <v>146</v>
      </c>
    </row>
    <row r="1746" spans="1:16" hidden="1" x14ac:dyDescent="0.3">
      <c r="A1746" t="str">
        <f t="shared" si="165"/>
        <v>2024Russell4</v>
      </c>
      <c r="B1746">
        <f t="shared" si="162"/>
        <v>713</v>
      </c>
      <c r="C1746">
        <f t="shared" si="163"/>
        <v>1406</v>
      </c>
      <c r="D1746" t="s">
        <v>28</v>
      </c>
      <c r="E1746" t="str">
        <f>D1747</f>
        <v>Brian</v>
      </c>
      <c r="F1746">
        <v>2024</v>
      </c>
      <c r="G1746">
        <v>4</v>
      </c>
      <c r="H1746">
        <v>2.1</v>
      </c>
      <c r="I1746">
        <v>80</v>
      </c>
      <c r="J1746">
        <f>I1746-I1747</f>
        <v>12</v>
      </c>
      <c r="K1746" t="str">
        <f t="shared" si="167"/>
        <v>W</v>
      </c>
      <c r="L1746" t="str">
        <f t="shared" si="164"/>
        <v>Russell</v>
      </c>
      <c r="M1746" t="str">
        <f>VLOOKUP(L1746,References!$A$2:$B$16,2,FALSE)</f>
        <v>TEXAROK</v>
      </c>
      <c r="N1746" s="19" t="str">
        <f>IF(M1746=M1747,"N","Y")</f>
        <v>N</v>
      </c>
      <c r="O1746">
        <f>SUM(I1746:I1747)</f>
        <v>148</v>
      </c>
      <c r="P1746">
        <f t="shared" si="166"/>
        <v>68</v>
      </c>
    </row>
    <row r="1747" spans="1:16" hidden="1" x14ac:dyDescent="0.3">
      <c r="A1747" t="str">
        <f t="shared" si="165"/>
        <v>2024Brian4</v>
      </c>
      <c r="B1747">
        <f t="shared" si="162"/>
        <v>1357</v>
      </c>
      <c r="C1747">
        <f t="shared" si="163"/>
        <v>1793</v>
      </c>
      <c r="D1747" t="s">
        <v>26</v>
      </c>
      <c r="E1747" t="str">
        <f>D1746</f>
        <v>Russell</v>
      </c>
      <c r="F1747">
        <v>2024</v>
      </c>
      <c r="G1747">
        <v>4</v>
      </c>
      <c r="H1747">
        <v>2.2000000000000002</v>
      </c>
      <c r="I1747">
        <v>68</v>
      </c>
      <c r="J1747">
        <f>I1747-I1746</f>
        <v>-12</v>
      </c>
      <c r="K1747" t="str">
        <f t="shared" si="167"/>
        <v>L</v>
      </c>
      <c r="L1747" t="str">
        <f t="shared" si="164"/>
        <v>Brian</v>
      </c>
      <c r="M1747" t="str">
        <f>VLOOKUP(L1747,References!$A$2:$B$16,2,FALSE)</f>
        <v>TEXAROK</v>
      </c>
      <c r="N1747" s="19" t="str">
        <f>IF(M1747=M1746,"N","Y")</f>
        <v>N</v>
      </c>
      <c r="O1747">
        <f>SUM(I1746:I1747)</f>
        <v>148</v>
      </c>
      <c r="P1747">
        <f t="shared" si="166"/>
        <v>80</v>
      </c>
    </row>
    <row r="1748" spans="1:16" hidden="1" x14ac:dyDescent="0.3">
      <c r="A1748" t="str">
        <f t="shared" si="165"/>
        <v>2024Arnold4</v>
      </c>
      <c r="B1748">
        <f t="shared" si="162"/>
        <v>713</v>
      </c>
      <c r="C1748">
        <f t="shared" si="163"/>
        <v>631</v>
      </c>
      <c r="D1748" t="s">
        <v>227</v>
      </c>
      <c r="E1748" t="str">
        <f>D1749</f>
        <v>Watty</v>
      </c>
      <c r="F1748">
        <v>2024</v>
      </c>
      <c r="G1748">
        <v>4</v>
      </c>
      <c r="H1748">
        <v>3.1</v>
      </c>
      <c r="I1748">
        <v>102</v>
      </c>
      <c r="J1748">
        <f>I1748-I1749</f>
        <v>12</v>
      </c>
      <c r="K1748" t="str">
        <f t="shared" si="167"/>
        <v>W</v>
      </c>
      <c r="L1748" t="str">
        <f t="shared" si="164"/>
        <v>Arnold</v>
      </c>
      <c r="M1748" t="str">
        <f>VLOOKUP(L1748,References!$A$2:$B$16,2,FALSE)</f>
        <v>AKCOVA</v>
      </c>
      <c r="N1748" s="19" t="str">
        <f>IF(M1748=M1749,"N","Y")</f>
        <v>N</v>
      </c>
      <c r="O1748">
        <f>SUM(I1748:I1749)</f>
        <v>192</v>
      </c>
      <c r="P1748">
        <f t="shared" si="166"/>
        <v>90</v>
      </c>
    </row>
    <row r="1749" spans="1:16" hidden="1" x14ac:dyDescent="0.3">
      <c r="A1749" t="str">
        <f t="shared" si="165"/>
        <v>2024Watty4</v>
      </c>
      <c r="B1749">
        <f t="shared" si="162"/>
        <v>1357</v>
      </c>
      <c r="C1749">
        <f t="shared" si="163"/>
        <v>1027</v>
      </c>
      <c r="D1749" t="s">
        <v>24</v>
      </c>
      <c r="E1749" t="str">
        <f>D1748</f>
        <v>Arnold</v>
      </c>
      <c r="F1749">
        <v>2024</v>
      </c>
      <c r="G1749">
        <v>4</v>
      </c>
      <c r="H1749">
        <v>3.2</v>
      </c>
      <c r="I1749">
        <v>90</v>
      </c>
      <c r="J1749">
        <f>I1749-I1748</f>
        <v>-12</v>
      </c>
      <c r="K1749" t="str">
        <f t="shared" si="167"/>
        <v>L</v>
      </c>
      <c r="L1749" t="str">
        <f t="shared" si="164"/>
        <v>Watty</v>
      </c>
      <c r="M1749" t="str">
        <f>VLOOKUP(L1749,References!$A$2:$B$16,2,FALSE)</f>
        <v>AKCOVA</v>
      </c>
      <c r="N1749" s="19" t="str">
        <f>IF(M1749=M1748,"N","Y")</f>
        <v>N</v>
      </c>
      <c r="O1749">
        <f>SUM(I1748:I1749)</f>
        <v>192</v>
      </c>
      <c r="P1749">
        <f t="shared" si="166"/>
        <v>102</v>
      </c>
    </row>
    <row r="1750" spans="1:16" hidden="1" x14ac:dyDescent="0.3">
      <c r="A1750" t="str">
        <f t="shared" si="165"/>
        <v>2024Matt4</v>
      </c>
      <c r="B1750">
        <f t="shared" si="162"/>
        <v>1775</v>
      </c>
      <c r="C1750">
        <f t="shared" si="163"/>
        <v>248</v>
      </c>
      <c r="D1750" t="s">
        <v>30</v>
      </c>
      <c r="E1750" t="str">
        <f>D1751</f>
        <v>BR</v>
      </c>
      <c r="F1750">
        <v>2024</v>
      </c>
      <c r="G1750">
        <v>4</v>
      </c>
      <c r="H1750">
        <v>4.0999999999999996</v>
      </c>
      <c r="I1750">
        <v>119</v>
      </c>
      <c r="J1750">
        <f>I1750-I1751</f>
        <v>-31</v>
      </c>
      <c r="K1750" t="str">
        <f t="shared" si="167"/>
        <v>L</v>
      </c>
      <c r="L1750" t="str">
        <f t="shared" si="164"/>
        <v>Matt</v>
      </c>
      <c r="M1750" t="str">
        <f>VLOOKUP(L1750,References!$A$2:$B$16,2,FALSE)</f>
        <v>TEXAROK</v>
      </c>
      <c r="N1750" s="19" t="str">
        <f>IF(M1750=M1751,"N","Y")</f>
        <v>Y</v>
      </c>
      <c r="O1750">
        <f>SUM(I1750:I1751)</f>
        <v>269</v>
      </c>
      <c r="P1750">
        <f t="shared" si="166"/>
        <v>150</v>
      </c>
    </row>
    <row r="1751" spans="1:16" hidden="1" x14ac:dyDescent="0.3">
      <c r="A1751" t="str">
        <f t="shared" si="165"/>
        <v>2024BR4</v>
      </c>
      <c r="B1751">
        <f t="shared" si="162"/>
        <v>297</v>
      </c>
      <c r="C1751">
        <f t="shared" si="163"/>
        <v>26</v>
      </c>
      <c r="D1751" t="s">
        <v>25</v>
      </c>
      <c r="E1751" t="str">
        <f>D1750</f>
        <v>Matt</v>
      </c>
      <c r="F1751">
        <v>2024</v>
      </c>
      <c r="G1751">
        <v>4</v>
      </c>
      <c r="H1751">
        <v>4.2</v>
      </c>
      <c r="I1751">
        <v>150</v>
      </c>
      <c r="J1751">
        <f>I1751-I1750</f>
        <v>31</v>
      </c>
      <c r="K1751" t="str">
        <f t="shared" si="167"/>
        <v>W</v>
      </c>
      <c r="L1751" t="str">
        <f t="shared" si="164"/>
        <v>BR</v>
      </c>
      <c r="M1751" t="str">
        <f>VLOOKUP(L1751,References!$A$2:$B$16,2,FALSE)</f>
        <v>AKCOVA</v>
      </c>
      <c r="N1751" s="19" t="str">
        <f>IF(M1751=M1750,"N","Y")</f>
        <v>Y</v>
      </c>
      <c r="O1751">
        <f>SUM(I1750:I1751)</f>
        <v>269</v>
      </c>
      <c r="P1751">
        <f t="shared" si="166"/>
        <v>119</v>
      </c>
    </row>
    <row r="1752" spans="1:16" hidden="1" x14ac:dyDescent="0.3">
      <c r="A1752" t="str">
        <f t="shared" si="165"/>
        <v>2024Charles4</v>
      </c>
      <c r="B1752">
        <f t="shared" si="162"/>
        <v>1090</v>
      </c>
      <c r="C1752">
        <f t="shared" si="163"/>
        <v>364</v>
      </c>
      <c r="D1752" t="s">
        <v>48</v>
      </c>
      <c r="E1752" t="str">
        <f>D1753</f>
        <v>David</v>
      </c>
      <c r="F1752">
        <v>2024</v>
      </c>
      <c r="G1752">
        <v>4</v>
      </c>
      <c r="H1752">
        <v>5.0999999999999996</v>
      </c>
      <c r="I1752">
        <v>112</v>
      </c>
      <c r="J1752">
        <f>I1752-I1753</f>
        <v>-2</v>
      </c>
      <c r="K1752" t="str">
        <f t="shared" si="167"/>
        <v>L</v>
      </c>
      <c r="L1752" t="str">
        <f t="shared" si="164"/>
        <v>Charles</v>
      </c>
      <c r="M1752" t="str">
        <f>VLOOKUP(L1752,References!$A$2:$B$16,2,FALSE)</f>
        <v>AKCOVA</v>
      </c>
      <c r="N1752" s="19" t="str">
        <f>IF(M1752=M1753,"N","Y")</f>
        <v>Y</v>
      </c>
      <c r="O1752">
        <f>SUM(I1752:I1753)</f>
        <v>226</v>
      </c>
      <c r="P1752">
        <f t="shared" si="166"/>
        <v>114</v>
      </c>
    </row>
    <row r="1753" spans="1:16" hidden="1" x14ac:dyDescent="0.3">
      <c r="A1753" t="str">
        <f t="shared" si="165"/>
        <v>2024David4</v>
      </c>
      <c r="B1753">
        <f t="shared" si="162"/>
        <v>977</v>
      </c>
      <c r="C1753">
        <f t="shared" si="163"/>
        <v>321</v>
      </c>
      <c r="D1753" t="s">
        <v>29</v>
      </c>
      <c r="E1753" t="str">
        <f>D1752</f>
        <v>Charles</v>
      </c>
      <c r="F1753">
        <v>2024</v>
      </c>
      <c r="G1753">
        <v>4</v>
      </c>
      <c r="H1753">
        <v>5.2</v>
      </c>
      <c r="I1753">
        <v>114</v>
      </c>
      <c r="J1753">
        <f>I1753-I1752</f>
        <v>2</v>
      </c>
      <c r="K1753" t="str">
        <f t="shared" si="167"/>
        <v>W</v>
      </c>
      <c r="L1753" t="str">
        <f t="shared" si="164"/>
        <v>David</v>
      </c>
      <c r="M1753" t="str">
        <f>VLOOKUP(L1753,References!$A$2:$B$16,2,FALSE)</f>
        <v>TEXAROK</v>
      </c>
      <c r="N1753" s="19" t="str">
        <f>IF(M1753=M1752,"N","Y")</f>
        <v>Y</v>
      </c>
      <c r="O1753">
        <f>SUM(I1752:I1753)</f>
        <v>226</v>
      </c>
      <c r="P1753">
        <f t="shared" si="166"/>
        <v>112</v>
      </c>
    </row>
    <row r="1754" spans="1:16" hidden="1" x14ac:dyDescent="0.3">
      <c r="A1754" t="str">
        <f t="shared" si="165"/>
        <v>2024Brent4</v>
      </c>
      <c r="B1754">
        <f t="shared" si="162"/>
        <v>917</v>
      </c>
      <c r="C1754">
        <f t="shared" si="163"/>
        <v>292</v>
      </c>
      <c r="D1754" t="s">
        <v>47</v>
      </c>
      <c r="E1754" t="str">
        <f>D1755</f>
        <v>Mark</v>
      </c>
      <c r="F1754">
        <v>2024</v>
      </c>
      <c r="G1754">
        <v>4</v>
      </c>
      <c r="H1754">
        <v>6.1</v>
      </c>
      <c r="I1754">
        <v>116</v>
      </c>
      <c r="J1754">
        <f>I1754-I1755</f>
        <v>4</v>
      </c>
      <c r="K1754" t="str">
        <f t="shared" si="167"/>
        <v>W</v>
      </c>
      <c r="L1754" t="str">
        <f t="shared" si="164"/>
        <v>Brent</v>
      </c>
      <c r="M1754" t="str">
        <f>VLOOKUP(L1754,References!$A$2:$B$16,2,FALSE)</f>
        <v>TEXAROK</v>
      </c>
      <c r="N1754" s="19" t="str">
        <f>IF(M1754=M1755,"N","Y")</f>
        <v>Y</v>
      </c>
      <c r="O1754">
        <f>SUM(I1754:I1755)</f>
        <v>228</v>
      </c>
      <c r="P1754">
        <f t="shared" si="166"/>
        <v>112</v>
      </c>
    </row>
    <row r="1755" spans="1:16" hidden="1" x14ac:dyDescent="0.3">
      <c r="A1755" t="str">
        <f t="shared" si="165"/>
        <v>2024Mark4</v>
      </c>
      <c r="B1755">
        <f t="shared" si="162"/>
        <v>1145</v>
      </c>
      <c r="C1755">
        <f t="shared" si="163"/>
        <v>364</v>
      </c>
      <c r="D1755" t="s">
        <v>22</v>
      </c>
      <c r="E1755" t="str">
        <f>D1754</f>
        <v>Brent</v>
      </c>
      <c r="F1755">
        <v>2024</v>
      </c>
      <c r="G1755">
        <v>4</v>
      </c>
      <c r="H1755">
        <v>6.2</v>
      </c>
      <c r="I1755">
        <v>112</v>
      </c>
      <c r="J1755">
        <f>I1755-I1754</f>
        <v>-4</v>
      </c>
      <c r="K1755" t="str">
        <f t="shared" si="167"/>
        <v>L</v>
      </c>
      <c r="L1755" t="str">
        <f t="shared" si="164"/>
        <v>Mark</v>
      </c>
      <c r="M1755" t="str">
        <f>VLOOKUP(L1755,References!$A$2:$B$16,2,FALSE)</f>
        <v>AKCOVA</v>
      </c>
      <c r="N1755" s="19" t="str">
        <f>IF(M1755=M1754,"N","Y")</f>
        <v>Y</v>
      </c>
      <c r="O1755">
        <f>SUM(I1754:I1755)</f>
        <v>228</v>
      </c>
      <c r="P1755">
        <f t="shared" si="166"/>
        <v>116</v>
      </c>
    </row>
    <row r="1756" spans="1:16" hidden="1" x14ac:dyDescent="0.3">
      <c r="A1756" t="str">
        <f t="shared" si="165"/>
        <v>2024Jordan4</v>
      </c>
      <c r="B1756">
        <f t="shared" si="162"/>
        <v>371</v>
      </c>
      <c r="C1756">
        <f t="shared" si="163"/>
        <v>173</v>
      </c>
      <c r="D1756" t="s">
        <v>472</v>
      </c>
      <c r="E1756" t="str">
        <f>D1757</f>
        <v>Emily</v>
      </c>
      <c r="F1756">
        <v>2024</v>
      </c>
      <c r="G1756">
        <v>4</v>
      </c>
      <c r="H1756">
        <v>7.1</v>
      </c>
      <c r="I1756">
        <v>124</v>
      </c>
      <c r="J1756">
        <f>I1756-I1757</f>
        <v>27</v>
      </c>
      <c r="K1756" t="str">
        <f t="shared" si="167"/>
        <v>W</v>
      </c>
      <c r="L1756" t="str">
        <f t="shared" si="164"/>
        <v>Jordan</v>
      </c>
      <c r="M1756" t="str">
        <f>VLOOKUP(L1756,References!$A$2:$B$16,2,FALSE)</f>
        <v>AKCOVA</v>
      </c>
      <c r="N1756" s="19" t="str">
        <f>IF(M1756=M1757,"N","Y")</f>
        <v>Y</v>
      </c>
      <c r="O1756">
        <f>SUM(I1756:I1757)</f>
        <v>221</v>
      </c>
      <c r="P1756">
        <f t="shared" si="166"/>
        <v>97</v>
      </c>
    </row>
    <row r="1757" spans="1:16" hidden="1" x14ac:dyDescent="0.3">
      <c r="A1757" t="str">
        <f t="shared" si="165"/>
        <v>2024Emily4</v>
      </c>
      <c r="B1757">
        <f t="shared" si="162"/>
        <v>1702</v>
      </c>
      <c r="C1757">
        <f t="shared" si="163"/>
        <v>777</v>
      </c>
      <c r="D1757" t="s">
        <v>43</v>
      </c>
      <c r="E1757" t="str">
        <f>D1756</f>
        <v>Jordan</v>
      </c>
      <c r="F1757">
        <v>2024</v>
      </c>
      <c r="G1757">
        <v>4</v>
      </c>
      <c r="H1757">
        <v>7.2</v>
      </c>
      <c r="I1757">
        <v>97</v>
      </c>
      <c r="J1757">
        <f>I1757-I1756</f>
        <v>-27</v>
      </c>
      <c r="K1757" t="str">
        <f t="shared" si="167"/>
        <v>L</v>
      </c>
      <c r="L1757" t="str">
        <f t="shared" si="164"/>
        <v>Emily</v>
      </c>
      <c r="M1757" t="str">
        <f>VLOOKUP(L1757,References!$A$2:$B$16,2,FALSE)</f>
        <v>TEXAROK</v>
      </c>
      <c r="N1757" s="19" t="str">
        <f>IF(M1757=M1756,"N","Y")</f>
        <v>Y</v>
      </c>
      <c r="O1757">
        <f>SUM(I1756:I1757)</f>
        <v>221</v>
      </c>
      <c r="P1757">
        <f t="shared" si="166"/>
        <v>124</v>
      </c>
    </row>
    <row r="1758" spans="1:16" hidden="1" x14ac:dyDescent="0.3">
      <c r="A1758" t="str">
        <f t="shared" si="165"/>
        <v>2024Brian5</v>
      </c>
      <c r="B1758">
        <f t="shared" si="162"/>
        <v>865</v>
      </c>
      <c r="C1758">
        <f t="shared" si="163"/>
        <v>777</v>
      </c>
      <c r="D1758" t="s">
        <v>26</v>
      </c>
      <c r="E1758" t="str">
        <f>D1759</f>
        <v>Michael</v>
      </c>
      <c r="F1758">
        <v>2024</v>
      </c>
      <c r="G1758">
        <v>5</v>
      </c>
      <c r="H1758">
        <v>1.1000000000000001</v>
      </c>
      <c r="I1758">
        <v>97</v>
      </c>
      <c r="J1758">
        <f>I1758-I1759</f>
        <v>6</v>
      </c>
      <c r="K1758" t="str">
        <f t="shared" si="167"/>
        <v>W</v>
      </c>
      <c r="L1758" t="str">
        <f t="shared" si="164"/>
        <v>Brian</v>
      </c>
      <c r="M1758" t="str">
        <f>VLOOKUP(L1758,References!$A$2:$B$16,2,FALSE)</f>
        <v>TEXAROK</v>
      </c>
      <c r="N1758" s="19" t="str">
        <f>IF(M1758=M1759,"N","Y")</f>
        <v>Y</v>
      </c>
      <c r="O1758">
        <f>SUM(I1758:I1759)</f>
        <v>188</v>
      </c>
      <c r="P1758">
        <f t="shared" si="166"/>
        <v>91</v>
      </c>
    </row>
    <row r="1759" spans="1:16" hidden="1" x14ac:dyDescent="0.3">
      <c r="A1759" t="str">
        <f t="shared" si="165"/>
        <v>2024Michael5</v>
      </c>
      <c r="B1759">
        <f t="shared" si="162"/>
        <v>1197</v>
      </c>
      <c r="C1759">
        <f t="shared" si="163"/>
        <v>992</v>
      </c>
      <c r="D1759" t="s">
        <v>23</v>
      </c>
      <c r="E1759" t="str">
        <f>D1758</f>
        <v>Brian</v>
      </c>
      <c r="F1759">
        <v>2024</v>
      </c>
      <c r="G1759">
        <v>5</v>
      </c>
      <c r="H1759">
        <v>1.2</v>
      </c>
      <c r="I1759">
        <v>91</v>
      </c>
      <c r="J1759">
        <f>I1759-I1758</f>
        <v>-6</v>
      </c>
      <c r="K1759" t="str">
        <f t="shared" si="167"/>
        <v>L</v>
      </c>
      <c r="L1759" t="str">
        <f t="shared" si="164"/>
        <v>Michael</v>
      </c>
      <c r="M1759" t="str">
        <f>VLOOKUP(L1759,References!$A$2:$B$16,2,FALSE)</f>
        <v>AKCOVA</v>
      </c>
      <c r="N1759" s="19" t="str">
        <f>IF(M1759=M1758,"N","Y")</f>
        <v>Y</v>
      </c>
      <c r="O1759">
        <f>SUM(I1758:I1759)</f>
        <v>188</v>
      </c>
      <c r="P1759">
        <f t="shared" si="166"/>
        <v>97</v>
      </c>
    </row>
    <row r="1760" spans="1:16" hidden="1" x14ac:dyDescent="0.3">
      <c r="A1760" t="str">
        <f t="shared" si="165"/>
        <v>2024Emily5</v>
      </c>
      <c r="B1760">
        <f t="shared" si="162"/>
        <v>836</v>
      </c>
      <c r="C1760">
        <f t="shared" si="163"/>
        <v>540</v>
      </c>
      <c r="D1760" t="s">
        <v>43</v>
      </c>
      <c r="E1760" t="str">
        <f>D1761</f>
        <v>Russell</v>
      </c>
      <c r="F1760">
        <v>2024</v>
      </c>
      <c r="G1760">
        <v>5</v>
      </c>
      <c r="H1760">
        <v>2.1</v>
      </c>
      <c r="I1760">
        <v>105</v>
      </c>
      <c r="J1760">
        <f>I1760-I1761</f>
        <v>7</v>
      </c>
      <c r="K1760" t="str">
        <f t="shared" si="167"/>
        <v>W</v>
      </c>
      <c r="L1760" t="str">
        <f t="shared" si="164"/>
        <v>Emily</v>
      </c>
      <c r="M1760" t="str">
        <f>VLOOKUP(L1760,References!$A$2:$B$16,2,FALSE)</f>
        <v>TEXAROK</v>
      </c>
      <c r="N1760" s="19" t="str">
        <f>IF(M1760=M1761,"N","Y")</f>
        <v>N</v>
      </c>
      <c r="O1760">
        <f>SUM(I1760:I1761)</f>
        <v>203</v>
      </c>
      <c r="P1760">
        <f t="shared" si="166"/>
        <v>98</v>
      </c>
    </row>
    <row r="1761" spans="1:16" hidden="1" x14ac:dyDescent="0.3">
      <c r="A1761" t="str">
        <f t="shared" si="165"/>
        <v>2024Russell5</v>
      </c>
      <c r="B1761">
        <f t="shared" si="162"/>
        <v>1229</v>
      </c>
      <c r="C1761">
        <f t="shared" si="163"/>
        <v>746</v>
      </c>
      <c r="D1761" t="s">
        <v>28</v>
      </c>
      <c r="E1761" t="str">
        <f>D1760</f>
        <v>Emily</v>
      </c>
      <c r="F1761">
        <v>2024</v>
      </c>
      <c r="G1761">
        <v>5</v>
      </c>
      <c r="H1761">
        <v>2.2000000000000002</v>
      </c>
      <c r="I1761">
        <v>98</v>
      </c>
      <c r="J1761">
        <f>I1761-I1760</f>
        <v>-7</v>
      </c>
      <c r="K1761" t="str">
        <f t="shared" si="167"/>
        <v>L</v>
      </c>
      <c r="L1761" t="str">
        <f t="shared" si="164"/>
        <v>Russell</v>
      </c>
      <c r="M1761" t="str">
        <f>VLOOKUP(L1761,References!$A$2:$B$16,2,FALSE)</f>
        <v>TEXAROK</v>
      </c>
      <c r="N1761" s="19" t="str">
        <f>IF(M1761=M1760,"N","Y")</f>
        <v>N</v>
      </c>
      <c r="O1761">
        <f>SUM(I1760:I1761)</f>
        <v>203</v>
      </c>
      <c r="P1761">
        <f t="shared" si="166"/>
        <v>105</v>
      </c>
    </row>
    <row r="1762" spans="1:16" hidden="1" x14ac:dyDescent="0.3">
      <c r="A1762" t="str">
        <f t="shared" si="165"/>
        <v>2024Grayson5</v>
      </c>
      <c r="B1762">
        <f t="shared" si="162"/>
        <v>2035</v>
      </c>
      <c r="C1762">
        <f t="shared" si="163"/>
        <v>1468</v>
      </c>
      <c r="D1762" t="s">
        <v>473</v>
      </c>
      <c r="E1762" t="str">
        <f>D1763</f>
        <v>Brent</v>
      </c>
      <c r="F1762">
        <v>2024</v>
      </c>
      <c r="G1762">
        <v>5</v>
      </c>
      <c r="H1762">
        <v>3.1</v>
      </c>
      <c r="I1762">
        <v>78</v>
      </c>
      <c r="J1762">
        <f>I1762-I1763</f>
        <v>-60</v>
      </c>
      <c r="K1762" t="str">
        <f t="shared" si="167"/>
        <v>L</v>
      </c>
      <c r="L1762" t="str">
        <f t="shared" si="164"/>
        <v>Grayson</v>
      </c>
      <c r="M1762" t="str">
        <f>VLOOKUP(L1762,References!$A$2:$B$16,2,FALSE)</f>
        <v>TEXAROK</v>
      </c>
      <c r="N1762" s="19" t="str">
        <f>IF(M1762=M1763,"N","Y")</f>
        <v>N</v>
      </c>
      <c r="O1762">
        <f>SUM(I1762:I1763)</f>
        <v>216</v>
      </c>
      <c r="P1762">
        <f t="shared" si="166"/>
        <v>138</v>
      </c>
    </row>
    <row r="1763" spans="1:16" hidden="1" x14ac:dyDescent="0.3">
      <c r="A1763" t="str">
        <f t="shared" si="165"/>
        <v>2024Brent5</v>
      </c>
      <c r="B1763">
        <f t="shared" si="162"/>
        <v>52</v>
      </c>
      <c r="C1763">
        <f t="shared" si="163"/>
        <v>64</v>
      </c>
      <c r="D1763" t="s">
        <v>47</v>
      </c>
      <c r="E1763" t="str">
        <f>D1762</f>
        <v>Grayson</v>
      </c>
      <c r="F1763">
        <v>2024</v>
      </c>
      <c r="G1763">
        <v>5</v>
      </c>
      <c r="H1763">
        <v>3.2</v>
      </c>
      <c r="I1763">
        <v>138</v>
      </c>
      <c r="J1763">
        <f>I1763-I1762</f>
        <v>60</v>
      </c>
      <c r="K1763" t="str">
        <f t="shared" si="167"/>
        <v>W</v>
      </c>
      <c r="L1763" t="str">
        <f t="shared" si="164"/>
        <v>Brent</v>
      </c>
      <c r="M1763" t="str">
        <f>VLOOKUP(L1763,References!$A$2:$B$16,2,FALSE)</f>
        <v>TEXAROK</v>
      </c>
      <c r="N1763" s="19" t="str">
        <f>IF(M1763=M1762,"N","Y")</f>
        <v>N</v>
      </c>
      <c r="O1763">
        <f>SUM(I1762:I1763)</f>
        <v>216</v>
      </c>
      <c r="P1763">
        <f t="shared" si="166"/>
        <v>78</v>
      </c>
    </row>
    <row r="1764" spans="1:16" hidden="1" x14ac:dyDescent="0.3">
      <c r="A1764" t="str">
        <f t="shared" si="165"/>
        <v>2024Mark5</v>
      </c>
      <c r="B1764">
        <f t="shared" si="162"/>
        <v>1145</v>
      </c>
      <c r="C1764">
        <f t="shared" si="163"/>
        <v>39</v>
      </c>
      <c r="D1764" t="s">
        <v>22</v>
      </c>
      <c r="E1764" t="str">
        <f>D1765</f>
        <v>Charles</v>
      </c>
      <c r="F1764">
        <v>2024</v>
      </c>
      <c r="G1764">
        <v>5</v>
      </c>
      <c r="H1764">
        <v>4.0999999999999996</v>
      </c>
      <c r="I1764">
        <v>144</v>
      </c>
      <c r="J1764">
        <f>I1764-I1765</f>
        <v>-4</v>
      </c>
      <c r="K1764" t="str">
        <f t="shared" si="167"/>
        <v>L</v>
      </c>
      <c r="L1764" t="str">
        <f t="shared" si="164"/>
        <v>Mark</v>
      </c>
      <c r="M1764" t="str">
        <f>VLOOKUP(L1764,References!$A$2:$B$16,2,FALSE)</f>
        <v>AKCOVA</v>
      </c>
      <c r="N1764" s="19" t="str">
        <f>IF(M1764=M1765,"N","Y")</f>
        <v>N</v>
      </c>
      <c r="O1764">
        <f>SUM(I1764:I1765)</f>
        <v>292</v>
      </c>
      <c r="P1764">
        <f t="shared" si="166"/>
        <v>148</v>
      </c>
    </row>
    <row r="1765" spans="1:16" hidden="1" x14ac:dyDescent="0.3">
      <c r="A1765" t="str">
        <f t="shared" si="165"/>
        <v>2024Charles5</v>
      </c>
      <c r="B1765">
        <f t="shared" si="162"/>
        <v>917</v>
      </c>
      <c r="C1765">
        <f t="shared" si="163"/>
        <v>31</v>
      </c>
      <c r="D1765" t="s">
        <v>48</v>
      </c>
      <c r="E1765" t="str">
        <f>D1764</f>
        <v>Mark</v>
      </c>
      <c r="F1765">
        <v>2024</v>
      </c>
      <c r="G1765">
        <v>5</v>
      </c>
      <c r="H1765">
        <v>4.2</v>
      </c>
      <c r="I1765">
        <v>148</v>
      </c>
      <c r="J1765">
        <f>I1765-I1764</f>
        <v>4</v>
      </c>
      <c r="K1765" t="str">
        <f t="shared" si="167"/>
        <v>W</v>
      </c>
      <c r="L1765" t="str">
        <f t="shared" si="164"/>
        <v>Charles</v>
      </c>
      <c r="M1765" t="str">
        <f>VLOOKUP(L1765,References!$A$2:$B$16,2,FALSE)</f>
        <v>AKCOVA</v>
      </c>
      <c r="N1765" s="19" t="str">
        <f>IF(M1765=M1764,"N","Y")</f>
        <v>N</v>
      </c>
      <c r="O1765">
        <f>SUM(I1764:I1765)</f>
        <v>292</v>
      </c>
      <c r="P1765">
        <f t="shared" si="166"/>
        <v>144</v>
      </c>
    </row>
    <row r="1766" spans="1:16" hidden="1" x14ac:dyDescent="0.3">
      <c r="A1766" t="str">
        <f t="shared" si="165"/>
        <v>2024David5</v>
      </c>
      <c r="B1766">
        <f t="shared" si="162"/>
        <v>1177</v>
      </c>
      <c r="C1766">
        <f t="shared" si="163"/>
        <v>509</v>
      </c>
      <c r="D1766" t="s">
        <v>29</v>
      </c>
      <c r="E1766" t="str">
        <f>D1767</f>
        <v>BR</v>
      </c>
      <c r="F1766">
        <v>2024</v>
      </c>
      <c r="G1766">
        <v>5</v>
      </c>
      <c r="H1766">
        <v>5.0999999999999996</v>
      </c>
      <c r="I1766">
        <v>106</v>
      </c>
      <c r="J1766">
        <f>I1766-I1767</f>
        <v>-5</v>
      </c>
      <c r="K1766" t="str">
        <f t="shared" si="167"/>
        <v>L</v>
      </c>
      <c r="L1766" t="str">
        <f t="shared" si="164"/>
        <v>David</v>
      </c>
      <c r="M1766" t="str">
        <f>VLOOKUP(L1766,References!$A$2:$B$16,2,FALSE)</f>
        <v>TEXAROK</v>
      </c>
      <c r="N1766" s="19" t="str">
        <f>IF(M1766=M1767,"N","Y")</f>
        <v>Y</v>
      </c>
      <c r="O1766">
        <f>SUM(I1766:I1767)</f>
        <v>217</v>
      </c>
      <c r="P1766">
        <f t="shared" si="166"/>
        <v>111</v>
      </c>
    </row>
    <row r="1767" spans="1:16" hidden="1" x14ac:dyDescent="0.3">
      <c r="A1767" t="str">
        <f t="shared" si="165"/>
        <v>2024BR5</v>
      </c>
      <c r="B1767">
        <f t="shared" si="162"/>
        <v>897</v>
      </c>
      <c r="C1767">
        <f t="shared" si="163"/>
        <v>383</v>
      </c>
      <c r="D1767" t="s">
        <v>25</v>
      </c>
      <c r="E1767" t="str">
        <f>D1766</f>
        <v>David</v>
      </c>
      <c r="F1767">
        <v>2024</v>
      </c>
      <c r="G1767">
        <v>5</v>
      </c>
      <c r="H1767">
        <v>5.2</v>
      </c>
      <c r="I1767">
        <v>111</v>
      </c>
      <c r="J1767">
        <f>I1767-I1766</f>
        <v>5</v>
      </c>
      <c r="K1767" t="str">
        <f t="shared" si="167"/>
        <v>W</v>
      </c>
      <c r="L1767" t="str">
        <f t="shared" si="164"/>
        <v>BR</v>
      </c>
      <c r="M1767" t="str">
        <f>VLOOKUP(L1767,References!$A$2:$B$16,2,FALSE)</f>
        <v>AKCOVA</v>
      </c>
      <c r="N1767" s="19" t="str">
        <f>IF(M1767=M1766,"N","Y")</f>
        <v>Y</v>
      </c>
      <c r="O1767">
        <f>SUM(I1766:I1767)</f>
        <v>217</v>
      </c>
      <c r="P1767">
        <f t="shared" si="166"/>
        <v>106</v>
      </c>
    </row>
    <row r="1768" spans="1:16" hidden="1" x14ac:dyDescent="0.3">
      <c r="A1768" t="str">
        <f t="shared" si="165"/>
        <v>2024Watty5</v>
      </c>
      <c r="B1768">
        <f t="shared" si="162"/>
        <v>1004</v>
      </c>
      <c r="C1768">
        <f t="shared" si="163"/>
        <v>1055</v>
      </c>
      <c r="D1768" t="s">
        <v>24</v>
      </c>
      <c r="E1768" t="str">
        <f>D1769</f>
        <v>Jordan</v>
      </c>
      <c r="F1768">
        <v>2024</v>
      </c>
      <c r="G1768">
        <v>5</v>
      </c>
      <c r="H1768">
        <v>6.1</v>
      </c>
      <c r="I1768">
        <v>89</v>
      </c>
      <c r="J1768">
        <f>I1768-I1769</f>
        <v>1</v>
      </c>
      <c r="K1768" t="str">
        <f t="shared" si="167"/>
        <v>W</v>
      </c>
      <c r="L1768" t="str">
        <f t="shared" si="164"/>
        <v>Watty</v>
      </c>
      <c r="M1768" t="str">
        <f>VLOOKUP(L1768,References!$A$2:$B$16,2,FALSE)</f>
        <v>AKCOVA</v>
      </c>
      <c r="N1768" s="19" t="str">
        <f>IF(M1768=M1769,"N","Y")</f>
        <v>N</v>
      </c>
      <c r="O1768">
        <f>SUM(I1768:I1769)</f>
        <v>177</v>
      </c>
      <c r="P1768">
        <f t="shared" si="166"/>
        <v>88</v>
      </c>
    </row>
    <row r="1769" spans="1:16" hidden="1" x14ac:dyDescent="0.3">
      <c r="A1769" t="str">
        <f t="shared" si="165"/>
        <v>2024Jordan5</v>
      </c>
      <c r="B1769">
        <f t="shared" si="162"/>
        <v>1055</v>
      </c>
      <c r="C1769">
        <f t="shared" si="163"/>
        <v>1100</v>
      </c>
      <c r="D1769" t="s">
        <v>472</v>
      </c>
      <c r="E1769" t="str">
        <f>D1768</f>
        <v>Watty</v>
      </c>
      <c r="F1769">
        <v>2024</v>
      </c>
      <c r="G1769">
        <v>5</v>
      </c>
      <c r="H1769">
        <v>6.2</v>
      </c>
      <c r="I1769">
        <v>88</v>
      </c>
      <c r="J1769">
        <f>I1769-I1768</f>
        <v>-1</v>
      </c>
      <c r="K1769" t="str">
        <f t="shared" si="167"/>
        <v>L</v>
      </c>
      <c r="L1769" t="str">
        <f t="shared" si="164"/>
        <v>Jordan</v>
      </c>
      <c r="M1769" t="str">
        <f>VLOOKUP(L1769,References!$A$2:$B$16,2,FALSE)</f>
        <v>AKCOVA</v>
      </c>
      <c r="N1769" s="19" t="str">
        <f>IF(M1769=M1768,"N","Y")</f>
        <v>N</v>
      </c>
      <c r="O1769">
        <f>SUM(I1768:I1769)</f>
        <v>177</v>
      </c>
      <c r="P1769">
        <f t="shared" si="166"/>
        <v>89</v>
      </c>
    </row>
    <row r="1770" spans="1:16" hidden="1" x14ac:dyDescent="0.3">
      <c r="A1770" t="str">
        <f t="shared" si="165"/>
        <v>2024Arnold5</v>
      </c>
      <c r="B1770">
        <f t="shared" si="162"/>
        <v>150</v>
      </c>
      <c r="C1770">
        <f t="shared" si="163"/>
        <v>9</v>
      </c>
      <c r="D1770" t="s">
        <v>227</v>
      </c>
      <c r="E1770" t="str">
        <f>D1771</f>
        <v>Matt</v>
      </c>
      <c r="F1770">
        <v>2024</v>
      </c>
      <c r="G1770">
        <v>5</v>
      </c>
      <c r="H1770">
        <v>7.1</v>
      </c>
      <c r="I1770">
        <v>161</v>
      </c>
      <c r="J1770">
        <f>I1770-I1771</f>
        <v>44</v>
      </c>
      <c r="K1770" t="str">
        <f t="shared" si="167"/>
        <v>W</v>
      </c>
      <c r="L1770" t="str">
        <f t="shared" si="164"/>
        <v>Arnold</v>
      </c>
      <c r="M1770" t="str">
        <f>VLOOKUP(L1770,References!$A$2:$B$16,2,FALSE)</f>
        <v>AKCOVA</v>
      </c>
      <c r="N1770" s="19" t="str">
        <f>IF(M1770=M1771,"N","Y")</f>
        <v>Y</v>
      </c>
      <c r="O1770">
        <f>SUM(I1770:I1771)</f>
        <v>278</v>
      </c>
      <c r="P1770">
        <f t="shared" si="166"/>
        <v>117</v>
      </c>
    </row>
    <row r="1771" spans="1:16" hidden="1" x14ac:dyDescent="0.3">
      <c r="A1771" t="str">
        <f t="shared" si="165"/>
        <v>2024Matt5</v>
      </c>
      <c r="B1771">
        <f t="shared" si="162"/>
        <v>1933</v>
      </c>
      <c r="C1771">
        <f t="shared" si="163"/>
        <v>275</v>
      </c>
      <c r="D1771" t="s">
        <v>30</v>
      </c>
      <c r="E1771" t="str">
        <f>D1770</f>
        <v>Arnold</v>
      </c>
      <c r="F1771">
        <v>2024</v>
      </c>
      <c r="G1771">
        <v>5</v>
      </c>
      <c r="H1771">
        <v>7.2</v>
      </c>
      <c r="I1771">
        <v>117</v>
      </c>
      <c r="J1771">
        <f>I1771-I1770</f>
        <v>-44</v>
      </c>
      <c r="K1771" t="str">
        <f t="shared" si="167"/>
        <v>L</v>
      </c>
      <c r="L1771" t="str">
        <f t="shared" si="164"/>
        <v>Matt</v>
      </c>
      <c r="M1771" t="str">
        <f>VLOOKUP(L1771,References!$A$2:$B$16,2,FALSE)</f>
        <v>TEXAROK</v>
      </c>
      <c r="N1771" s="19" t="str">
        <f>IF(M1771=M1770,"N","Y")</f>
        <v>Y</v>
      </c>
      <c r="O1771">
        <f>SUM(I1770:I1771)</f>
        <v>278</v>
      </c>
      <c r="P1771">
        <f t="shared" si="166"/>
        <v>161</v>
      </c>
    </row>
    <row r="1772" spans="1:16" hidden="1" x14ac:dyDescent="0.3">
      <c r="A1772" t="str">
        <f t="shared" si="165"/>
        <v>2024Michael6</v>
      </c>
      <c r="B1772">
        <f t="shared" si="162"/>
        <v>639</v>
      </c>
      <c r="C1772">
        <f t="shared" si="163"/>
        <v>678</v>
      </c>
      <c r="D1772" t="s">
        <v>23</v>
      </c>
      <c r="E1772" t="str">
        <f>D1773</f>
        <v>Emily</v>
      </c>
      <c r="F1772">
        <v>2024</v>
      </c>
      <c r="G1772">
        <v>6</v>
      </c>
      <c r="H1772">
        <v>1.1000000000000001</v>
      </c>
      <c r="I1772">
        <v>100</v>
      </c>
      <c r="J1772">
        <f>I1772-I1773</f>
        <v>15</v>
      </c>
      <c r="K1772" t="str">
        <f t="shared" si="167"/>
        <v>W</v>
      </c>
      <c r="L1772" t="str">
        <f t="shared" si="164"/>
        <v>Michael</v>
      </c>
      <c r="M1772" t="str">
        <f>VLOOKUP(L1772,References!$A$2:$B$16,2,FALSE)</f>
        <v>AKCOVA</v>
      </c>
      <c r="N1772" s="19" t="str">
        <f>IF(M1772=M1773,"N","Y")</f>
        <v>Y</v>
      </c>
      <c r="O1772">
        <f>SUM(I1772:I1773)</f>
        <v>185</v>
      </c>
      <c r="P1772">
        <f t="shared" si="166"/>
        <v>85</v>
      </c>
    </row>
    <row r="1773" spans="1:16" hidden="1" x14ac:dyDescent="0.3">
      <c r="A1773" t="str">
        <f t="shared" si="165"/>
        <v>2024Emily6</v>
      </c>
      <c r="B1773">
        <f t="shared" si="162"/>
        <v>1434</v>
      </c>
      <c r="C1773">
        <f t="shared" si="163"/>
        <v>1210</v>
      </c>
      <c r="D1773" t="s">
        <v>43</v>
      </c>
      <c r="E1773" t="str">
        <f>D1772</f>
        <v>Michael</v>
      </c>
      <c r="F1773">
        <v>2024</v>
      </c>
      <c r="G1773">
        <v>6</v>
      </c>
      <c r="H1773">
        <v>1.2</v>
      </c>
      <c r="I1773">
        <v>85</v>
      </c>
      <c r="J1773">
        <f>I1773-I1772</f>
        <v>-15</v>
      </c>
      <c r="K1773" t="str">
        <f t="shared" si="167"/>
        <v>L</v>
      </c>
      <c r="L1773" t="str">
        <f t="shared" si="164"/>
        <v>Emily</v>
      </c>
      <c r="M1773" t="str">
        <f>VLOOKUP(L1773,References!$A$2:$B$16,2,FALSE)</f>
        <v>TEXAROK</v>
      </c>
      <c r="N1773" s="19" t="str">
        <f>IF(M1773=M1772,"N","Y")</f>
        <v>Y</v>
      </c>
      <c r="O1773">
        <f>SUM(I1772:I1773)</f>
        <v>185</v>
      </c>
      <c r="P1773">
        <f t="shared" si="166"/>
        <v>100</v>
      </c>
    </row>
    <row r="1774" spans="1:16" hidden="1" x14ac:dyDescent="0.3">
      <c r="A1774" t="str">
        <f t="shared" si="165"/>
        <v>2024Matt6</v>
      </c>
      <c r="B1774">
        <f t="shared" si="162"/>
        <v>1970</v>
      </c>
      <c r="C1774">
        <f t="shared" si="163"/>
        <v>1595</v>
      </c>
      <c r="D1774" t="s">
        <v>30</v>
      </c>
      <c r="E1774" t="str">
        <f>D1775</f>
        <v>Watty</v>
      </c>
      <c r="F1774">
        <v>2024</v>
      </c>
      <c r="G1774">
        <v>6</v>
      </c>
      <c r="H1774">
        <v>2.1</v>
      </c>
      <c r="I1774">
        <v>75</v>
      </c>
      <c r="J1774">
        <f>I1774-I1775</f>
        <v>-48</v>
      </c>
      <c r="K1774" t="str">
        <f t="shared" si="167"/>
        <v>L</v>
      </c>
      <c r="L1774" t="str">
        <f t="shared" si="164"/>
        <v>Matt</v>
      </c>
      <c r="M1774" t="str">
        <f>VLOOKUP(L1774,References!$A$2:$B$16,2,FALSE)</f>
        <v>TEXAROK</v>
      </c>
      <c r="N1774" s="19" t="str">
        <f>IF(M1774=M1775,"N","Y")</f>
        <v>Y</v>
      </c>
      <c r="O1774">
        <f>SUM(I1774:I1775)</f>
        <v>198</v>
      </c>
      <c r="P1774">
        <f t="shared" si="166"/>
        <v>123</v>
      </c>
    </row>
    <row r="1775" spans="1:16" hidden="1" x14ac:dyDescent="0.3">
      <c r="A1775" t="str">
        <f t="shared" si="165"/>
        <v>2024Watty6</v>
      </c>
      <c r="B1775">
        <f t="shared" si="162"/>
        <v>119</v>
      </c>
      <c r="C1775">
        <f t="shared" si="163"/>
        <v>186</v>
      </c>
      <c r="D1775" t="s">
        <v>24</v>
      </c>
      <c r="E1775" t="str">
        <f>D1774</f>
        <v>Matt</v>
      </c>
      <c r="F1775">
        <v>2024</v>
      </c>
      <c r="G1775">
        <v>6</v>
      </c>
      <c r="H1775">
        <v>2.2000000000000002</v>
      </c>
      <c r="I1775">
        <v>123</v>
      </c>
      <c r="J1775">
        <f>I1775-I1774</f>
        <v>48</v>
      </c>
      <c r="K1775" t="str">
        <f t="shared" si="167"/>
        <v>W</v>
      </c>
      <c r="L1775" t="str">
        <f t="shared" si="164"/>
        <v>Watty</v>
      </c>
      <c r="M1775" t="str">
        <f>VLOOKUP(L1775,References!$A$2:$B$16,2,FALSE)</f>
        <v>AKCOVA</v>
      </c>
      <c r="N1775" s="19" t="str">
        <f>IF(M1775=M1774,"N","Y")</f>
        <v>Y</v>
      </c>
      <c r="O1775">
        <f>SUM(I1774:I1775)</f>
        <v>198</v>
      </c>
      <c r="P1775">
        <f t="shared" si="166"/>
        <v>75</v>
      </c>
    </row>
    <row r="1776" spans="1:16" hidden="1" x14ac:dyDescent="0.3">
      <c r="A1776" t="str">
        <f t="shared" si="165"/>
        <v>2024Russell6</v>
      </c>
      <c r="B1776">
        <f t="shared" si="162"/>
        <v>161</v>
      </c>
      <c r="C1776">
        <f t="shared" si="163"/>
        <v>509</v>
      </c>
      <c r="D1776" t="s">
        <v>28</v>
      </c>
      <c r="E1776" t="str">
        <f>D1777</f>
        <v>Jordan</v>
      </c>
      <c r="F1776">
        <v>2024</v>
      </c>
      <c r="G1776">
        <v>6</v>
      </c>
      <c r="H1776">
        <v>3.1</v>
      </c>
      <c r="I1776">
        <v>106</v>
      </c>
      <c r="J1776">
        <f>I1776-I1777</f>
        <v>43</v>
      </c>
      <c r="K1776" t="str">
        <f t="shared" si="167"/>
        <v>W</v>
      </c>
      <c r="L1776" t="str">
        <f t="shared" si="164"/>
        <v>Russell</v>
      </c>
      <c r="M1776" t="str">
        <f>VLOOKUP(L1776,References!$A$2:$B$16,2,FALSE)</f>
        <v>TEXAROK</v>
      </c>
      <c r="N1776" s="19" t="str">
        <f>IF(M1776=M1777,"N","Y")</f>
        <v>Y</v>
      </c>
      <c r="O1776">
        <f>SUM(I1776:I1777)</f>
        <v>169</v>
      </c>
      <c r="P1776">
        <f t="shared" si="166"/>
        <v>63</v>
      </c>
    </row>
    <row r="1777" spans="1:16" hidden="1" x14ac:dyDescent="0.3">
      <c r="A1777" t="str">
        <f t="shared" si="165"/>
        <v>2024Jordan6</v>
      </c>
      <c r="B1777">
        <f t="shared" si="162"/>
        <v>1921</v>
      </c>
      <c r="C1777">
        <f t="shared" si="163"/>
        <v>1885</v>
      </c>
      <c r="D1777" t="s">
        <v>472</v>
      </c>
      <c r="E1777" t="str">
        <f>D1776</f>
        <v>Russell</v>
      </c>
      <c r="F1777">
        <v>2024</v>
      </c>
      <c r="G1777">
        <v>6</v>
      </c>
      <c r="H1777">
        <v>3.2</v>
      </c>
      <c r="I1777">
        <v>63</v>
      </c>
      <c r="J1777">
        <f>I1777-I1776</f>
        <v>-43</v>
      </c>
      <c r="K1777" t="str">
        <f t="shared" si="167"/>
        <v>L</v>
      </c>
      <c r="L1777" t="str">
        <f t="shared" si="164"/>
        <v>Jordan</v>
      </c>
      <c r="M1777" t="str">
        <f>VLOOKUP(L1777,References!$A$2:$B$16,2,FALSE)</f>
        <v>AKCOVA</v>
      </c>
      <c r="N1777" s="19" t="str">
        <f>IF(M1777=M1776,"N","Y")</f>
        <v>Y</v>
      </c>
      <c r="O1777">
        <f>SUM(I1776:I1777)</f>
        <v>169</v>
      </c>
      <c r="P1777">
        <f t="shared" si="166"/>
        <v>106</v>
      </c>
    </row>
    <row r="1778" spans="1:16" hidden="1" x14ac:dyDescent="0.3">
      <c r="A1778" t="str">
        <f t="shared" si="165"/>
        <v>2024Arnold6</v>
      </c>
      <c r="B1778">
        <f t="shared" si="162"/>
        <v>977</v>
      </c>
      <c r="C1778">
        <f t="shared" si="163"/>
        <v>321</v>
      </c>
      <c r="D1778" t="s">
        <v>227</v>
      </c>
      <c r="E1778" t="str">
        <f>D1779</f>
        <v>David</v>
      </c>
      <c r="F1778">
        <v>2024</v>
      </c>
      <c r="G1778">
        <v>6</v>
      </c>
      <c r="H1778">
        <v>4.0999999999999996</v>
      </c>
      <c r="I1778">
        <v>114</v>
      </c>
      <c r="J1778">
        <f>I1778-I1779</f>
        <v>2</v>
      </c>
      <c r="K1778" t="str">
        <f t="shared" si="167"/>
        <v>W</v>
      </c>
      <c r="L1778" t="str">
        <f t="shared" si="164"/>
        <v>Arnold</v>
      </c>
      <c r="M1778" t="str">
        <f>VLOOKUP(L1778,References!$A$2:$B$16,2,FALSE)</f>
        <v>AKCOVA</v>
      </c>
      <c r="N1778" s="19" t="str">
        <f>IF(M1778=M1779,"N","Y")</f>
        <v>Y</v>
      </c>
      <c r="O1778">
        <f>SUM(I1778:I1779)</f>
        <v>226</v>
      </c>
      <c r="P1778">
        <f t="shared" si="166"/>
        <v>112</v>
      </c>
    </row>
    <row r="1779" spans="1:16" hidden="1" x14ac:dyDescent="0.3">
      <c r="A1779" t="str">
        <f t="shared" si="165"/>
        <v>2024David6</v>
      </c>
      <c r="B1779">
        <f t="shared" si="162"/>
        <v>1090</v>
      </c>
      <c r="C1779">
        <f t="shared" si="163"/>
        <v>364</v>
      </c>
      <c r="D1779" t="s">
        <v>29</v>
      </c>
      <c r="E1779" t="str">
        <f>D1778</f>
        <v>Arnold</v>
      </c>
      <c r="F1779">
        <v>2024</v>
      </c>
      <c r="G1779">
        <v>6</v>
      </c>
      <c r="H1779">
        <v>4.2</v>
      </c>
      <c r="I1779">
        <v>112</v>
      </c>
      <c r="J1779">
        <f>I1779-I1778</f>
        <v>-2</v>
      </c>
      <c r="K1779" t="str">
        <f t="shared" si="167"/>
        <v>L</v>
      </c>
      <c r="L1779" t="str">
        <f t="shared" si="164"/>
        <v>David</v>
      </c>
      <c r="M1779" t="str">
        <f>VLOOKUP(L1779,References!$A$2:$B$16,2,FALSE)</f>
        <v>TEXAROK</v>
      </c>
      <c r="N1779" s="19" t="str">
        <f>IF(M1779=M1778,"N","Y")</f>
        <v>Y</v>
      </c>
      <c r="O1779">
        <f>SUM(I1778:I1779)</f>
        <v>226</v>
      </c>
      <c r="P1779">
        <f t="shared" si="166"/>
        <v>114</v>
      </c>
    </row>
    <row r="1780" spans="1:16" hidden="1" x14ac:dyDescent="0.3">
      <c r="A1780" t="str">
        <f t="shared" si="165"/>
        <v>2024Brent6</v>
      </c>
      <c r="B1780">
        <f t="shared" si="162"/>
        <v>1055</v>
      </c>
      <c r="C1780">
        <f t="shared" si="163"/>
        <v>822</v>
      </c>
      <c r="D1780" t="s">
        <v>47</v>
      </c>
      <c r="E1780" t="str">
        <f>D1781</f>
        <v>Brian</v>
      </c>
      <c r="F1780">
        <v>2024</v>
      </c>
      <c r="G1780">
        <v>6</v>
      </c>
      <c r="H1780">
        <v>5.0999999999999996</v>
      </c>
      <c r="I1780">
        <v>96</v>
      </c>
      <c r="J1780">
        <f>I1780-I1781</f>
        <v>-1</v>
      </c>
      <c r="K1780" t="str">
        <f t="shared" si="167"/>
        <v>L</v>
      </c>
      <c r="L1780" t="str">
        <f t="shared" si="164"/>
        <v>Brent</v>
      </c>
      <c r="M1780" t="str">
        <f>VLOOKUP(L1780,References!$A$2:$B$16,2,FALSE)</f>
        <v>TEXAROK</v>
      </c>
      <c r="N1780" s="19" t="str">
        <f>IF(M1780=M1781,"N","Y")</f>
        <v>N</v>
      </c>
      <c r="O1780">
        <f>SUM(I1780:I1781)</f>
        <v>193</v>
      </c>
      <c r="P1780">
        <f t="shared" si="166"/>
        <v>97</v>
      </c>
    </row>
    <row r="1781" spans="1:16" hidden="1" x14ac:dyDescent="0.3">
      <c r="A1781" t="str">
        <f t="shared" si="165"/>
        <v>2024Brian6</v>
      </c>
      <c r="B1781">
        <f t="shared" si="162"/>
        <v>1004</v>
      </c>
      <c r="C1781">
        <f t="shared" si="163"/>
        <v>777</v>
      </c>
      <c r="D1781" t="s">
        <v>26</v>
      </c>
      <c r="E1781" t="str">
        <f>D1780</f>
        <v>Brent</v>
      </c>
      <c r="F1781">
        <v>2024</v>
      </c>
      <c r="G1781">
        <v>6</v>
      </c>
      <c r="H1781">
        <v>5.2</v>
      </c>
      <c r="I1781">
        <v>97</v>
      </c>
      <c r="J1781">
        <f>I1781-I1780</f>
        <v>1</v>
      </c>
      <c r="K1781" t="str">
        <f t="shared" si="167"/>
        <v>W</v>
      </c>
      <c r="L1781" t="str">
        <f t="shared" si="164"/>
        <v>Brian</v>
      </c>
      <c r="M1781" t="str">
        <f>VLOOKUP(L1781,References!$A$2:$B$16,2,FALSE)</f>
        <v>TEXAROK</v>
      </c>
      <c r="N1781" s="19" t="str">
        <f>IF(M1781=M1780,"N","Y")</f>
        <v>N</v>
      </c>
      <c r="O1781">
        <f>SUM(I1780:I1781)</f>
        <v>193</v>
      </c>
      <c r="P1781">
        <f t="shared" si="166"/>
        <v>96</v>
      </c>
    </row>
    <row r="1782" spans="1:16" hidden="1" x14ac:dyDescent="0.3">
      <c r="A1782" t="str">
        <f t="shared" si="165"/>
        <v>2024BR6</v>
      </c>
      <c r="B1782">
        <f t="shared" si="162"/>
        <v>917</v>
      </c>
      <c r="C1782">
        <f t="shared" si="163"/>
        <v>186</v>
      </c>
      <c r="D1782" t="s">
        <v>25</v>
      </c>
      <c r="E1782" t="str">
        <f>D1783</f>
        <v>Mark</v>
      </c>
      <c r="F1782">
        <v>2024</v>
      </c>
      <c r="G1782">
        <v>6</v>
      </c>
      <c r="H1782">
        <v>6.1</v>
      </c>
      <c r="I1782">
        <v>123</v>
      </c>
      <c r="J1782">
        <f>I1782-I1783</f>
        <v>4</v>
      </c>
      <c r="K1782" t="str">
        <f t="shared" si="167"/>
        <v>W</v>
      </c>
      <c r="L1782" t="str">
        <f t="shared" si="164"/>
        <v>BR</v>
      </c>
      <c r="M1782" t="str">
        <f>VLOOKUP(L1782,References!$A$2:$B$16,2,FALSE)</f>
        <v>AKCOVA</v>
      </c>
      <c r="N1782" s="19" t="str">
        <f>IF(M1782=M1783,"N","Y")</f>
        <v>N</v>
      </c>
      <c r="O1782">
        <f>SUM(I1782:I1783)</f>
        <v>242</v>
      </c>
      <c r="P1782">
        <f t="shared" si="166"/>
        <v>119</v>
      </c>
    </row>
    <row r="1783" spans="1:16" hidden="1" x14ac:dyDescent="0.3">
      <c r="A1783" t="str">
        <f t="shared" si="165"/>
        <v>2024Mark6</v>
      </c>
      <c r="B1783">
        <f t="shared" si="162"/>
        <v>1145</v>
      </c>
      <c r="C1783">
        <f t="shared" si="163"/>
        <v>248</v>
      </c>
      <c r="D1783" t="s">
        <v>22</v>
      </c>
      <c r="E1783" t="str">
        <f>D1782</f>
        <v>BR</v>
      </c>
      <c r="F1783">
        <v>2024</v>
      </c>
      <c r="G1783">
        <v>6</v>
      </c>
      <c r="H1783">
        <v>6.2</v>
      </c>
      <c r="I1783">
        <v>119</v>
      </c>
      <c r="J1783">
        <f>I1783-I1782</f>
        <v>-4</v>
      </c>
      <c r="K1783" t="str">
        <f t="shared" si="167"/>
        <v>L</v>
      </c>
      <c r="L1783" t="str">
        <f t="shared" si="164"/>
        <v>Mark</v>
      </c>
      <c r="M1783" t="str">
        <f>VLOOKUP(L1783,References!$A$2:$B$16,2,FALSE)</f>
        <v>AKCOVA</v>
      </c>
      <c r="N1783" s="19" t="str">
        <f>IF(M1783=M1782,"N","Y")</f>
        <v>N</v>
      </c>
      <c r="O1783">
        <f>SUM(I1782:I1783)</f>
        <v>242</v>
      </c>
      <c r="P1783">
        <f t="shared" si="166"/>
        <v>123</v>
      </c>
    </row>
    <row r="1784" spans="1:16" hidden="1" x14ac:dyDescent="0.3">
      <c r="A1784" t="str">
        <f t="shared" si="165"/>
        <v>2024Charles6</v>
      </c>
      <c r="B1784">
        <f t="shared" si="162"/>
        <v>1644</v>
      </c>
      <c r="C1784">
        <f t="shared" si="163"/>
        <v>714</v>
      </c>
      <c r="D1784" t="s">
        <v>48</v>
      </c>
      <c r="E1784" t="str">
        <f>D1785</f>
        <v>Grayson</v>
      </c>
      <c r="F1784">
        <v>2024</v>
      </c>
      <c r="G1784">
        <v>6</v>
      </c>
      <c r="H1784">
        <v>7.1</v>
      </c>
      <c r="I1784">
        <v>99</v>
      </c>
      <c r="J1784">
        <f>I1784-I1785</f>
        <v>-24</v>
      </c>
      <c r="K1784" t="str">
        <f t="shared" si="167"/>
        <v>L</v>
      </c>
      <c r="L1784" t="str">
        <f t="shared" si="164"/>
        <v>Charles</v>
      </c>
      <c r="M1784" t="str">
        <f>VLOOKUP(L1784,References!$A$2:$B$16,2,FALSE)</f>
        <v>AKCOVA</v>
      </c>
      <c r="N1784" s="19" t="str">
        <f>IF(M1784=M1785,"N","Y")</f>
        <v>Y</v>
      </c>
      <c r="O1784">
        <f>SUM(I1784:I1785)</f>
        <v>222</v>
      </c>
      <c r="P1784">
        <f t="shared" si="166"/>
        <v>123</v>
      </c>
    </row>
    <row r="1785" spans="1:16" hidden="1" x14ac:dyDescent="0.3">
      <c r="A1785" t="str">
        <f t="shared" si="165"/>
        <v>2024Grayson6</v>
      </c>
      <c r="B1785">
        <f t="shared" si="162"/>
        <v>433</v>
      </c>
      <c r="C1785">
        <f t="shared" si="163"/>
        <v>186</v>
      </c>
      <c r="D1785" t="s">
        <v>473</v>
      </c>
      <c r="E1785" t="str">
        <f>D1784</f>
        <v>Charles</v>
      </c>
      <c r="F1785">
        <v>2024</v>
      </c>
      <c r="G1785">
        <v>6</v>
      </c>
      <c r="H1785">
        <v>7.2</v>
      </c>
      <c r="I1785">
        <v>123</v>
      </c>
      <c r="J1785">
        <f>I1785-I1784</f>
        <v>24</v>
      </c>
      <c r="K1785" t="str">
        <f t="shared" si="167"/>
        <v>W</v>
      </c>
      <c r="L1785" t="str">
        <f t="shared" si="164"/>
        <v>Grayson</v>
      </c>
      <c r="M1785" t="str">
        <f>VLOOKUP(L1785,References!$A$2:$B$16,2,FALSE)</f>
        <v>TEXAROK</v>
      </c>
      <c r="N1785" s="19" t="str">
        <f>IF(M1785=M1784,"N","Y")</f>
        <v>Y</v>
      </c>
      <c r="O1785">
        <f>SUM(I1784:I1785)</f>
        <v>222</v>
      </c>
      <c r="P1785">
        <f t="shared" si="166"/>
        <v>99</v>
      </c>
    </row>
    <row r="1786" spans="1:16" hidden="1" x14ac:dyDescent="0.3">
      <c r="A1786" t="str">
        <f t="shared" si="165"/>
        <v>2024Jordan7</v>
      </c>
      <c r="B1786">
        <f t="shared" si="162"/>
        <v>1523</v>
      </c>
      <c r="C1786">
        <f t="shared" si="163"/>
        <v>958</v>
      </c>
      <c r="D1786" t="s">
        <v>472</v>
      </c>
      <c r="E1786" t="str">
        <f>D1787</f>
        <v>Michael</v>
      </c>
      <c r="F1786">
        <v>2024</v>
      </c>
      <c r="G1786">
        <v>7</v>
      </c>
      <c r="H1786">
        <v>1.1000000000000001</v>
      </c>
      <c r="I1786">
        <v>92</v>
      </c>
      <c r="J1786">
        <f>I1786-I1787</f>
        <v>-19</v>
      </c>
      <c r="K1786" t="str">
        <f t="shared" si="167"/>
        <v>L</v>
      </c>
      <c r="L1786" t="str">
        <f t="shared" si="164"/>
        <v>Jordan</v>
      </c>
      <c r="M1786" t="str">
        <f>VLOOKUP(L1786,References!$A$2:$B$16,2,FALSE)</f>
        <v>AKCOVA</v>
      </c>
      <c r="N1786" s="19" t="str">
        <f>IF(M1786=M1787,"N","Y")</f>
        <v>N</v>
      </c>
      <c r="O1786">
        <f>SUM(I1786:I1787)</f>
        <v>203</v>
      </c>
      <c r="P1786">
        <f t="shared" si="166"/>
        <v>111</v>
      </c>
    </row>
    <row r="1787" spans="1:16" hidden="1" x14ac:dyDescent="0.3">
      <c r="A1787" t="str">
        <f t="shared" si="165"/>
        <v>2024Michael7</v>
      </c>
      <c r="B1787">
        <f t="shared" si="162"/>
        <v>548</v>
      </c>
      <c r="C1787">
        <f t="shared" si="163"/>
        <v>383</v>
      </c>
      <c r="D1787" t="s">
        <v>23</v>
      </c>
      <c r="E1787" t="str">
        <f>D1786</f>
        <v>Jordan</v>
      </c>
      <c r="F1787">
        <v>2024</v>
      </c>
      <c r="G1787">
        <v>7</v>
      </c>
      <c r="H1787">
        <v>1.2</v>
      </c>
      <c r="I1787">
        <v>111</v>
      </c>
      <c r="J1787">
        <f>I1787-I1786</f>
        <v>19</v>
      </c>
      <c r="K1787" t="str">
        <f t="shared" si="167"/>
        <v>W</v>
      </c>
      <c r="L1787" t="str">
        <f t="shared" si="164"/>
        <v>Michael</v>
      </c>
      <c r="M1787" t="str">
        <f>VLOOKUP(L1787,References!$A$2:$B$16,2,FALSE)</f>
        <v>AKCOVA</v>
      </c>
      <c r="N1787" s="19" t="str">
        <f>IF(M1787=M1786,"N","Y")</f>
        <v>N</v>
      </c>
      <c r="O1787">
        <f>SUM(I1786:I1787)</f>
        <v>203</v>
      </c>
      <c r="P1787">
        <f t="shared" si="166"/>
        <v>92</v>
      </c>
    </row>
    <row r="1788" spans="1:16" hidden="1" x14ac:dyDescent="0.3">
      <c r="A1788" t="str">
        <f t="shared" si="165"/>
        <v>2024Emily7</v>
      </c>
      <c r="B1788">
        <f t="shared" si="162"/>
        <v>469</v>
      </c>
      <c r="C1788">
        <f t="shared" si="163"/>
        <v>1100</v>
      </c>
      <c r="D1788" t="s">
        <v>43</v>
      </c>
      <c r="E1788" t="str">
        <f>D1789</f>
        <v>Brent</v>
      </c>
      <c r="F1788">
        <v>2024</v>
      </c>
      <c r="G1788">
        <v>7</v>
      </c>
      <c r="H1788">
        <v>2.1</v>
      </c>
      <c r="I1788">
        <v>88</v>
      </c>
      <c r="J1788">
        <f>I1788-I1789</f>
        <v>22</v>
      </c>
      <c r="K1788" t="str">
        <f t="shared" si="167"/>
        <v>W</v>
      </c>
      <c r="L1788" t="str">
        <f t="shared" si="164"/>
        <v>Emily</v>
      </c>
      <c r="M1788" t="str">
        <f>VLOOKUP(L1788,References!$A$2:$B$16,2,FALSE)</f>
        <v>TEXAROK</v>
      </c>
      <c r="N1788" s="19" t="str">
        <f>IF(M1788=M1789,"N","Y")</f>
        <v>N</v>
      </c>
      <c r="O1788">
        <f>SUM(I1788:I1789)</f>
        <v>154</v>
      </c>
      <c r="P1788">
        <f t="shared" si="166"/>
        <v>66</v>
      </c>
    </row>
    <row r="1789" spans="1:16" hidden="1" x14ac:dyDescent="0.3">
      <c r="A1789" t="str">
        <f t="shared" si="165"/>
        <v>2024Brent7</v>
      </c>
      <c r="B1789">
        <f t="shared" si="162"/>
        <v>1605</v>
      </c>
      <c r="C1789">
        <f t="shared" si="163"/>
        <v>1833</v>
      </c>
      <c r="D1789" t="s">
        <v>47</v>
      </c>
      <c r="E1789" t="str">
        <f>D1788</f>
        <v>Emily</v>
      </c>
      <c r="F1789">
        <v>2024</v>
      </c>
      <c r="G1789">
        <v>7</v>
      </c>
      <c r="H1789">
        <v>2.2000000000000002</v>
      </c>
      <c r="I1789">
        <v>66</v>
      </c>
      <c r="J1789">
        <f>I1789-I1788</f>
        <v>-22</v>
      </c>
      <c r="K1789" t="str">
        <f t="shared" si="167"/>
        <v>L</v>
      </c>
      <c r="L1789" t="str">
        <f t="shared" si="164"/>
        <v>Brent</v>
      </c>
      <c r="M1789" t="str">
        <f>VLOOKUP(L1789,References!$A$2:$B$16,2,FALSE)</f>
        <v>TEXAROK</v>
      </c>
      <c r="N1789" s="19" t="str">
        <f>IF(M1789=M1788,"N","Y")</f>
        <v>N</v>
      </c>
      <c r="O1789">
        <f>SUM(I1788:I1789)</f>
        <v>154</v>
      </c>
      <c r="P1789">
        <f t="shared" si="166"/>
        <v>88</v>
      </c>
    </row>
    <row r="1790" spans="1:16" hidden="1" x14ac:dyDescent="0.3">
      <c r="A1790" t="str">
        <f t="shared" si="165"/>
        <v>2024Grayson7</v>
      </c>
      <c r="B1790">
        <f t="shared" si="162"/>
        <v>45</v>
      </c>
      <c r="C1790">
        <f t="shared" si="163"/>
        <v>462</v>
      </c>
      <c r="D1790" t="s">
        <v>473</v>
      </c>
      <c r="E1790" t="str">
        <f>D1791</f>
        <v>BR</v>
      </c>
      <c r="F1790">
        <v>2024</v>
      </c>
      <c r="G1790">
        <v>7</v>
      </c>
      <c r="H1790">
        <v>3.1</v>
      </c>
      <c r="I1790">
        <v>108</v>
      </c>
      <c r="J1790">
        <f>I1790-I1791</f>
        <v>62</v>
      </c>
      <c r="K1790" t="str">
        <f t="shared" si="167"/>
        <v>W</v>
      </c>
      <c r="L1790" t="str">
        <f t="shared" si="164"/>
        <v>Grayson</v>
      </c>
      <c r="M1790" t="str">
        <f>VLOOKUP(L1790,References!$A$2:$B$16,2,FALSE)</f>
        <v>TEXAROK</v>
      </c>
      <c r="N1790" s="19" t="str">
        <f>IF(M1790=M1791,"N","Y")</f>
        <v>Y</v>
      </c>
      <c r="O1790">
        <f>SUM(I1790:I1791)</f>
        <v>154</v>
      </c>
      <c r="P1790">
        <f t="shared" si="166"/>
        <v>46</v>
      </c>
    </row>
    <row r="1791" spans="1:16" hidden="1" x14ac:dyDescent="0.3">
      <c r="A1791" t="str">
        <f t="shared" si="165"/>
        <v>2024BR7</v>
      </c>
      <c r="B1791">
        <f t="shared" si="162"/>
        <v>2045</v>
      </c>
      <c r="C1791">
        <f t="shared" si="163"/>
        <v>2068</v>
      </c>
      <c r="D1791" t="s">
        <v>25</v>
      </c>
      <c r="E1791" t="str">
        <f>D1790</f>
        <v>Grayson</v>
      </c>
      <c r="F1791">
        <v>2024</v>
      </c>
      <c r="G1791">
        <v>7</v>
      </c>
      <c r="H1791">
        <v>3.2</v>
      </c>
      <c r="I1791">
        <v>46</v>
      </c>
      <c r="J1791">
        <f>I1791-I1790</f>
        <v>-62</v>
      </c>
      <c r="K1791" t="str">
        <f t="shared" si="167"/>
        <v>L</v>
      </c>
      <c r="L1791" t="str">
        <f t="shared" si="164"/>
        <v>BR</v>
      </c>
      <c r="M1791" t="str">
        <f>VLOOKUP(L1791,References!$A$2:$B$16,2,FALSE)</f>
        <v>AKCOVA</v>
      </c>
      <c r="N1791" s="19" t="str">
        <f>IF(M1791=M1790,"N","Y")</f>
        <v>Y</v>
      </c>
      <c r="O1791">
        <f>SUM(I1790:I1791)</f>
        <v>154</v>
      </c>
      <c r="P1791">
        <f t="shared" si="166"/>
        <v>108</v>
      </c>
    </row>
    <row r="1792" spans="1:16" hidden="1" x14ac:dyDescent="0.3">
      <c r="A1792" t="str">
        <f t="shared" si="165"/>
        <v>2024Brian7</v>
      </c>
      <c r="B1792">
        <f t="shared" si="162"/>
        <v>1497</v>
      </c>
      <c r="C1792">
        <f t="shared" si="163"/>
        <v>857</v>
      </c>
      <c r="D1792" t="s">
        <v>26</v>
      </c>
      <c r="E1792" t="str">
        <f>D1793</f>
        <v>Charles</v>
      </c>
      <c r="F1792">
        <v>2024</v>
      </c>
      <c r="G1792">
        <v>7</v>
      </c>
      <c r="H1792">
        <v>4.0999999999999996</v>
      </c>
      <c r="I1792">
        <v>95</v>
      </c>
      <c r="J1792">
        <f>I1792-I1793</f>
        <v>-18</v>
      </c>
      <c r="K1792" t="str">
        <f t="shared" si="167"/>
        <v>L</v>
      </c>
      <c r="L1792" t="str">
        <f t="shared" si="164"/>
        <v>Brian</v>
      </c>
      <c r="M1792" t="str">
        <f>VLOOKUP(L1792,References!$A$2:$B$16,2,FALSE)</f>
        <v>TEXAROK</v>
      </c>
      <c r="N1792" s="19" t="str">
        <f>IF(M1792=M1793,"N","Y")</f>
        <v>Y</v>
      </c>
      <c r="O1792">
        <f>SUM(I1792:I1793)</f>
        <v>208</v>
      </c>
      <c r="P1792">
        <f t="shared" si="166"/>
        <v>113</v>
      </c>
    </row>
    <row r="1793" spans="1:16" hidden="1" x14ac:dyDescent="0.3">
      <c r="A1793" t="str">
        <f t="shared" si="165"/>
        <v>2024Charles7</v>
      </c>
      <c r="B1793">
        <f t="shared" si="162"/>
        <v>571</v>
      </c>
      <c r="C1793">
        <f t="shared" si="163"/>
        <v>339</v>
      </c>
      <c r="D1793" t="s">
        <v>48</v>
      </c>
      <c r="E1793" t="str">
        <f>D1792</f>
        <v>Brian</v>
      </c>
      <c r="F1793">
        <v>2024</v>
      </c>
      <c r="G1793">
        <v>7</v>
      </c>
      <c r="H1793">
        <v>4.2</v>
      </c>
      <c r="I1793">
        <v>113</v>
      </c>
      <c r="J1793">
        <f>I1793-I1792</f>
        <v>18</v>
      </c>
      <c r="K1793" t="str">
        <f t="shared" si="167"/>
        <v>W</v>
      </c>
      <c r="L1793" t="str">
        <f t="shared" si="164"/>
        <v>Charles</v>
      </c>
      <c r="M1793" t="str">
        <f>VLOOKUP(L1793,References!$A$2:$B$16,2,FALSE)</f>
        <v>AKCOVA</v>
      </c>
      <c r="N1793" s="19" t="str">
        <f>IF(M1793=M1792,"N","Y")</f>
        <v>Y</v>
      </c>
      <c r="O1793">
        <f>SUM(I1792:I1793)</f>
        <v>208</v>
      </c>
      <c r="P1793">
        <f t="shared" si="166"/>
        <v>95</v>
      </c>
    </row>
    <row r="1794" spans="1:16" hidden="1" x14ac:dyDescent="0.3">
      <c r="A1794" t="str">
        <f t="shared" si="165"/>
        <v>2024David7</v>
      </c>
      <c r="B1794">
        <f t="shared" ref="B1794:B1827" si="168">RANK(J1794,diff)</f>
        <v>1004</v>
      </c>
      <c r="C1794">
        <f t="shared" ref="C1794:C1827" si="169">RANK(I1794,points)</f>
        <v>321</v>
      </c>
      <c r="D1794" t="s">
        <v>29</v>
      </c>
      <c r="E1794" t="str">
        <f>D1795</f>
        <v>Matt</v>
      </c>
      <c r="F1794">
        <v>2024</v>
      </c>
      <c r="G1794">
        <v>7</v>
      </c>
      <c r="H1794">
        <v>5.0999999999999996</v>
      </c>
      <c r="I1794">
        <v>114</v>
      </c>
      <c r="J1794">
        <f>I1794-I1795</f>
        <v>1</v>
      </c>
      <c r="K1794" t="str">
        <f t="shared" si="167"/>
        <v>W</v>
      </c>
      <c r="L1794" t="str">
        <f t="shared" ref="L1794:L1912" si="170">D1794</f>
        <v>David</v>
      </c>
      <c r="M1794" t="str">
        <f>VLOOKUP(L1794,References!$A$2:$B$16,2,FALSE)</f>
        <v>TEXAROK</v>
      </c>
      <c r="N1794" s="19" t="str">
        <f>IF(M1794=M1795,"N","Y")</f>
        <v>N</v>
      </c>
      <c r="O1794">
        <f>SUM(I1794:I1795)</f>
        <v>227</v>
      </c>
      <c r="P1794">
        <f t="shared" si="166"/>
        <v>113</v>
      </c>
    </row>
    <row r="1795" spans="1:16" hidden="1" x14ac:dyDescent="0.3">
      <c r="A1795" t="str">
        <f t="shared" ref="A1795:A1858" si="171">F1795&amp;D1795&amp;G1795</f>
        <v>2024Matt7</v>
      </c>
      <c r="B1795">
        <f t="shared" si="168"/>
        <v>1055</v>
      </c>
      <c r="C1795">
        <f t="shared" si="169"/>
        <v>339</v>
      </c>
      <c r="D1795" t="s">
        <v>30</v>
      </c>
      <c r="E1795" t="str">
        <f>D1794</f>
        <v>David</v>
      </c>
      <c r="F1795">
        <v>2024</v>
      </c>
      <c r="G1795">
        <v>7</v>
      </c>
      <c r="H1795">
        <v>5.2</v>
      </c>
      <c r="I1795">
        <v>113</v>
      </c>
      <c r="J1795">
        <f>I1795-I1794</f>
        <v>-1</v>
      </c>
      <c r="K1795" t="str">
        <f t="shared" si="167"/>
        <v>L</v>
      </c>
      <c r="L1795" t="str">
        <f t="shared" si="170"/>
        <v>Matt</v>
      </c>
      <c r="M1795" t="str">
        <f>VLOOKUP(L1795,References!$A$2:$B$16,2,FALSE)</f>
        <v>TEXAROK</v>
      </c>
      <c r="N1795" s="19" t="str">
        <f>IF(M1795=M1794,"N","Y")</f>
        <v>N</v>
      </c>
      <c r="O1795">
        <f>SUM(I1794:I1795)</f>
        <v>227</v>
      </c>
      <c r="P1795">
        <f t="shared" ref="P1795:P1858" si="172">I1795-J1795</f>
        <v>114</v>
      </c>
    </row>
    <row r="1796" spans="1:16" hidden="1" x14ac:dyDescent="0.3">
      <c r="A1796" t="str">
        <f t="shared" si="171"/>
        <v>2024Watty7</v>
      </c>
      <c r="B1796">
        <f t="shared" si="168"/>
        <v>836</v>
      </c>
      <c r="C1796">
        <f t="shared" si="169"/>
        <v>197</v>
      </c>
      <c r="D1796" t="s">
        <v>24</v>
      </c>
      <c r="E1796" t="str">
        <f>D1797</f>
        <v>Russell</v>
      </c>
      <c r="F1796">
        <v>2024</v>
      </c>
      <c r="G1796">
        <v>7</v>
      </c>
      <c r="H1796">
        <v>6.1</v>
      </c>
      <c r="I1796">
        <v>122</v>
      </c>
      <c r="J1796">
        <f>I1796-I1797</f>
        <v>7</v>
      </c>
      <c r="K1796" t="str">
        <f t="shared" si="167"/>
        <v>W</v>
      </c>
      <c r="L1796" t="str">
        <f t="shared" si="170"/>
        <v>Watty</v>
      </c>
      <c r="M1796" t="str">
        <f>VLOOKUP(L1796,References!$A$2:$B$16,2,FALSE)</f>
        <v>AKCOVA</v>
      </c>
      <c r="N1796" s="19" t="str">
        <f>IF(M1796=M1797,"N","Y")</f>
        <v>Y</v>
      </c>
      <c r="O1796">
        <f>SUM(I1796:I1797)</f>
        <v>237</v>
      </c>
      <c r="P1796">
        <f t="shared" si="172"/>
        <v>115</v>
      </c>
    </row>
    <row r="1797" spans="1:16" hidden="1" x14ac:dyDescent="0.3">
      <c r="A1797" t="str">
        <f t="shared" si="171"/>
        <v>2024Russell7</v>
      </c>
      <c r="B1797">
        <f t="shared" si="168"/>
        <v>1229</v>
      </c>
      <c r="C1797">
        <f t="shared" si="169"/>
        <v>305</v>
      </c>
      <c r="D1797" t="s">
        <v>28</v>
      </c>
      <c r="E1797" t="str">
        <f>D1796</f>
        <v>Watty</v>
      </c>
      <c r="F1797">
        <v>2024</v>
      </c>
      <c r="G1797">
        <v>7</v>
      </c>
      <c r="H1797">
        <v>6.2</v>
      </c>
      <c r="I1797">
        <v>115</v>
      </c>
      <c r="J1797">
        <f>I1797-I1796</f>
        <v>-7</v>
      </c>
      <c r="K1797" t="str">
        <f t="shared" si="167"/>
        <v>L</v>
      </c>
      <c r="L1797" t="str">
        <f t="shared" si="170"/>
        <v>Russell</v>
      </c>
      <c r="M1797" t="str">
        <f>VLOOKUP(L1797,References!$A$2:$B$16,2,FALSE)</f>
        <v>TEXAROK</v>
      </c>
      <c r="N1797" s="19" t="str">
        <f>IF(M1797=M1796,"N","Y")</f>
        <v>Y</v>
      </c>
      <c r="O1797">
        <f>SUM(I1796:I1797)</f>
        <v>237</v>
      </c>
      <c r="P1797">
        <f t="shared" si="172"/>
        <v>122</v>
      </c>
    </row>
    <row r="1798" spans="1:16" hidden="1" x14ac:dyDescent="0.3">
      <c r="A1798" t="str">
        <f t="shared" si="171"/>
        <v>2024Mark7</v>
      </c>
      <c r="B1798">
        <f t="shared" si="168"/>
        <v>130</v>
      </c>
      <c r="C1798">
        <f t="shared" si="169"/>
        <v>150</v>
      </c>
      <c r="D1798" t="s">
        <v>22</v>
      </c>
      <c r="E1798" t="str">
        <f>D1799</f>
        <v>Arnold</v>
      </c>
      <c r="F1798">
        <v>2024</v>
      </c>
      <c r="G1798">
        <v>7</v>
      </c>
      <c r="H1798">
        <v>7.1</v>
      </c>
      <c r="I1798">
        <v>126</v>
      </c>
      <c r="J1798">
        <f>I1798-I1799</f>
        <v>46</v>
      </c>
      <c r="K1798" t="str">
        <f t="shared" ref="K1798:K1861" si="173">IF(J1798&gt;0,"W",IF(J1798&lt;0,"L","T"))</f>
        <v>W</v>
      </c>
      <c r="L1798" t="str">
        <f t="shared" si="170"/>
        <v>Mark</v>
      </c>
      <c r="M1798" t="str">
        <f>VLOOKUP(L1798,References!$A$2:$B$16,2,FALSE)</f>
        <v>AKCOVA</v>
      </c>
      <c r="N1798" s="19" t="str">
        <f>IF(M1798=M1799,"N","Y")</f>
        <v>N</v>
      </c>
      <c r="O1798">
        <f>SUM(I1798:I1799)</f>
        <v>206</v>
      </c>
      <c r="P1798">
        <f t="shared" si="172"/>
        <v>80</v>
      </c>
    </row>
    <row r="1799" spans="1:16" hidden="1" x14ac:dyDescent="0.3">
      <c r="A1799" t="str">
        <f t="shared" si="171"/>
        <v>2024Arnold7</v>
      </c>
      <c r="B1799">
        <f t="shared" si="168"/>
        <v>1952</v>
      </c>
      <c r="C1799">
        <f t="shared" si="169"/>
        <v>1406</v>
      </c>
      <c r="D1799" t="s">
        <v>227</v>
      </c>
      <c r="E1799" t="str">
        <f>D1798</f>
        <v>Mark</v>
      </c>
      <c r="F1799">
        <v>2024</v>
      </c>
      <c r="G1799">
        <v>7</v>
      </c>
      <c r="H1799">
        <v>7.2</v>
      </c>
      <c r="I1799">
        <v>80</v>
      </c>
      <c r="J1799">
        <f>I1799-I1798</f>
        <v>-46</v>
      </c>
      <c r="K1799" t="str">
        <f t="shared" si="173"/>
        <v>L</v>
      </c>
      <c r="L1799" t="str">
        <f t="shared" si="170"/>
        <v>Arnold</v>
      </c>
      <c r="M1799" t="str">
        <f>VLOOKUP(L1799,References!$A$2:$B$16,2,FALSE)</f>
        <v>AKCOVA</v>
      </c>
      <c r="N1799" s="19" t="str">
        <f>IF(M1799=M1798,"N","Y")</f>
        <v>N</v>
      </c>
      <c r="O1799">
        <f>SUM(I1798:I1799)</f>
        <v>206</v>
      </c>
      <c r="P1799">
        <f t="shared" si="172"/>
        <v>126</v>
      </c>
    </row>
    <row r="1800" spans="1:16" x14ac:dyDescent="0.3">
      <c r="A1800" t="str">
        <f t="shared" si="171"/>
        <v>2024Michael8</v>
      </c>
      <c r="B1800">
        <f t="shared" si="168"/>
        <v>1546</v>
      </c>
      <c r="C1800">
        <f t="shared" si="169"/>
        <v>211</v>
      </c>
      <c r="D1800" t="s">
        <v>23</v>
      </c>
      <c r="E1800" t="str">
        <f>D1801</f>
        <v>Russell</v>
      </c>
      <c r="F1800">
        <v>2024</v>
      </c>
      <c r="G1800">
        <v>8</v>
      </c>
      <c r="H1800">
        <v>1.1000000000000001</v>
      </c>
      <c r="I1800">
        <v>121</v>
      </c>
      <c r="J1800">
        <f>I1800-I1801</f>
        <v>-20</v>
      </c>
      <c r="K1800" t="str">
        <f t="shared" si="173"/>
        <v>L</v>
      </c>
      <c r="L1800" t="str">
        <f t="shared" si="170"/>
        <v>Michael</v>
      </c>
      <c r="M1800" t="str">
        <f>VLOOKUP(L1800,References!$A$2:$B$16,2,FALSE)</f>
        <v>AKCOVA</v>
      </c>
      <c r="N1800" s="19" t="str">
        <f>IF(M1800=M1801,"N","Y")</f>
        <v>Y</v>
      </c>
      <c r="O1800">
        <f>SUM(I1800:I1801)</f>
        <v>262</v>
      </c>
      <c r="P1800">
        <f t="shared" si="172"/>
        <v>141</v>
      </c>
    </row>
    <row r="1801" spans="1:16" hidden="1" x14ac:dyDescent="0.3">
      <c r="A1801" t="str">
        <f t="shared" si="171"/>
        <v>2024Russell8</v>
      </c>
      <c r="B1801">
        <f t="shared" si="168"/>
        <v>517</v>
      </c>
      <c r="C1801">
        <f t="shared" si="169"/>
        <v>52</v>
      </c>
      <c r="D1801" t="s">
        <v>28</v>
      </c>
      <c r="E1801" t="str">
        <f>D1800</f>
        <v>Michael</v>
      </c>
      <c r="F1801">
        <v>2024</v>
      </c>
      <c r="G1801">
        <v>8</v>
      </c>
      <c r="H1801">
        <v>1.2</v>
      </c>
      <c r="I1801">
        <v>141</v>
      </c>
      <c r="J1801">
        <f>I1801-I1800</f>
        <v>20</v>
      </c>
      <c r="K1801" t="str">
        <f t="shared" si="173"/>
        <v>W</v>
      </c>
      <c r="L1801" t="str">
        <f t="shared" si="170"/>
        <v>Russell</v>
      </c>
      <c r="M1801" t="str">
        <f>VLOOKUP(L1801,References!$A$2:$B$16,2,FALSE)</f>
        <v>TEXAROK</v>
      </c>
      <c r="N1801" s="19" t="str">
        <f>IF(M1801=M1800,"N","Y")</f>
        <v>Y</v>
      </c>
      <c r="O1801">
        <f>SUM(I1800:I1801)</f>
        <v>262</v>
      </c>
      <c r="P1801">
        <f t="shared" si="172"/>
        <v>121</v>
      </c>
    </row>
    <row r="1802" spans="1:16" hidden="1" x14ac:dyDescent="0.3">
      <c r="A1802" t="str">
        <f t="shared" si="171"/>
        <v>2024Brent8</v>
      </c>
      <c r="B1802">
        <f t="shared" si="168"/>
        <v>865</v>
      </c>
      <c r="C1802">
        <f t="shared" si="169"/>
        <v>678</v>
      </c>
      <c r="D1802" t="s">
        <v>47</v>
      </c>
      <c r="E1802" t="str">
        <f>D1803</f>
        <v>Jordan</v>
      </c>
      <c r="F1802">
        <v>2024</v>
      </c>
      <c r="G1802">
        <v>8</v>
      </c>
      <c r="H1802">
        <v>2.1</v>
      </c>
      <c r="I1802">
        <v>100</v>
      </c>
      <c r="J1802">
        <f>I1802-I1803</f>
        <v>6</v>
      </c>
      <c r="K1802" t="str">
        <f t="shared" si="173"/>
        <v>W</v>
      </c>
      <c r="L1802" t="str">
        <f t="shared" si="170"/>
        <v>Brent</v>
      </c>
      <c r="M1802" t="str">
        <f>VLOOKUP(L1802,References!$A$2:$B$16,2,FALSE)</f>
        <v>TEXAROK</v>
      </c>
      <c r="N1802" s="19" t="str">
        <f>IF(M1802=M1803,"N","Y")</f>
        <v>Y</v>
      </c>
      <c r="O1802">
        <f>SUM(I1802:I1803)</f>
        <v>194</v>
      </c>
      <c r="P1802">
        <f t="shared" si="172"/>
        <v>94</v>
      </c>
    </row>
    <row r="1803" spans="1:16" hidden="1" x14ac:dyDescent="0.3">
      <c r="A1803" t="str">
        <f t="shared" si="171"/>
        <v>2024Jordan8</v>
      </c>
      <c r="B1803">
        <f t="shared" si="168"/>
        <v>1197</v>
      </c>
      <c r="C1803">
        <f t="shared" si="169"/>
        <v>893</v>
      </c>
      <c r="D1803" t="s">
        <v>472</v>
      </c>
      <c r="E1803" t="str">
        <f>D1802</f>
        <v>Brent</v>
      </c>
      <c r="F1803">
        <v>2024</v>
      </c>
      <c r="G1803">
        <v>8</v>
      </c>
      <c r="H1803">
        <v>2.2000000000000002</v>
      </c>
      <c r="I1803">
        <v>94</v>
      </c>
      <c r="J1803">
        <f>I1803-I1802</f>
        <v>-6</v>
      </c>
      <c r="K1803" t="str">
        <f t="shared" si="173"/>
        <v>L</v>
      </c>
      <c r="L1803" t="str">
        <f t="shared" si="170"/>
        <v>Jordan</v>
      </c>
      <c r="M1803" t="str">
        <f>VLOOKUP(L1803,References!$A$2:$B$16,2,FALSE)</f>
        <v>AKCOVA</v>
      </c>
      <c r="N1803" s="19" t="str">
        <f>IF(M1803=M1802,"N","Y")</f>
        <v>Y</v>
      </c>
      <c r="O1803">
        <f>SUM(I1802:I1803)</f>
        <v>194</v>
      </c>
      <c r="P1803">
        <f t="shared" si="172"/>
        <v>100</v>
      </c>
    </row>
    <row r="1804" spans="1:16" hidden="1" x14ac:dyDescent="0.3">
      <c r="A1804" t="str">
        <f t="shared" si="171"/>
        <v>2024David8</v>
      </c>
      <c r="B1804">
        <f t="shared" si="168"/>
        <v>660</v>
      </c>
      <c r="C1804">
        <f t="shared" si="169"/>
        <v>83</v>
      </c>
      <c r="D1804" t="s">
        <v>29</v>
      </c>
      <c r="E1804" t="str">
        <f>D1805</f>
        <v>Watty</v>
      </c>
      <c r="F1804">
        <v>2024</v>
      </c>
      <c r="G1804">
        <v>8</v>
      </c>
      <c r="H1804">
        <v>3.1</v>
      </c>
      <c r="I1804">
        <v>134</v>
      </c>
      <c r="J1804">
        <f>I1804-I1805</f>
        <v>14</v>
      </c>
      <c r="K1804" t="str">
        <f t="shared" si="173"/>
        <v>W</v>
      </c>
      <c r="L1804" t="str">
        <f t="shared" si="170"/>
        <v>David</v>
      </c>
      <c r="M1804" t="str">
        <f>VLOOKUP(L1804,References!$A$2:$B$16,2,FALSE)</f>
        <v>TEXAROK</v>
      </c>
      <c r="N1804" s="19" t="str">
        <f>IF(M1804=M1805,"N","Y")</f>
        <v>Y</v>
      </c>
      <c r="O1804">
        <f>SUM(I1804:I1805)</f>
        <v>254</v>
      </c>
      <c r="P1804">
        <f t="shared" si="172"/>
        <v>120</v>
      </c>
    </row>
    <row r="1805" spans="1:16" hidden="1" x14ac:dyDescent="0.3">
      <c r="A1805" t="str">
        <f t="shared" si="171"/>
        <v>2024Watty8</v>
      </c>
      <c r="B1805">
        <f t="shared" si="168"/>
        <v>1409</v>
      </c>
      <c r="C1805">
        <f t="shared" si="169"/>
        <v>227</v>
      </c>
      <c r="D1805" t="s">
        <v>24</v>
      </c>
      <c r="E1805" t="str">
        <f>D1804</f>
        <v>David</v>
      </c>
      <c r="F1805">
        <v>2024</v>
      </c>
      <c r="G1805">
        <v>8</v>
      </c>
      <c r="H1805">
        <v>3.2</v>
      </c>
      <c r="I1805">
        <v>120</v>
      </c>
      <c r="J1805">
        <f>I1805-I1804</f>
        <v>-14</v>
      </c>
      <c r="K1805" t="str">
        <f t="shared" si="173"/>
        <v>L</v>
      </c>
      <c r="L1805" t="str">
        <f t="shared" si="170"/>
        <v>Watty</v>
      </c>
      <c r="M1805" t="str">
        <f>VLOOKUP(L1805,References!$A$2:$B$16,2,FALSE)</f>
        <v>AKCOVA</v>
      </c>
      <c r="N1805" s="19" t="str">
        <f>IF(M1805=M1804,"N","Y")</f>
        <v>Y</v>
      </c>
      <c r="O1805">
        <f>SUM(I1804:I1805)</f>
        <v>254</v>
      </c>
      <c r="P1805">
        <f t="shared" si="172"/>
        <v>134</v>
      </c>
    </row>
    <row r="1806" spans="1:16" hidden="1" x14ac:dyDescent="0.3">
      <c r="A1806" t="str">
        <f t="shared" si="171"/>
        <v>2024Arnold8</v>
      </c>
      <c r="B1806">
        <f t="shared" si="168"/>
        <v>782</v>
      </c>
      <c r="C1806">
        <f t="shared" si="169"/>
        <v>486</v>
      </c>
      <c r="D1806" t="s">
        <v>227</v>
      </c>
      <c r="E1806" t="str">
        <f>D1807</f>
        <v>Grayson</v>
      </c>
      <c r="F1806">
        <v>2024</v>
      </c>
      <c r="G1806">
        <v>8</v>
      </c>
      <c r="H1806">
        <v>4.0999999999999996</v>
      </c>
      <c r="I1806">
        <v>107</v>
      </c>
      <c r="J1806">
        <f>I1806-I1807</f>
        <v>9</v>
      </c>
      <c r="K1806" t="str">
        <f t="shared" si="173"/>
        <v>W</v>
      </c>
      <c r="L1806" t="str">
        <f t="shared" si="170"/>
        <v>Arnold</v>
      </c>
      <c r="M1806" t="str">
        <f>VLOOKUP(L1806,References!$A$2:$B$16,2,FALSE)</f>
        <v>AKCOVA</v>
      </c>
      <c r="N1806" s="19" t="str">
        <f>IF(M1806=M1807,"N","Y")</f>
        <v>Y</v>
      </c>
      <c r="O1806">
        <f>SUM(I1806:I1807)</f>
        <v>205</v>
      </c>
      <c r="P1806">
        <f t="shared" si="172"/>
        <v>98</v>
      </c>
    </row>
    <row r="1807" spans="1:16" hidden="1" x14ac:dyDescent="0.3">
      <c r="A1807" t="str">
        <f t="shared" si="171"/>
        <v>2024Grayson8</v>
      </c>
      <c r="B1807">
        <f t="shared" si="168"/>
        <v>1291</v>
      </c>
      <c r="C1807">
        <f t="shared" si="169"/>
        <v>746</v>
      </c>
      <c r="D1807" t="s">
        <v>473</v>
      </c>
      <c r="E1807" t="str">
        <f>D1806</f>
        <v>Arnold</v>
      </c>
      <c r="F1807">
        <v>2024</v>
      </c>
      <c r="G1807">
        <v>8</v>
      </c>
      <c r="H1807">
        <v>4.2</v>
      </c>
      <c r="I1807">
        <v>98</v>
      </c>
      <c r="J1807">
        <f>I1807-I1806</f>
        <v>-9</v>
      </c>
      <c r="K1807" t="str">
        <f t="shared" si="173"/>
        <v>L</v>
      </c>
      <c r="L1807" t="str">
        <f t="shared" si="170"/>
        <v>Grayson</v>
      </c>
      <c r="M1807" t="str">
        <f>VLOOKUP(L1807,References!$A$2:$B$16,2,FALSE)</f>
        <v>TEXAROK</v>
      </c>
      <c r="N1807" s="19" t="str">
        <f>IF(M1807=M1806,"N","Y")</f>
        <v>Y</v>
      </c>
      <c r="O1807">
        <f>SUM(I1806:I1807)</f>
        <v>205</v>
      </c>
      <c r="P1807">
        <f t="shared" si="172"/>
        <v>107</v>
      </c>
    </row>
    <row r="1808" spans="1:16" hidden="1" x14ac:dyDescent="0.3">
      <c r="A1808" t="str">
        <f t="shared" si="171"/>
        <v>2024Charles8</v>
      </c>
      <c r="B1808">
        <f t="shared" si="168"/>
        <v>1197</v>
      </c>
      <c r="C1808">
        <f t="shared" si="169"/>
        <v>321</v>
      </c>
      <c r="D1808" t="s">
        <v>48</v>
      </c>
      <c r="E1808" t="str">
        <f>D1809</f>
        <v>Emily</v>
      </c>
      <c r="F1808">
        <v>2024</v>
      </c>
      <c r="G1808">
        <v>8</v>
      </c>
      <c r="H1808">
        <v>5.0999999999999996</v>
      </c>
      <c r="I1808">
        <v>114</v>
      </c>
      <c r="J1808">
        <f>I1808-I1809</f>
        <v>-6</v>
      </c>
      <c r="K1808" t="str">
        <f t="shared" si="173"/>
        <v>L</v>
      </c>
      <c r="L1808" t="str">
        <f t="shared" si="170"/>
        <v>Charles</v>
      </c>
      <c r="M1808" t="str">
        <f>VLOOKUP(L1808,References!$A$2:$B$16,2,FALSE)</f>
        <v>AKCOVA</v>
      </c>
      <c r="N1808" s="19" t="str">
        <f>IF(M1808=M1809,"N","Y")</f>
        <v>Y</v>
      </c>
      <c r="O1808">
        <f>SUM(I1808:I1809)</f>
        <v>234</v>
      </c>
      <c r="P1808">
        <f t="shared" si="172"/>
        <v>120</v>
      </c>
    </row>
    <row r="1809" spans="1:16" hidden="1" x14ac:dyDescent="0.3">
      <c r="A1809" t="str">
        <f t="shared" si="171"/>
        <v>2024Emily8</v>
      </c>
      <c r="B1809">
        <f t="shared" si="168"/>
        <v>865</v>
      </c>
      <c r="C1809">
        <f t="shared" si="169"/>
        <v>227</v>
      </c>
      <c r="D1809" t="s">
        <v>43</v>
      </c>
      <c r="E1809" t="str">
        <f>D1808</f>
        <v>Charles</v>
      </c>
      <c r="F1809">
        <v>2024</v>
      </c>
      <c r="G1809">
        <v>8</v>
      </c>
      <c r="H1809">
        <v>5.2</v>
      </c>
      <c r="I1809">
        <v>120</v>
      </c>
      <c r="J1809">
        <f>I1809-I1808</f>
        <v>6</v>
      </c>
      <c r="K1809" t="str">
        <f t="shared" si="173"/>
        <v>W</v>
      </c>
      <c r="L1809" t="str">
        <f t="shared" si="170"/>
        <v>Emily</v>
      </c>
      <c r="M1809" t="str">
        <f>VLOOKUP(L1809,References!$A$2:$B$16,2,FALSE)</f>
        <v>TEXAROK</v>
      </c>
      <c r="N1809" s="19" t="str">
        <f>IF(M1809=M1808,"N","Y")</f>
        <v>Y</v>
      </c>
      <c r="O1809">
        <f>SUM(I1808:I1809)</f>
        <v>234</v>
      </c>
      <c r="P1809">
        <f t="shared" si="172"/>
        <v>114</v>
      </c>
    </row>
    <row r="1810" spans="1:16" hidden="1" x14ac:dyDescent="0.3">
      <c r="A1810" t="str">
        <f t="shared" si="171"/>
        <v>2024BR8</v>
      </c>
      <c r="B1810">
        <f t="shared" si="168"/>
        <v>52</v>
      </c>
      <c r="C1810">
        <f t="shared" si="169"/>
        <v>4</v>
      </c>
      <c r="D1810" t="s">
        <v>25</v>
      </c>
      <c r="E1810" t="str">
        <f>D1811</f>
        <v>Brian</v>
      </c>
      <c r="F1810">
        <v>2024</v>
      </c>
      <c r="G1810">
        <v>8</v>
      </c>
      <c r="H1810">
        <v>6.1</v>
      </c>
      <c r="I1810">
        <v>169</v>
      </c>
      <c r="J1810">
        <f>I1810-I1811</f>
        <v>60</v>
      </c>
      <c r="K1810" t="str">
        <f t="shared" si="173"/>
        <v>W</v>
      </c>
      <c r="L1810" t="str">
        <f t="shared" si="170"/>
        <v>BR</v>
      </c>
      <c r="M1810" t="str">
        <f>VLOOKUP(L1810,References!$A$2:$B$16,2,FALSE)</f>
        <v>AKCOVA</v>
      </c>
      <c r="N1810" s="19" t="str">
        <f>IF(M1810=M1811,"N","Y")</f>
        <v>Y</v>
      </c>
      <c r="O1810">
        <f>SUM(I1810:I1811)</f>
        <v>278</v>
      </c>
      <c r="P1810">
        <f t="shared" si="172"/>
        <v>109</v>
      </c>
    </row>
    <row r="1811" spans="1:16" hidden="1" x14ac:dyDescent="0.3">
      <c r="A1811" t="str">
        <f t="shared" si="171"/>
        <v>2024Brian8</v>
      </c>
      <c r="B1811">
        <f t="shared" si="168"/>
        <v>2035</v>
      </c>
      <c r="C1811">
        <f t="shared" si="169"/>
        <v>435</v>
      </c>
      <c r="D1811" t="s">
        <v>26</v>
      </c>
      <c r="E1811" t="str">
        <f>D1810</f>
        <v>BR</v>
      </c>
      <c r="F1811">
        <v>2024</v>
      </c>
      <c r="G1811">
        <v>8</v>
      </c>
      <c r="H1811">
        <v>6.2</v>
      </c>
      <c r="I1811">
        <v>109</v>
      </c>
      <c r="J1811">
        <f>I1811-I1810</f>
        <v>-60</v>
      </c>
      <c r="K1811" t="str">
        <f t="shared" si="173"/>
        <v>L</v>
      </c>
      <c r="L1811" t="str">
        <f t="shared" si="170"/>
        <v>Brian</v>
      </c>
      <c r="M1811" t="str">
        <f>VLOOKUP(L1811,References!$A$2:$B$16,2,FALSE)</f>
        <v>TEXAROK</v>
      </c>
      <c r="N1811" s="19" t="str">
        <f>IF(M1811=M1810,"N","Y")</f>
        <v>Y</v>
      </c>
      <c r="O1811">
        <f>SUM(I1810:I1811)</f>
        <v>278</v>
      </c>
      <c r="P1811">
        <f t="shared" si="172"/>
        <v>169</v>
      </c>
    </row>
    <row r="1812" spans="1:16" hidden="1" x14ac:dyDescent="0.3">
      <c r="A1812" t="str">
        <f t="shared" si="171"/>
        <v>2024Matt8</v>
      </c>
      <c r="B1812">
        <f t="shared" si="168"/>
        <v>1229</v>
      </c>
      <c r="C1812">
        <f t="shared" si="169"/>
        <v>566</v>
      </c>
      <c r="D1812" t="s">
        <v>30</v>
      </c>
      <c r="E1812" t="str">
        <f>D1813</f>
        <v>Mark</v>
      </c>
      <c r="F1812">
        <v>2024</v>
      </c>
      <c r="G1812">
        <v>8</v>
      </c>
      <c r="H1812">
        <v>7.1</v>
      </c>
      <c r="I1812">
        <v>104</v>
      </c>
      <c r="J1812">
        <f>I1812-I1813</f>
        <v>-7</v>
      </c>
      <c r="K1812" t="str">
        <f t="shared" si="173"/>
        <v>L</v>
      </c>
      <c r="L1812" t="str">
        <f t="shared" si="170"/>
        <v>Matt</v>
      </c>
      <c r="M1812" t="str">
        <f>VLOOKUP(L1812,References!$A$2:$B$16,2,FALSE)</f>
        <v>TEXAROK</v>
      </c>
      <c r="N1812" s="19" t="str">
        <f>IF(M1812=M1813,"N","Y")</f>
        <v>Y</v>
      </c>
      <c r="O1812">
        <f>SUM(I1812:I1813)</f>
        <v>215</v>
      </c>
      <c r="P1812">
        <f t="shared" si="172"/>
        <v>111</v>
      </c>
    </row>
    <row r="1813" spans="1:16" hidden="1" x14ac:dyDescent="0.3">
      <c r="A1813" t="str">
        <f t="shared" si="171"/>
        <v>2024Mark8</v>
      </c>
      <c r="B1813">
        <f t="shared" si="168"/>
        <v>836</v>
      </c>
      <c r="C1813">
        <f t="shared" si="169"/>
        <v>383</v>
      </c>
      <c r="D1813" t="s">
        <v>22</v>
      </c>
      <c r="E1813" t="str">
        <f>D1812</f>
        <v>Matt</v>
      </c>
      <c r="F1813">
        <v>2024</v>
      </c>
      <c r="G1813">
        <v>8</v>
      </c>
      <c r="H1813">
        <v>7.2</v>
      </c>
      <c r="I1813">
        <v>111</v>
      </c>
      <c r="J1813">
        <f>I1813-I1812</f>
        <v>7</v>
      </c>
      <c r="K1813" t="str">
        <f t="shared" si="173"/>
        <v>W</v>
      </c>
      <c r="L1813" t="str">
        <f t="shared" si="170"/>
        <v>Mark</v>
      </c>
      <c r="M1813" t="str">
        <f>VLOOKUP(L1813,References!$A$2:$B$16,2,FALSE)</f>
        <v>AKCOVA</v>
      </c>
      <c r="N1813" s="19" t="str">
        <f>IF(M1813=M1812,"N","Y")</f>
        <v>Y</v>
      </c>
      <c r="O1813">
        <f>SUM(I1812:I1813)</f>
        <v>215</v>
      </c>
      <c r="P1813">
        <f t="shared" si="172"/>
        <v>104</v>
      </c>
    </row>
    <row r="1814" spans="1:16" hidden="1" x14ac:dyDescent="0.3">
      <c r="A1814" t="str">
        <f t="shared" si="171"/>
        <v>2024Watty9</v>
      </c>
      <c r="B1814">
        <f t="shared" si="168"/>
        <v>1475</v>
      </c>
      <c r="C1814">
        <f t="shared" si="169"/>
        <v>1173</v>
      </c>
      <c r="D1814" t="s">
        <v>24</v>
      </c>
      <c r="E1814" t="str">
        <f>D1815</f>
        <v>Michael</v>
      </c>
      <c r="F1814">
        <v>2024</v>
      </c>
      <c r="G1814">
        <v>9</v>
      </c>
      <c r="H1814">
        <v>1.1000000000000001</v>
      </c>
      <c r="I1814">
        <v>86</v>
      </c>
      <c r="J1814">
        <f>I1814-I1815</f>
        <v>-17</v>
      </c>
      <c r="K1814" t="str">
        <f t="shared" si="173"/>
        <v>L</v>
      </c>
      <c r="L1814" t="str">
        <f t="shared" si="170"/>
        <v>Watty</v>
      </c>
      <c r="M1814" t="str">
        <f>VLOOKUP(L1814,References!$A$2:$B$16,2,FALSE)</f>
        <v>AKCOVA</v>
      </c>
      <c r="N1814" s="19" t="str">
        <f>IF(M1814=M1815,"N","Y")</f>
        <v>N</v>
      </c>
      <c r="O1814">
        <f>SUM(I1814:I1815)</f>
        <v>189</v>
      </c>
      <c r="P1814">
        <f t="shared" si="172"/>
        <v>103</v>
      </c>
    </row>
    <row r="1815" spans="1:16" hidden="1" x14ac:dyDescent="0.3">
      <c r="A1815" t="str">
        <f t="shared" si="171"/>
        <v>2024Michael9</v>
      </c>
      <c r="B1815">
        <f t="shared" si="168"/>
        <v>597</v>
      </c>
      <c r="C1815">
        <f t="shared" si="169"/>
        <v>603</v>
      </c>
      <c r="D1815" t="s">
        <v>23</v>
      </c>
      <c r="E1815" t="str">
        <f>D1814</f>
        <v>Watty</v>
      </c>
      <c r="F1815">
        <v>2024</v>
      </c>
      <c r="G1815">
        <v>9</v>
      </c>
      <c r="H1815">
        <v>1.2</v>
      </c>
      <c r="I1815">
        <v>103</v>
      </c>
      <c r="J1815">
        <f>I1815-I1814</f>
        <v>17</v>
      </c>
      <c r="K1815" t="str">
        <f t="shared" si="173"/>
        <v>W</v>
      </c>
      <c r="L1815" t="str">
        <f t="shared" si="170"/>
        <v>Michael</v>
      </c>
      <c r="M1815" t="str">
        <f>VLOOKUP(L1815,References!$A$2:$B$16,2,FALSE)</f>
        <v>AKCOVA</v>
      </c>
      <c r="N1815" s="19" t="str">
        <f>IF(M1815=M1814,"N","Y")</f>
        <v>N</v>
      </c>
      <c r="O1815">
        <f>SUM(I1814:I1815)</f>
        <v>189</v>
      </c>
      <c r="P1815">
        <f t="shared" si="172"/>
        <v>86</v>
      </c>
    </row>
    <row r="1816" spans="1:16" hidden="1" x14ac:dyDescent="0.3">
      <c r="A1816" t="str">
        <f t="shared" si="171"/>
        <v>2024Mark9</v>
      </c>
      <c r="B1816">
        <f t="shared" si="168"/>
        <v>1312</v>
      </c>
      <c r="C1816">
        <f t="shared" si="169"/>
        <v>893</v>
      </c>
      <c r="D1816" t="s">
        <v>22</v>
      </c>
      <c r="E1816" t="str">
        <f>D1817</f>
        <v>David</v>
      </c>
      <c r="F1816">
        <v>2024</v>
      </c>
      <c r="G1816">
        <v>9</v>
      </c>
      <c r="H1816">
        <v>2.1</v>
      </c>
      <c r="I1816">
        <v>94</v>
      </c>
      <c r="J1816">
        <f>I1816-I1817</f>
        <v>-10</v>
      </c>
      <c r="K1816" t="str">
        <f t="shared" si="173"/>
        <v>L</v>
      </c>
      <c r="L1816" t="str">
        <f t="shared" si="170"/>
        <v>Mark</v>
      </c>
      <c r="M1816" t="str">
        <f>VLOOKUP(L1816,References!$A$2:$B$16,2,FALSE)</f>
        <v>AKCOVA</v>
      </c>
      <c r="N1816" s="19" t="str">
        <f>IF(M1816=M1817,"N","Y")</f>
        <v>Y</v>
      </c>
      <c r="O1816">
        <f>SUM(I1816:I1817)</f>
        <v>198</v>
      </c>
      <c r="P1816">
        <f t="shared" si="172"/>
        <v>104</v>
      </c>
    </row>
    <row r="1817" spans="1:16" hidden="1" x14ac:dyDescent="0.3">
      <c r="A1817" t="str">
        <f t="shared" si="171"/>
        <v>2024David9</v>
      </c>
      <c r="B1817">
        <f t="shared" si="168"/>
        <v>758</v>
      </c>
      <c r="C1817">
        <f t="shared" si="169"/>
        <v>566</v>
      </c>
      <c r="D1817" t="s">
        <v>29</v>
      </c>
      <c r="E1817" t="str">
        <f>D1816</f>
        <v>Mark</v>
      </c>
      <c r="F1817">
        <v>2024</v>
      </c>
      <c r="G1817">
        <v>9</v>
      </c>
      <c r="H1817">
        <v>2.2000000000000002</v>
      </c>
      <c r="I1817">
        <v>104</v>
      </c>
      <c r="J1817">
        <f>I1817-I1816</f>
        <v>10</v>
      </c>
      <c r="K1817" t="str">
        <f t="shared" si="173"/>
        <v>W</v>
      </c>
      <c r="L1817" t="str">
        <f t="shared" si="170"/>
        <v>David</v>
      </c>
      <c r="M1817" t="str">
        <f>VLOOKUP(L1817,References!$A$2:$B$16,2,FALSE)</f>
        <v>TEXAROK</v>
      </c>
      <c r="N1817" s="19" t="str">
        <f>IF(M1817=M1816,"N","Y")</f>
        <v>Y</v>
      </c>
      <c r="O1817">
        <f>SUM(I1816:I1817)</f>
        <v>198</v>
      </c>
      <c r="P1817">
        <f t="shared" si="172"/>
        <v>94</v>
      </c>
    </row>
    <row r="1818" spans="1:16" hidden="1" x14ac:dyDescent="0.3">
      <c r="A1818" t="str">
        <f t="shared" si="171"/>
        <v>2024Jordan9</v>
      </c>
      <c r="B1818">
        <f t="shared" si="168"/>
        <v>1381</v>
      </c>
      <c r="C1818">
        <f t="shared" si="169"/>
        <v>652</v>
      </c>
      <c r="D1818" t="s">
        <v>472</v>
      </c>
      <c r="E1818" t="str">
        <f>D1819</f>
        <v>Charles</v>
      </c>
      <c r="F1818">
        <v>2024</v>
      </c>
      <c r="G1818">
        <v>9</v>
      </c>
      <c r="H1818">
        <v>3.1</v>
      </c>
      <c r="I1818">
        <v>101</v>
      </c>
      <c r="J1818">
        <f>I1818-I1819</f>
        <v>-13</v>
      </c>
      <c r="K1818" t="str">
        <f t="shared" si="173"/>
        <v>L</v>
      </c>
      <c r="L1818" t="str">
        <f t="shared" si="170"/>
        <v>Jordan</v>
      </c>
      <c r="M1818" t="str">
        <f>VLOOKUP(L1818,References!$A$2:$B$16,2,FALSE)</f>
        <v>AKCOVA</v>
      </c>
      <c r="N1818" s="19" t="str">
        <f>IF(M1818=M1819,"N","Y")</f>
        <v>N</v>
      </c>
      <c r="O1818">
        <f>SUM(I1818:I1819)</f>
        <v>215</v>
      </c>
      <c r="P1818">
        <f t="shared" si="172"/>
        <v>114</v>
      </c>
    </row>
    <row r="1819" spans="1:16" hidden="1" x14ac:dyDescent="0.3">
      <c r="A1819" t="str">
        <f t="shared" si="171"/>
        <v>2024Charles9</v>
      </c>
      <c r="B1819">
        <f t="shared" si="168"/>
        <v>685</v>
      </c>
      <c r="C1819">
        <f t="shared" si="169"/>
        <v>321</v>
      </c>
      <c r="D1819" t="s">
        <v>48</v>
      </c>
      <c r="E1819" t="str">
        <f>D1818</f>
        <v>Jordan</v>
      </c>
      <c r="F1819">
        <v>2024</v>
      </c>
      <c r="G1819">
        <v>9</v>
      </c>
      <c r="H1819">
        <v>3.2</v>
      </c>
      <c r="I1819">
        <v>114</v>
      </c>
      <c r="J1819">
        <f>I1819-I1818</f>
        <v>13</v>
      </c>
      <c r="K1819" t="str">
        <f t="shared" si="173"/>
        <v>W</v>
      </c>
      <c r="L1819" t="str">
        <f t="shared" si="170"/>
        <v>Charles</v>
      </c>
      <c r="M1819" t="str">
        <f>VLOOKUP(L1819,References!$A$2:$B$16,2,FALSE)</f>
        <v>AKCOVA</v>
      </c>
      <c r="N1819" s="19" t="str">
        <f>IF(M1819=M1818,"N","Y")</f>
        <v>N</v>
      </c>
      <c r="O1819">
        <f>SUM(I1818:I1819)</f>
        <v>215</v>
      </c>
      <c r="P1819">
        <f t="shared" si="172"/>
        <v>101</v>
      </c>
    </row>
    <row r="1820" spans="1:16" hidden="1" x14ac:dyDescent="0.3">
      <c r="A1820" t="str">
        <f t="shared" si="171"/>
        <v>2024Brian9</v>
      </c>
      <c r="B1820">
        <f t="shared" si="168"/>
        <v>1978</v>
      </c>
      <c r="C1820">
        <f t="shared" si="169"/>
        <v>1595</v>
      </c>
      <c r="D1820" t="s">
        <v>26</v>
      </c>
      <c r="E1820" t="str">
        <f>D1821</f>
        <v>Arnold</v>
      </c>
      <c r="F1820">
        <v>2024</v>
      </c>
      <c r="G1820">
        <v>9</v>
      </c>
      <c r="H1820">
        <v>4.0999999999999996</v>
      </c>
      <c r="I1820">
        <v>75</v>
      </c>
      <c r="J1820">
        <f>I1820-I1821</f>
        <v>-50</v>
      </c>
      <c r="K1820" t="str">
        <f t="shared" si="173"/>
        <v>L</v>
      </c>
      <c r="L1820" t="str">
        <f t="shared" si="170"/>
        <v>Brian</v>
      </c>
      <c r="M1820" t="str">
        <f>VLOOKUP(L1820,References!$A$2:$B$16,2,FALSE)</f>
        <v>TEXAROK</v>
      </c>
      <c r="N1820" s="19" t="str">
        <f>IF(M1820=M1821,"N","Y")</f>
        <v>Y</v>
      </c>
      <c r="O1820">
        <f>SUM(I1820:I1821)</f>
        <v>200</v>
      </c>
      <c r="P1820">
        <f t="shared" si="172"/>
        <v>125</v>
      </c>
    </row>
    <row r="1821" spans="1:16" hidden="1" x14ac:dyDescent="0.3">
      <c r="A1821" t="str">
        <f t="shared" si="171"/>
        <v>2024Arnold9</v>
      </c>
      <c r="B1821">
        <f t="shared" si="168"/>
        <v>107</v>
      </c>
      <c r="C1821">
        <f t="shared" si="169"/>
        <v>165</v>
      </c>
      <c r="D1821" t="s">
        <v>227</v>
      </c>
      <c r="E1821" t="str">
        <f>D1820</f>
        <v>Brian</v>
      </c>
      <c r="F1821">
        <v>2024</v>
      </c>
      <c r="G1821">
        <v>9</v>
      </c>
      <c r="H1821">
        <v>4.2</v>
      </c>
      <c r="I1821">
        <v>125</v>
      </c>
      <c r="J1821">
        <f>I1821-I1820</f>
        <v>50</v>
      </c>
      <c r="K1821" t="str">
        <f t="shared" si="173"/>
        <v>W</v>
      </c>
      <c r="L1821" t="str">
        <f t="shared" si="170"/>
        <v>Arnold</v>
      </c>
      <c r="M1821" t="str">
        <f>VLOOKUP(L1821,References!$A$2:$B$16,2,FALSE)</f>
        <v>AKCOVA</v>
      </c>
      <c r="N1821" s="19" t="str">
        <f>IF(M1821=M1820,"N","Y")</f>
        <v>Y</v>
      </c>
      <c r="O1821">
        <f>SUM(I1820:I1821)</f>
        <v>200</v>
      </c>
      <c r="P1821">
        <f t="shared" si="172"/>
        <v>75</v>
      </c>
    </row>
    <row r="1822" spans="1:16" hidden="1" x14ac:dyDescent="0.3">
      <c r="A1822" t="str">
        <f t="shared" si="171"/>
        <v>2024Russell9</v>
      </c>
      <c r="B1822">
        <f t="shared" si="168"/>
        <v>1312</v>
      </c>
      <c r="C1822">
        <f t="shared" si="169"/>
        <v>339</v>
      </c>
      <c r="D1822" t="s">
        <v>28</v>
      </c>
      <c r="E1822" t="str">
        <f>D1823</f>
        <v>Brent</v>
      </c>
      <c r="F1822">
        <v>2024</v>
      </c>
      <c r="G1822">
        <v>9</v>
      </c>
      <c r="H1822">
        <v>5.0999999999999996</v>
      </c>
      <c r="I1822">
        <v>113</v>
      </c>
      <c r="J1822">
        <f>I1822-I1823</f>
        <v>-10</v>
      </c>
      <c r="K1822" t="str">
        <f t="shared" si="173"/>
        <v>L</v>
      </c>
      <c r="L1822" t="str">
        <f t="shared" si="170"/>
        <v>Russell</v>
      </c>
      <c r="M1822" t="str">
        <f>VLOOKUP(L1822,References!$A$2:$B$16,2,FALSE)</f>
        <v>TEXAROK</v>
      </c>
      <c r="N1822" s="19" t="str">
        <f>IF(M1822=M1823,"N","Y")</f>
        <v>N</v>
      </c>
      <c r="O1822">
        <f>SUM(I1822:I1823)</f>
        <v>236</v>
      </c>
      <c r="P1822">
        <f t="shared" si="172"/>
        <v>123</v>
      </c>
    </row>
    <row r="1823" spans="1:16" hidden="1" x14ac:dyDescent="0.3">
      <c r="A1823" t="str">
        <f t="shared" si="171"/>
        <v>2024Brent9</v>
      </c>
      <c r="B1823">
        <f t="shared" si="168"/>
        <v>758</v>
      </c>
      <c r="C1823">
        <f t="shared" si="169"/>
        <v>186</v>
      </c>
      <c r="D1823" t="s">
        <v>47</v>
      </c>
      <c r="E1823" t="str">
        <f>D1822</f>
        <v>Russell</v>
      </c>
      <c r="F1823">
        <v>2024</v>
      </c>
      <c r="G1823">
        <v>9</v>
      </c>
      <c r="H1823">
        <v>5.2</v>
      </c>
      <c r="I1823">
        <v>123</v>
      </c>
      <c r="J1823">
        <f>I1823-I1822</f>
        <v>10</v>
      </c>
      <c r="K1823" t="str">
        <f t="shared" si="173"/>
        <v>W</v>
      </c>
      <c r="L1823" t="str">
        <f t="shared" si="170"/>
        <v>Brent</v>
      </c>
      <c r="M1823" t="str">
        <f>VLOOKUP(L1823,References!$A$2:$B$16,2,FALSE)</f>
        <v>TEXAROK</v>
      </c>
      <c r="N1823" s="19" t="str">
        <f>IF(M1823=M1822,"N","Y")</f>
        <v>N</v>
      </c>
      <c r="O1823">
        <f>SUM(I1822:I1823)</f>
        <v>236</v>
      </c>
      <c r="P1823">
        <f t="shared" si="172"/>
        <v>113</v>
      </c>
    </row>
    <row r="1824" spans="1:16" hidden="1" x14ac:dyDescent="0.3">
      <c r="A1824" t="str">
        <f t="shared" si="171"/>
        <v>2024Emily9</v>
      </c>
      <c r="B1824">
        <f t="shared" si="168"/>
        <v>142</v>
      </c>
      <c r="C1824">
        <f t="shared" si="169"/>
        <v>23</v>
      </c>
      <c r="D1824" t="s">
        <v>43</v>
      </c>
      <c r="E1824" t="str">
        <f>D1825</f>
        <v>BR</v>
      </c>
      <c r="F1824">
        <v>2024</v>
      </c>
      <c r="G1824">
        <v>9</v>
      </c>
      <c r="H1824">
        <v>6.1</v>
      </c>
      <c r="I1824">
        <v>151</v>
      </c>
      <c r="J1824">
        <f>I1824-I1825</f>
        <v>45</v>
      </c>
      <c r="K1824" t="str">
        <f t="shared" si="173"/>
        <v>W</v>
      </c>
      <c r="L1824" t="str">
        <f t="shared" si="170"/>
        <v>Emily</v>
      </c>
      <c r="M1824" t="str">
        <f>VLOOKUP(L1824,References!$A$2:$B$16,2,FALSE)</f>
        <v>TEXAROK</v>
      </c>
      <c r="N1824" s="19" t="str">
        <f>IF(M1824=M1825,"N","Y")</f>
        <v>Y</v>
      </c>
      <c r="O1824">
        <f>SUM(I1824:I1825)</f>
        <v>257</v>
      </c>
      <c r="P1824">
        <f t="shared" si="172"/>
        <v>106</v>
      </c>
    </row>
    <row r="1825" spans="1:16" hidden="1" x14ac:dyDescent="0.3">
      <c r="A1825" t="str">
        <f t="shared" si="171"/>
        <v>2024BR9</v>
      </c>
      <c r="B1825">
        <f t="shared" si="168"/>
        <v>1944</v>
      </c>
      <c r="C1825">
        <f t="shared" si="169"/>
        <v>509</v>
      </c>
      <c r="D1825" t="s">
        <v>25</v>
      </c>
      <c r="E1825" t="str">
        <f>D1824</f>
        <v>Emily</v>
      </c>
      <c r="F1825">
        <v>2024</v>
      </c>
      <c r="G1825">
        <v>9</v>
      </c>
      <c r="H1825">
        <v>6.2</v>
      </c>
      <c r="I1825">
        <v>106</v>
      </c>
      <c r="J1825">
        <f>I1825-I1824</f>
        <v>-45</v>
      </c>
      <c r="K1825" t="str">
        <f t="shared" si="173"/>
        <v>L</v>
      </c>
      <c r="L1825" t="str">
        <f t="shared" si="170"/>
        <v>BR</v>
      </c>
      <c r="M1825" t="str">
        <f>VLOOKUP(L1825,References!$A$2:$B$16,2,FALSE)</f>
        <v>AKCOVA</v>
      </c>
      <c r="N1825" s="19" t="str">
        <f>IF(M1825=M1824,"N","Y")</f>
        <v>Y</v>
      </c>
      <c r="O1825">
        <f>SUM(I1824:I1825)</f>
        <v>257</v>
      </c>
      <c r="P1825">
        <f t="shared" si="172"/>
        <v>151</v>
      </c>
    </row>
    <row r="1826" spans="1:16" hidden="1" x14ac:dyDescent="0.3">
      <c r="A1826" t="str">
        <f t="shared" si="171"/>
        <v>2024Grayson9</v>
      </c>
      <c r="B1826">
        <f t="shared" si="168"/>
        <v>1523</v>
      </c>
      <c r="C1826">
        <f t="shared" si="169"/>
        <v>339</v>
      </c>
      <c r="D1826" t="s">
        <v>473</v>
      </c>
      <c r="E1826" t="str">
        <f>D1827</f>
        <v>Matt</v>
      </c>
      <c r="F1826">
        <v>2024</v>
      </c>
      <c r="G1826">
        <v>9</v>
      </c>
      <c r="H1826">
        <v>7.1</v>
      </c>
      <c r="I1826">
        <v>113</v>
      </c>
      <c r="J1826">
        <f>I1826-I1827</f>
        <v>-19</v>
      </c>
      <c r="K1826" t="str">
        <f t="shared" si="173"/>
        <v>L</v>
      </c>
      <c r="L1826" t="str">
        <f t="shared" si="170"/>
        <v>Grayson</v>
      </c>
      <c r="M1826" t="str">
        <f>VLOOKUP(L1826,References!$A$2:$B$16,2,FALSE)</f>
        <v>TEXAROK</v>
      </c>
      <c r="N1826" s="19" t="str">
        <f>IF(M1826=M1827,"N","Y")</f>
        <v>N</v>
      </c>
      <c r="O1826">
        <f>SUM(I1826:I1827)</f>
        <v>245</v>
      </c>
      <c r="P1826">
        <f t="shared" si="172"/>
        <v>132</v>
      </c>
    </row>
    <row r="1827" spans="1:16" hidden="1" x14ac:dyDescent="0.3">
      <c r="A1827" t="str">
        <f t="shared" si="171"/>
        <v>2024Matt9</v>
      </c>
      <c r="B1827">
        <f t="shared" si="168"/>
        <v>548</v>
      </c>
      <c r="C1827">
        <f t="shared" si="169"/>
        <v>96</v>
      </c>
      <c r="D1827" t="s">
        <v>30</v>
      </c>
      <c r="E1827" t="str">
        <f>D1826</f>
        <v>Grayson</v>
      </c>
      <c r="F1827">
        <v>2024</v>
      </c>
      <c r="G1827">
        <v>9</v>
      </c>
      <c r="H1827">
        <v>7.2</v>
      </c>
      <c r="I1827">
        <v>132</v>
      </c>
      <c r="J1827">
        <f>I1827-I1826</f>
        <v>19</v>
      </c>
      <c r="K1827" t="str">
        <f t="shared" si="173"/>
        <v>W</v>
      </c>
      <c r="L1827" t="str">
        <f t="shared" si="170"/>
        <v>Matt</v>
      </c>
      <c r="M1827" t="str">
        <f>VLOOKUP(L1827,References!$A$2:$B$16,2,FALSE)</f>
        <v>TEXAROK</v>
      </c>
      <c r="N1827" s="19" t="str">
        <f>IF(M1827=M1826,"N","Y")</f>
        <v>N</v>
      </c>
      <c r="O1827">
        <f>SUM(I1826:I1827)</f>
        <v>245</v>
      </c>
      <c r="P1827">
        <f t="shared" si="172"/>
        <v>113</v>
      </c>
    </row>
    <row r="1828" spans="1:16" hidden="1" x14ac:dyDescent="0.3">
      <c r="A1828" t="str">
        <f t="shared" si="171"/>
        <v>2024Brent10</v>
      </c>
      <c r="B1828">
        <f t="shared" ref="B1828:B1869" si="174">RANK(J1828,diff)</f>
        <v>685</v>
      </c>
      <c r="C1828">
        <f t="shared" ref="C1828:C1869" si="175">RANK(I1828,points)</f>
        <v>857</v>
      </c>
      <c r="D1828" t="s">
        <v>47</v>
      </c>
      <c r="E1828" t="str">
        <f>D1829</f>
        <v>Michael</v>
      </c>
      <c r="F1828">
        <v>2024</v>
      </c>
      <c r="G1828">
        <v>10</v>
      </c>
      <c r="H1828">
        <v>1.1000000000000001</v>
      </c>
      <c r="I1828">
        <v>95</v>
      </c>
      <c r="J1828">
        <f>I1828-I1829</f>
        <v>13</v>
      </c>
      <c r="K1828" t="str">
        <f t="shared" si="173"/>
        <v>W</v>
      </c>
      <c r="L1828" t="str">
        <f t="shared" si="170"/>
        <v>Brent</v>
      </c>
      <c r="M1828" t="str">
        <f>VLOOKUP(L1828,References!$A$2:$B$16,2,FALSE)</f>
        <v>TEXAROK</v>
      </c>
      <c r="N1828" s="19" t="str">
        <f>IF(M1828=M1829,"N","Y")</f>
        <v>Y</v>
      </c>
      <c r="O1828">
        <f>SUM(I1828:I1829)</f>
        <v>177</v>
      </c>
      <c r="P1828">
        <f t="shared" si="172"/>
        <v>82</v>
      </c>
    </row>
    <row r="1829" spans="1:16" hidden="1" x14ac:dyDescent="0.3">
      <c r="A1829" t="str">
        <f t="shared" si="171"/>
        <v>2024Michael10</v>
      </c>
      <c r="B1829">
        <f t="shared" si="174"/>
        <v>1381</v>
      </c>
      <c r="C1829">
        <f t="shared" si="175"/>
        <v>1318</v>
      </c>
      <c r="D1829" t="s">
        <v>23</v>
      </c>
      <c r="E1829" t="str">
        <f>D1828</f>
        <v>Brent</v>
      </c>
      <c r="F1829">
        <v>2024</v>
      </c>
      <c r="G1829">
        <v>10</v>
      </c>
      <c r="H1829">
        <v>1.2</v>
      </c>
      <c r="I1829">
        <v>82</v>
      </c>
      <c r="J1829">
        <f>I1829-I1828</f>
        <v>-13</v>
      </c>
      <c r="K1829" t="str">
        <f t="shared" si="173"/>
        <v>L</v>
      </c>
      <c r="L1829" t="str">
        <f t="shared" si="170"/>
        <v>Michael</v>
      </c>
      <c r="M1829" t="str">
        <f>VLOOKUP(L1829,References!$A$2:$B$16,2,FALSE)</f>
        <v>AKCOVA</v>
      </c>
      <c r="N1829" s="19" t="str">
        <f>IF(M1829=M1828,"N","Y")</f>
        <v>Y</v>
      </c>
      <c r="O1829">
        <f>SUM(I1828:I1829)</f>
        <v>177</v>
      </c>
      <c r="P1829">
        <f t="shared" si="172"/>
        <v>95</v>
      </c>
    </row>
    <row r="1830" spans="1:16" hidden="1" x14ac:dyDescent="0.3">
      <c r="A1830" t="str">
        <f t="shared" si="171"/>
        <v>2024David10</v>
      </c>
      <c r="B1830">
        <f t="shared" si="174"/>
        <v>897</v>
      </c>
      <c r="C1830">
        <f t="shared" si="175"/>
        <v>746</v>
      </c>
      <c r="D1830" t="s">
        <v>29</v>
      </c>
      <c r="E1830" t="str">
        <f>D1831</f>
        <v>Grayson</v>
      </c>
      <c r="F1830">
        <v>2024</v>
      </c>
      <c r="G1830">
        <v>10</v>
      </c>
      <c r="H1830">
        <v>2.1</v>
      </c>
      <c r="I1830">
        <v>98</v>
      </c>
      <c r="J1830">
        <f>I1830-I1831</f>
        <v>5</v>
      </c>
      <c r="K1830" t="str">
        <f t="shared" si="173"/>
        <v>W</v>
      </c>
      <c r="L1830" t="str">
        <f t="shared" si="170"/>
        <v>David</v>
      </c>
      <c r="M1830" t="str">
        <f>VLOOKUP(L1830,References!$A$2:$B$16,2,FALSE)</f>
        <v>TEXAROK</v>
      </c>
      <c r="N1830" s="19" t="str">
        <f>IF(M1830=M1831,"N","Y")</f>
        <v>N</v>
      </c>
      <c r="O1830">
        <f>SUM(I1830:I1831)</f>
        <v>191</v>
      </c>
      <c r="P1830">
        <f t="shared" si="172"/>
        <v>93</v>
      </c>
    </row>
    <row r="1831" spans="1:16" hidden="1" x14ac:dyDescent="0.3">
      <c r="A1831" t="str">
        <f t="shared" si="171"/>
        <v>2024Grayson10</v>
      </c>
      <c r="B1831">
        <f t="shared" si="174"/>
        <v>1177</v>
      </c>
      <c r="C1831">
        <f t="shared" si="175"/>
        <v>926</v>
      </c>
      <c r="D1831" t="s">
        <v>473</v>
      </c>
      <c r="E1831" t="str">
        <f>D1830</f>
        <v>David</v>
      </c>
      <c r="F1831">
        <v>2024</v>
      </c>
      <c r="G1831">
        <v>10</v>
      </c>
      <c r="H1831">
        <v>2.2000000000000002</v>
      </c>
      <c r="I1831">
        <v>93</v>
      </c>
      <c r="J1831">
        <f>I1831-I1830</f>
        <v>-5</v>
      </c>
      <c r="K1831" t="str">
        <f t="shared" si="173"/>
        <v>L</v>
      </c>
      <c r="L1831" t="str">
        <f t="shared" si="170"/>
        <v>Grayson</v>
      </c>
      <c r="M1831" t="str">
        <f>VLOOKUP(L1831,References!$A$2:$B$16,2,FALSE)</f>
        <v>TEXAROK</v>
      </c>
      <c r="N1831" s="19" t="str">
        <f>IF(M1831=M1830,"N","Y")</f>
        <v>N</v>
      </c>
      <c r="O1831">
        <f>SUM(I1830:I1831)</f>
        <v>191</v>
      </c>
      <c r="P1831">
        <f t="shared" si="172"/>
        <v>98</v>
      </c>
    </row>
    <row r="1832" spans="1:16" hidden="1" x14ac:dyDescent="0.3">
      <c r="A1832" t="str">
        <f t="shared" si="171"/>
        <v>2024Mark10</v>
      </c>
      <c r="B1832">
        <f t="shared" si="174"/>
        <v>6</v>
      </c>
      <c r="C1832">
        <f t="shared" si="175"/>
        <v>7</v>
      </c>
      <c r="D1832" t="s">
        <v>22</v>
      </c>
      <c r="E1832" t="str">
        <f>D1833</f>
        <v>Watty</v>
      </c>
      <c r="F1832">
        <v>2024</v>
      </c>
      <c r="G1832">
        <v>10</v>
      </c>
      <c r="H1832">
        <v>3.1</v>
      </c>
      <c r="I1832">
        <v>164</v>
      </c>
      <c r="J1832">
        <f>I1832-I1833</f>
        <v>86</v>
      </c>
      <c r="K1832" t="str">
        <f t="shared" si="173"/>
        <v>W</v>
      </c>
      <c r="L1832" t="str">
        <f t="shared" si="170"/>
        <v>Mark</v>
      </c>
      <c r="M1832" t="str">
        <f>VLOOKUP(L1832,References!$A$2:$B$16,2,FALSE)</f>
        <v>AKCOVA</v>
      </c>
      <c r="N1832" s="19" t="str">
        <f>IF(M1832=M1833,"N","Y")</f>
        <v>N</v>
      </c>
      <c r="O1832">
        <f>SUM(I1832:I1833)</f>
        <v>242</v>
      </c>
      <c r="P1832">
        <f t="shared" si="172"/>
        <v>78</v>
      </c>
    </row>
    <row r="1833" spans="1:16" hidden="1" x14ac:dyDescent="0.3">
      <c r="A1833" t="str">
        <f t="shared" si="171"/>
        <v>2024Watty10</v>
      </c>
      <c r="B1833">
        <f t="shared" si="174"/>
        <v>2087</v>
      </c>
      <c r="C1833">
        <f t="shared" si="175"/>
        <v>1468</v>
      </c>
      <c r="D1833" t="s">
        <v>24</v>
      </c>
      <c r="E1833" t="str">
        <f>D1832</f>
        <v>Mark</v>
      </c>
      <c r="F1833">
        <v>2024</v>
      </c>
      <c r="G1833">
        <v>10</v>
      </c>
      <c r="H1833">
        <v>3.2</v>
      </c>
      <c r="I1833">
        <v>78</v>
      </c>
      <c r="J1833">
        <f>I1833-I1832</f>
        <v>-86</v>
      </c>
      <c r="K1833" t="str">
        <f t="shared" si="173"/>
        <v>L</v>
      </c>
      <c r="L1833" t="str">
        <f t="shared" si="170"/>
        <v>Watty</v>
      </c>
      <c r="M1833" t="str">
        <f>VLOOKUP(L1833,References!$A$2:$B$16,2,FALSE)</f>
        <v>AKCOVA</v>
      </c>
      <c r="N1833" s="19" t="str">
        <f>IF(M1833=M1832,"N","Y")</f>
        <v>N</v>
      </c>
      <c r="O1833">
        <f>SUM(I1832:I1833)</f>
        <v>242</v>
      </c>
      <c r="P1833">
        <f t="shared" si="172"/>
        <v>164</v>
      </c>
    </row>
    <row r="1834" spans="1:16" hidden="1" x14ac:dyDescent="0.3">
      <c r="A1834" t="str">
        <f t="shared" si="171"/>
        <v>2024Matt10</v>
      </c>
      <c r="B1834">
        <f t="shared" si="174"/>
        <v>1856</v>
      </c>
      <c r="C1834">
        <f t="shared" si="175"/>
        <v>1512</v>
      </c>
      <c r="D1834" t="s">
        <v>30</v>
      </c>
      <c r="E1834" t="str">
        <f>D1835</f>
        <v>Brian</v>
      </c>
      <c r="F1834">
        <v>2024</v>
      </c>
      <c r="G1834">
        <v>10</v>
      </c>
      <c r="H1834">
        <v>4.0999999999999996</v>
      </c>
      <c r="I1834">
        <v>77</v>
      </c>
      <c r="J1834">
        <f>I1834-I1835</f>
        <v>-37</v>
      </c>
      <c r="K1834" t="str">
        <f t="shared" si="173"/>
        <v>L</v>
      </c>
      <c r="L1834" t="str">
        <f t="shared" si="170"/>
        <v>Matt</v>
      </c>
      <c r="M1834" t="str">
        <f>VLOOKUP(L1834,References!$A$2:$B$16,2,FALSE)</f>
        <v>TEXAROK</v>
      </c>
      <c r="N1834" s="19" t="str">
        <f>IF(M1834=M1835,"N","Y")</f>
        <v>N</v>
      </c>
      <c r="O1834">
        <f>SUM(I1834:I1835)</f>
        <v>191</v>
      </c>
      <c r="P1834">
        <f t="shared" si="172"/>
        <v>114</v>
      </c>
    </row>
    <row r="1835" spans="1:16" hidden="1" x14ac:dyDescent="0.3">
      <c r="A1835" t="str">
        <f t="shared" si="171"/>
        <v>2024Brian10</v>
      </c>
      <c r="B1835">
        <f t="shared" si="174"/>
        <v>225</v>
      </c>
      <c r="C1835">
        <f t="shared" si="175"/>
        <v>321</v>
      </c>
      <c r="D1835" t="s">
        <v>26</v>
      </c>
      <c r="E1835" t="str">
        <f>D1834</f>
        <v>Matt</v>
      </c>
      <c r="F1835">
        <v>2024</v>
      </c>
      <c r="G1835">
        <v>10</v>
      </c>
      <c r="H1835">
        <v>4.2</v>
      </c>
      <c r="I1835">
        <v>114</v>
      </c>
      <c r="J1835">
        <f>I1835-I1834</f>
        <v>37</v>
      </c>
      <c r="K1835" t="str">
        <f t="shared" si="173"/>
        <v>W</v>
      </c>
      <c r="L1835" t="str">
        <f t="shared" si="170"/>
        <v>Brian</v>
      </c>
      <c r="M1835" t="str">
        <f>VLOOKUP(L1835,References!$A$2:$B$16,2,FALSE)</f>
        <v>TEXAROK</v>
      </c>
      <c r="N1835" s="19" t="str">
        <f>IF(M1835=M1834,"N","Y")</f>
        <v>N</v>
      </c>
      <c r="O1835">
        <f>SUM(I1834:I1835)</f>
        <v>191</v>
      </c>
      <c r="P1835">
        <f t="shared" si="172"/>
        <v>77</v>
      </c>
    </row>
    <row r="1836" spans="1:16" hidden="1" x14ac:dyDescent="0.3">
      <c r="A1836" t="str">
        <f t="shared" si="171"/>
        <v>2024BR10</v>
      </c>
      <c r="B1836">
        <f t="shared" si="174"/>
        <v>392</v>
      </c>
      <c r="C1836">
        <f t="shared" si="175"/>
        <v>926</v>
      </c>
      <c r="D1836" t="s">
        <v>25</v>
      </c>
      <c r="E1836" t="str">
        <f>D1837</f>
        <v>Jordan</v>
      </c>
      <c r="F1836">
        <v>2024</v>
      </c>
      <c r="G1836">
        <v>10</v>
      </c>
      <c r="H1836">
        <v>5.0999999999999996</v>
      </c>
      <c r="I1836">
        <v>93</v>
      </c>
      <c r="J1836">
        <f>I1836-I1837</f>
        <v>26</v>
      </c>
      <c r="K1836" t="str">
        <f t="shared" si="173"/>
        <v>W</v>
      </c>
      <c r="L1836" t="str">
        <f t="shared" si="170"/>
        <v>BR</v>
      </c>
      <c r="M1836" t="str">
        <f>VLOOKUP(L1836,References!$A$2:$B$16,2,FALSE)</f>
        <v>AKCOVA</v>
      </c>
      <c r="N1836" s="19" t="str">
        <f>IF(M1836=M1837,"N","Y")</f>
        <v>N</v>
      </c>
      <c r="O1836">
        <f>SUM(I1836:I1837)</f>
        <v>160</v>
      </c>
      <c r="P1836">
        <f t="shared" si="172"/>
        <v>67</v>
      </c>
    </row>
    <row r="1837" spans="1:16" hidden="1" x14ac:dyDescent="0.3">
      <c r="A1837" t="str">
        <f t="shared" si="171"/>
        <v>2024Jordan10</v>
      </c>
      <c r="B1837">
        <f t="shared" si="174"/>
        <v>1684</v>
      </c>
      <c r="C1837">
        <f t="shared" si="175"/>
        <v>1815</v>
      </c>
      <c r="D1837" t="s">
        <v>472</v>
      </c>
      <c r="E1837" t="str">
        <f>D1836</f>
        <v>BR</v>
      </c>
      <c r="F1837">
        <v>2024</v>
      </c>
      <c r="G1837">
        <v>10</v>
      </c>
      <c r="H1837">
        <v>5.2</v>
      </c>
      <c r="I1837">
        <v>67</v>
      </c>
      <c r="J1837">
        <f>I1837-I1836</f>
        <v>-26</v>
      </c>
      <c r="K1837" t="str">
        <f t="shared" si="173"/>
        <v>L</v>
      </c>
      <c r="L1837" t="str">
        <f t="shared" si="170"/>
        <v>Jordan</v>
      </c>
      <c r="M1837" t="str">
        <f>VLOOKUP(L1837,References!$A$2:$B$16,2,FALSE)</f>
        <v>AKCOVA</v>
      </c>
      <c r="N1837" s="19" t="str">
        <f>IF(M1837=M1836,"N","Y")</f>
        <v>N</v>
      </c>
      <c r="O1837">
        <f>SUM(I1836:I1837)</f>
        <v>160</v>
      </c>
      <c r="P1837">
        <f t="shared" si="172"/>
        <v>93</v>
      </c>
    </row>
    <row r="1838" spans="1:16" hidden="1" x14ac:dyDescent="0.3">
      <c r="A1838" t="str">
        <f t="shared" si="171"/>
        <v>2024Charles10</v>
      </c>
      <c r="B1838">
        <f t="shared" si="174"/>
        <v>1577</v>
      </c>
      <c r="C1838">
        <f t="shared" si="175"/>
        <v>822</v>
      </c>
      <c r="D1838" t="s">
        <v>48</v>
      </c>
      <c r="E1838" t="str">
        <f>D1839</f>
        <v>Russell</v>
      </c>
      <c r="F1838">
        <v>2024</v>
      </c>
      <c r="G1838">
        <v>10</v>
      </c>
      <c r="H1838">
        <v>6.1</v>
      </c>
      <c r="I1838">
        <v>96</v>
      </c>
      <c r="J1838">
        <f>I1838-I1839</f>
        <v>-21</v>
      </c>
      <c r="K1838" t="str">
        <f t="shared" si="173"/>
        <v>L</v>
      </c>
      <c r="L1838" t="str">
        <f t="shared" si="170"/>
        <v>Charles</v>
      </c>
      <c r="M1838" t="str">
        <f>VLOOKUP(L1838,References!$A$2:$B$16,2,FALSE)</f>
        <v>AKCOVA</v>
      </c>
      <c r="N1838" s="19" t="str">
        <f>IF(M1838=M1839,"N","Y")</f>
        <v>Y</v>
      </c>
      <c r="O1838">
        <f>SUM(I1838:I1839)</f>
        <v>213</v>
      </c>
      <c r="P1838">
        <f t="shared" si="172"/>
        <v>117</v>
      </c>
    </row>
    <row r="1839" spans="1:16" hidden="1" x14ac:dyDescent="0.3">
      <c r="A1839" t="str">
        <f t="shared" si="171"/>
        <v>2024Russell10</v>
      </c>
      <c r="B1839">
        <f t="shared" si="174"/>
        <v>489</v>
      </c>
      <c r="C1839">
        <f t="shared" si="175"/>
        <v>275</v>
      </c>
      <c r="D1839" t="s">
        <v>28</v>
      </c>
      <c r="E1839" t="str">
        <f>D1838</f>
        <v>Charles</v>
      </c>
      <c r="F1839">
        <v>2024</v>
      </c>
      <c r="G1839">
        <v>10</v>
      </c>
      <c r="H1839">
        <v>6.2</v>
      </c>
      <c r="I1839">
        <v>117</v>
      </c>
      <c r="J1839">
        <f>I1839-I1838</f>
        <v>21</v>
      </c>
      <c r="K1839" t="str">
        <f t="shared" si="173"/>
        <v>W</v>
      </c>
      <c r="L1839" t="str">
        <f t="shared" si="170"/>
        <v>Russell</v>
      </c>
      <c r="M1839" t="str">
        <f>VLOOKUP(L1839,References!$A$2:$B$16,2,FALSE)</f>
        <v>TEXAROK</v>
      </c>
      <c r="N1839" s="19" t="str">
        <f>IF(M1839=M1838,"N","Y")</f>
        <v>Y</v>
      </c>
      <c r="O1839">
        <f>SUM(I1838:I1839)</f>
        <v>213</v>
      </c>
      <c r="P1839">
        <f t="shared" si="172"/>
        <v>96</v>
      </c>
    </row>
    <row r="1840" spans="1:16" hidden="1" x14ac:dyDescent="0.3">
      <c r="A1840" t="str">
        <f t="shared" si="171"/>
        <v>2024Arnold10</v>
      </c>
      <c r="B1840">
        <f t="shared" si="174"/>
        <v>469</v>
      </c>
      <c r="C1840">
        <f t="shared" si="175"/>
        <v>89</v>
      </c>
      <c r="D1840" t="s">
        <v>227</v>
      </c>
      <c r="E1840" t="str">
        <f>D1841</f>
        <v>Emily</v>
      </c>
      <c r="F1840">
        <v>2024</v>
      </c>
      <c r="G1840">
        <v>10</v>
      </c>
      <c r="H1840">
        <v>7.1</v>
      </c>
      <c r="I1840">
        <v>133</v>
      </c>
      <c r="J1840">
        <f>I1840-I1841</f>
        <v>22</v>
      </c>
      <c r="K1840" t="str">
        <f t="shared" si="173"/>
        <v>W</v>
      </c>
      <c r="L1840" t="str">
        <f t="shared" si="170"/>
        <v>Arnold</v>
      </c>
      <c r="M1840" t="str">
        <f>VLOOKUP(L1840,References!$A$2:$B$16,2,FALSE)</f>
        <v>AKCOVA</v>
      </c>
      <c r="N1840" s="19" t="str">
        <f>IF(M1840=M1841,"N","Y")</f>
        <v>Y</v>
      </c>
      <c r="O1840">
        <f>SUM(I1840:I1841)</f>
        <v>244</v>
      </c>
      <c r="P1840">
        <f t="shared" si="172"/>
        <v>111</v>
      </c>
    </row>
    <row r="1841" spans="1:16" hidden="1" x14ac:dyDescent="0.3">
      <c r="A1841" t="str">
        <f t="shared" si="171"/>
        <v>2024Emily10</v>
      </c>
      <c r="B1841">
        <f t="shared" si="174"/>
        <v>1605</v>
      </c>
      <c r="C1841">
        <f t="shared" si="175"/>
        <v>383</v>
      </c>
      <c r="D1841" t="s">
        <v>43</v>
      </c>
      <c r="E1841" t="str">
        <f>D1840</f>
        <v>Arnold</v>
      </c>
      <c r="F1841">
        <v>2024</v>
      </c>
      <c r="G1841">
        <v>10</v>
      </c>
      <c r="H1841">
        <v>7.2</v>
      </c>
      <c r="I1841">
        <v>111</v>
      </c>
      <c r="J1841">
        <f>I1841-I1840</f>
        <v>-22</v>
      </c>
      <c r="K1841" t="str">
        <f t="shared" si="173"/>
        <v>L</v>
      </c>
      <c r="L1841" t="str">
        <f t="shared" si="170"/>
        <v>Emily</v>
      </c>
      <c r="M1841" t="str">
        <f>VLOOKUP(L1841,References!$A$2:$B$16,2,FALSE)</f>
        <v>TEXAROK</v>
      </c>
      <c r="N1841" s="19" t="str">
        <f>IF(M1841=M1840,"N","Y")</f>
        <v>Y</v>
      </c>
      <c r="O1841">
        <f>SUM(I1840:I1841)</f>
        <v>244</v>
      </c>
      <c r="P1841">
        <f t="shared" si="172"/>
        <v>133</v>
      </c>
    </row>
    <row r="1842" spans="1:16" hidden="1" x14ac:dyDescent="0.3">
      <c r="A1842" t="str">
        <f t="shared" si="171"/>
        <v>2024Michael11</v>
      </c>
      <c r="B1842">
        <f t="shared" si="174"/>
        <v>639</v>
      </c>
      <c r="C1842">
        <f t="shared" si="175"/>
        <v>412</v>
      </c>
      <c r="D1842" t="s">
        <v>23</v>
      </c>
      <c r="E1842" t="str">
        <f>D1843</f>
        <v>Charles</v>
      </c>
      <c r="F1842">
        <v>2024</v>
      </c>
      <c r="G1842">
        <v>11</v>
      </c>
      <c r="H1842">
        <v>1.1000000000000001</v>
      </c>
      <c r="I1842">
        <v>110</v>
      </c>
      <c r="J1842">
        <f>I1842-I1843</f>
        <v>15</v>
      </c>
      <c r="K1842" t="str">
        <f t="shared" si="173"/>
        <v>W</v>
      </c>
      <c r="L1842" t="str">
        <f t="shared" si="170"/>
        <v>Michael</v>
      </c>
      <c r="M1842" t="str">
        <f>VLOOKUP(L1842,References!$A$2:$B$16,2,FALSE)</f>
        <v>AKCOVA</v>
      </c>
      <c r="N1842" s="19" t="str">
        <f>IF(M1842=M1843,"N","Y")</f>
        <v>N</v>
      </c>
      <c r="O1842">
        <f>SUM(I1842:I1843)</f>
        <v>205</v>
      </c>
      <c r="P1842">
        <f t="shared" si="172"/>
        <v>95</v>
      </c>
    </row>
    <row r="1843" spans="1:16" hidden="1" x14ac:dyDescent="0.3">
      <c r="A1843" t="str">
        <f t="shared" si="171"/>
        <v>2024Charles11</v>
      </c>
      <c r="B1843">
        <f t="shared" si="174"/>
        <v>1434</v>
      </c>
      <c r="C1843">
        <f t="shared" si="175"/>
        <v>857</v>
      </c>
      <c r="D1843" t="s">
        <v>48</v>
      </c>
      <c r="E1843" t="str">
        <f>D1842</f>
        <v>Michael</v>
      </c>
      <c r="F1843">
        <v>2024</v>
      </c>
      <c r="G1843">
        <v>11</v>
      </c>
      <c r="H1843">
        <v>1.2</v>
      </c>
      <c r="I1843">
        <v>95</v>
      </c>
      <c r="J1843">
        <f>I1843-I1842</f>
        <v>-15</v>
      </c>
      <c r="K1843" t="str">
        <f t="shared" si="173"/>
        <v>L</v>
      </c>
      <c r="L1843" t="str">
        <f t="shared" si="170"/>
        <v>Charles</v>
      </c>
      <c r="M1843" t="str">
        <f>VLOOKUP(L1843,References!$A$2:$B$16,2,FALSE)</f>
        <v>AKCOVA</v>
      </c>
      <c r="N1843" s="19" t="str">
        <f>IF(M1843=M1842,"N","Y")</f>
        <v>N</v>
      </c>
      <c r="O1843">
        <f>SUM(I1842:I1843)</f>
        <v>205</v>
      </c>
      <c r="P1843">
        <f t="shared" si="172"/>
        <v>110</v>
      </c>
    </row>
    <row r="1844" spans="1:16" hidden="1" x14ac:dyDescent="0.3">
      <c r="A1844" t="str">
        <f t="shared" si="171"/>
        <v>2024Grayson11</v>
      </c>
      <c r="B1844">
        <f t="shared" si="174"/>
        <v>341</v>
      </c>
      <c r="C1844">
        <f t="shared" si="175"/>
        <v>102</v>
      </c>
      <c r="D1844" t="s">
        <v>473</v>
      </c>
      <c r="E1844" t="str">
        <f>D1845</f>
        <v>Mark</v>
      </c>
      <c r="F1844">
        <v>2024</v>
      </c>
      <c r="G1844">
        <v>11</v>
      </c>
      <c r="H1844">
        <v>2.1</v>
      </c>
      <c r="I1844">
        <v>131</v>
      </c>
      <c r="J1844">
        <f>I1844-I1845</f>
        <v>29</v>
      </c>
      <c r="K1844" t="str">
        <f t="shared" si="173"/>
        <v>W</v>
      </c>
      <c r="L1844" t="str">
        <f t="shared" si="170"/>
        <v>Grayson</v>
      </c>
      <c r="M1844" t="str">
        <f>VLOOKUP(L1844,References!$A$2:$B$16,2,FALSE)</f>
        <v>TEXAROK</v>
      </c>
      <c r="N1844" s="19" t="str">
        <f>IF(M1844=M1845,"N","Y")</f>
        <v>Y</v>
      </c>
      <c r="O1844">
        <f>SUM(I1844:I1845)</f>
        <v>233</v>
      </c>
      <c r="P1844">
        <f t="shared" si="172"/>
        <v>102</v>
      </c>
    </row>
    <row r="1845" spans="1:16" hidden="1" x14ac:dyDescent="0.3">
      <c r="A1845" t="str">
        <f t="shared" si="171"/>
        <v>2024Mark11</v>
      </c>
      <c r="B1845">
        <f t="shared" si="174"/>
        <v>1738</v>
      </c>
      <c r="C1845">
        <f t="shared" si="175"/>
        <v>631</v>
      </c>
      <c r="D1845" t="s">
        <v>22</v>
      </c>
      <c r="E1845" t="str">
        <f>D1844</f>
        <v>Grayson</v>
      </c>
      <c r="F1845">
        <v>2024</v>
      </c>
      <c r="G1845">
        <v>11</v>
      </c>
      <c r="H1845">
        <v>2.2000000000000002</v>
      </c>
      <c r="I1845">
        <v>102</v>
      </c>
      <c r="J1845">
        <f>I1845-I1844</f>
        <v>-29</v>
      </c>
      <c r="K1845" t="str">
        <f t="shared" si="173"/>
        <v>L</v>
      </c>
      <c r="L1845" t="str">
        <f t="shared" si="170"/>
        <v>Mark</v>
      </c>
      <c r="M1845" t="str">
        <f>VLOOKUP(L1845,References!$A$2:$B$16,2,FALSE)</f>
        <v>AKCOVA</v>
      </c>
      <c r="N1845" s="19" t="str">
        <f>IF(M1845=M1844,"N","Y")</f>
        <v>Y</v>
      </c>
      <c r="O1845">
        <f>SUM(I1844:I1845)</f>
        <v>233</v>
      </c>
      <c r="P1845">
        <f t="shared" si="172"/>
        <v>131</v>
      </c>
    </row>
    <row r="1846" spans="1:16" hidden="1" x14ac:dyDescent="0.3">
      <c r="A1846" t="str">
        <f t="shared" si="171"/>
        <v>2024Brian11</v>
      </c>
      <c r="B1846">
        <f t="shared" si="174"/>
        <v>977</v>
      </c>
      <c r="C1846">
        <f t="shared" si="175"/>
        <v>96</v>
      </c>
      <c r="D1846" t="s">
        <v>26</v>
      </c>
      <c r="E1846" t="str">
        <f>D1847</f>
        <v>David</v>
      </c>
      <c r="F1846">
        <v>2024</v>
      </c>
      <c r="G1846">
        <v>11</v>
      </c>
      <c r="H1846">
        <v>3.1</v>
      </c>
      <c r="I1846">
        <v>132</v>
      </c>
      <c r="J1846">
        <f>I1846-I1847</f>
        <v>2</v>
      </c>
      <c r="K1846" t="str">
        <f t="shared" si="173"/>
        <v>W</v>
      </c>
      <c r="L1846" t="str">
        <f t="shared" si="170"/>
        <v>Brian</v>
      </c>
      <c r="M1846" t="str">
        <f>VLOOKUP(L1846,References!$A$2:$B$16,2,FALSE)</f>
        <v>TEXAROK</v>
      </c>
      <c r="N1846" s="19" t="str">
        <f>IF(M1846=M1847,"N","Y")</f>
        <v>N</v>
      </c>
      <c r="O1846">
        <f>SUM(I1846:I1847)</f>
        <v>262</v>
      </c>
      <c r="P1846">
        <f t="shared" si="172"/>
        <v>130</v>
      </c>
    </row>
    <row r="1847" spans="1:16" hidden="1" x14ac:dyDescent="0.3">
      <c r="A1847" t="str">
        <f t="shared" si="171"/>
        <v>2024David11</v>
      </c>
      <c r="B1847">
        <f t="shared" si="174"/>
        <v>1090</v>
      </c>
      <c r="C1847">
        <f t="shared" si="175"/>
        <v>111</v>
      </c>
      <c r="D1847" t="s">
        <v>29</v>
      </c>
      <c r="E1847" t="str">
        <f>D1846</f>
        <v>Brian</v>
      </c>
      <c r="F1847">
        <v>2024</v>
      </c>
      <c r="G1847">
        <v>11</v>
      </c>
      <c r="H1847">
        <v>3.2</v>
      </c>
      <c r="I1847">
        <v>130</v>
      </c>
      <c r="J1847">
        <f>I1847-I1846</f>
        <v>-2</v>
      </c>
      <c r="K1847" t="str">
        <f t="shared" si="173"/>
        <v>L</v>
      </c>
      <c r="L1847" t="str">
        <f t="shared" si="170"/>
        <v>David</v>
      </c>
      <c r="M1847" t="str">
        <f>VLOOKUP(L1847,References!$A$2:$B$16,2,FALSE)</f>
        <v>TEXAROK</v>
      </c>
      <c r="N1847" s="19" t="str">
        <f>IF(M1847=M1846,"N","Y")</f>
        <v>N</v>
      </c>
      <c r="O1847">
        <f>SUM(I1846:I1847)</f>
        <v>262</v>
      </c>
      <c r="P1847">
        <f t="shared" si="172"/>
        <v>132</v>
      </c>
    </row>
    <row r="1848" spans="1:16" hidden="1" x14ac:dyDescent="0.3">
      <c r="A1848" t="str">
        <f t="shared" si="171"/>
        <v>2024Watty11</v>
      </c>
      <c r="B1848">
        <f t="shared" si="174"/>
        <v>548</v>
      </c>
      <c r="C1848">
        <f t="shared" si="175"/>
        <v>412</v>
      </c>
      <c r="D1848" t="s">
        <v>24</v>
      </c>
      <c r="E1848" t="str">
        <f>D1849</f>
        <v>Brent</v>
      </c>
      <c r="F1848">
        <v>2024</v>
      </c>
      <c r="G1848">
        <v>11</v>
      </c>
      <c r="H1848">
        <v>4.0999999999999996</v>
      </c>
      <c r="I1848">
        <v>110</v>
      </c>
      <c r="J1848">
        <f>I1848-I1849</f>
        <v>19</v>
      </c>
      <c r="K1848" t="str">
        <f t="shared" si="173"/>
        <v>W</v>
      </c>
      <c r="L1848" t="str">
        <f t="shared" si="170"/>
        <v>Watty</v>
      </c>
      <c r="M1848" t="str">
        <f>VLOOKUP(L1848,References!$A$2:$B$16,2,FALSE)</f>
        <v>AKCOVA</v>
      </c>
      <c r="N1848" s="19" t="str">
        <f>IF(M1848=M1849,"N","Y")</f>
        <v>Y</v>
      </c>
      <c r="O1848">
        <f>SUM(I1848:I1849)</f>
        <v>201</v>
      </c>
      <c r="P1848">
        <f t="shared" si="172"/>
        <v>91</v>
      </c>
    </row>
    <row r="1849" spans="1:16" hidden="1" x14ac:dyDescent="0.3">
      <c r="A1849" t="str">
        <f t="shared" si="171"/>
        <v>2024Brent11</v>
      </c>
      <c r="B1849">
        <f t="shared" si="174"/>
        <v>1523</v>
      </c>
      <c r="C1849">
        <f t="shared" si="175"/>
        <v>992</v>
      </c>
      <c r="D1849" t="s">
        <v>47</v>
      </c>
      <c r="E1849" t="str">
        <f>D1848</f>
        <v>Watty</v>
      </c>
      <c r="F1849">
        <v>2024</v>
      </c>
      <c r="G1849">
        <v>11</v>
      </c>
      <c r="H1849">
        <v>4.2</v>
      </c>
      <c r="I1849">
        <v>91</v>
      </c>
      <c r="J1849">
        <f>I1849-I1848</f>
        <v>-19</v>
      </c>
      <c r="K1849" t="str">
        <f t="shared" si="173"/>
        <v>L</v>
      </c>
      <c r="L1849" t="str">
        <f t="shared" si="170"/>
        <v>Brent</v>
      </c>
      <c r="M1849" t="str">
        <f>VLOOKUP(L1849,References!$A$2:$B$16,2,FALSE)</f>
        <v>TEXAROK</v>
      </c>
      <c r="N1849" s="19" t="str">
        <f>IF(M1849=M1848,"N","Y")</f>
        <v>Y</v>
      </c>
      <c r="O1849">
        <f>SUM(I1848:I1849)</f>
        <v>201</v>
      </c>
      <c r="P1849">
        <f t="shared" si="172"/>
        <v>110</v>
      </c>
    </row>
    <row r="1850" spans="1:16" hidden="1" x14ac:dyDescent="0.3">
      <c r="A1850" t="str">
        <f t="shared" si="171"/>
        <v>2024Emily11</v>
      </c>
      <c r="B1850">
        <f t="shared" si="174"/>
        <v>782</v>
      </c>
      <c r="C1850">
        <f t="shared" si="175"/>
        <v>227</v>
      </c>
      <c r="D1850" t="s">
        <v>43</v>
      </c>
      <c r="E1850" t="str">
        <f>D1851</f>
        <v>Matt</v>
      </c>
      <c r="F1850">
        <v>2024</v>
      </c>
      <c r="G1850">
        <v>11</v>
      </c>
      <c r="H1850">
        <v>5.0999999999999996</v>
      </c>
      <c r="I1850">
        <v>120</v>
      </c>
      <c r="J1850">
        <f>I1850-I1851</f>
        <v>9</v>
      </c>
      <c r="K1850" t="str">
        <f t="shared" si="173"/>
        <v>W</v>
      </c>
      <c r="L1850" t="str">
        <f t="shared" si="170"/>
        <v>Emily</v>
      </c>
      <c r="M1850" t="str">
        <f>VLOOKUP(L1850,References!$A$2:$B$16,2,FALSE)</f>
        <v>TEXAROK</v>
      </c>
      <c r="N1850" s="19" t="str">
        <f>IF(M1850=M1851,"N","Y")</f>
        <v>N</v>
      </c>
      <c r="O1850">
        <f>SUM(I1850:I1851)</f>
        <v>231</v>
      </c>
      <c r="P1850">
        <f t="shared" si="172"/>
        <v>111</v>
      </c>
    </row>
    <row r="1851" spans="1:16" hidden="1" x14ac:dyDescent="0.3">
      <c r="A1851" t="str">
        <f t="shared" si="171"/>
        <v>2024Matt11</v>
      </c>
      <c r="B1851">
        <f t="shared" si="174"/>
        <v>1291</v>
      </c>
      <c r="C1851">
        <f t="shared" si="175"/>
        <v>383</v>
      </c>
      <c r="D1851" t="s">
        <v>30</v>
      </c>
      <c r="E1851" t="str">
        <f>D1850</f>
        <v>Emily</v>
      </c>
      <c r="F1851">
        <v>2024</v>
      </c>
      <c r="G1851">
        <v>11</v>
      </c>
      <c r="H1851">
        <v>5.2</v>
      </c>
      <c r="I1851">
        <v>111</v>
      </c>
      <c r="J1851">
        <f>I1851-I1850</f>
        <v>-9</v>
      </c>
      <c r="K1851" t="str">
        <f t="shared" si="173"/>
        <v>L</v>
      </c>
      <c r="L1851" t="str">
        <f t="shared" si="170"/>
        <v>Matt</v>
      </c>
      <c r="M1851" t="str">
        <f>VLOOKUP(L1851,References!$A$2:$B$16,2,FALSE)</f>
        <v>TEXAROK</v>
      </c>
      <c r="N1851" s="19" t="str">
        <f>IF(M1851=M1850,"N","Y")</f>
        <v>N</v>
      </c>
      <c r="O1851">
        <f>SUM(I1850:I1851)</f>
        <v>231</v>
      </c>
      <c r="P1851">
        <f t="shared" si="172"/>
        <v>120</v>
      </c>
    </row>
    <row r="1852" spans="1:16" hidden="1" x14ac:dyDescent="0.3">
      <c r="A1852" t="str">
        <f t="shared" si="171"/>
        <v>2024Jordan11</v>
      </c>
      <c r="B1852">
        <f t="shared" si="174"/>
        <v>1775</v>
      </c>
      <c r="C1852">
        <f t="shared" si="175"/>
        <v>822</v>
      </c>
      <c r="D1852" t="s">
        <v>472</v>
      </c>
      <c r="E1852" t="str">
        <f>D1853</f>
        <v>Arnold</v>
      </c>
      <c r="F1852">
        <v>2024</v>
      </c>
      <c r="G1852">
        <v>11</v>
      </c>
      <c r="H1852">
        <v>6.1</v>
      </c>
      <c r="I1852">
        <v>96</v>
      </c>
      <c r="J1852">
        <f>I1852-I1853</f>
        <v>-31</v>
      </c>
      <c r="K1852" t="str">
        <f t="shared" si="173"/>
        <v>L</v>
      </c>
      <c r="L1852" t="str">
        <f t="shared" si="170"/>
        <v>Jordan</v>
      </c>
      <c r="M1852" t="str">
        <f>VLOOKUP(L1852,References!$A$2:$B$16,2,FALSE)</f>
        <v>AKCOVA</v>
      </c>
      <c r="N1852" s="19" t="str">
        <f>IF(M1852=M1853,"N","Y")</f>
        <v>N</v>
      </c>
      <c r="O1852">
        <f>SUM(I1852:I1853)</f>
        <v>223</v>
      </c>
      <c r="P1852">
        <f t="shared" si="172"/>
        <v>127</v>
      </c>
    </row>
    <row r="1853" spans="1:16" hidden="1" x14ac:dyDescent="0.3">
      <c r="A1853" t="str">
        <f t="shared" si="171"/>
        <v>2024Arnold11</v>
      </c>
      <c r="B1853">
        <f t="shared" si="174"/>
        <v>297</v>
      </c>
      <c r="C1853">
        <f t="shared" si="175"/>
        <v>136</v>
      </c>
      <c r="D1853" t="s">
        <v>227</v>
      </c>
      <c r="E1853" t="str">
        <f>D1852</f>
        <v>Jordan</v>
      </c>
      <c r="F1853">
        <v>2024</v>
      </c>
      <c r="G1853">
        <v>11</v>
      </c>
      <c r="H1853">
        <v>6.2</v>
      </c>
      <c r="I1853">
        <v>127</v>
      </c>
      <c r="J1853">
        <f>I1853-I1852</f>
        <v>31</v>
      </c>
      <c r="K1853" t="str">
        <f t="shared" si="173"/>
        <v>W</v>
      </c>
      <c r="L1853" t="str">
        <f t="shared" si="170"/>
        <v>Arnold</v>
      </c>
      <c r="M1853" t="str">
        <f>VLOOKUP(L1853,References!$A$2:$B$16,2,FALSE)</f>
        <v>AKCOVA</v>
      </c>
      <c r="N1853" s="19" t="str">
        <f>IF(M1853=M1852,"N","Y")</f>
        <v>N</v>
      </c>
      <c r="O1853">
        <f>SUM(I1852:I1853)</f>
        <v>223</v>
      </c>
      <c r="P1853">
        <f t="shared" si="172"/>
        <v>96</v>
      </c>
    </row>
    <row r="1854" spans="1:16" hidden="1" x14ac:dyDescent="0.3">
      <c r="A1854" t="str">
        <f t="shared" si="171"/>
        <v>2024Russell11</v>
      </c>
      <c r="B1854">
        <f t="shared" si="174"/>
        <v>469</v>
      </c>
      <c r="C1854">
        <f t="shared" si="175"/>
        <v>275</v>
      </c>
      <c r="D1854" t="s">
        <v>28</v>
      </c>
      <c r="E1854" t="str">
        <f>D1855</f>
        <v>BR</v>
      </c>
      <c r="F1854">
        <v>2024</v>
      </c>
      <c r="G1854">
        <v>11</v>
      </c>
      <c r="H1854">
        <v>7.1</v>
      </c>
      <c r="I1854">
        <v>117</v>
      </c>
      <c r="J1854">
        <f>I1854-I1855</f>
        <v>22</v>
      </c>
      <c r="K1854" t="str">
        <f t="shared" si="173"/>
        <v>W</v>
      </c>
      <c r="L1854" t="str">
        <f t="shared" si="170"/>
        <v>Russell</v>
      </c>
      <c r="M1854" t="str">
        <f>VLOOKUP(L1854,References!$A$2:$B$16,2,FALSE)</f>
        <v>TEXAROK</v>
      </c>
      <c r="N1854" s="19" t="str">
        <f>IF(M1854=M1855,"N","Y")</f>
        <v>Y</v>
      </c>
      <c r="O1854">
        <f>SUM(I1854:I1855)</f>
        <v>212</v>
      </c>
      <c r="P1854">
        <f t="shared" si="172"/>
        <v>95</v>
      </c>
    </row>
    <row r="1855" spans="1:16" hidden="1" x14ac:dyDescent="0.3">
      <c r="A1855" t="str">
        <f t="shared" si="171"/>
        <v>2024BR11</v>
      </c>
      <c r="B1855">
        <f t="shared" si="174"/>
        <v>1605</v>
      </c>
      <c r="C1855">
        <f t="shared" si="175"/>
        <v>857</v>
      </c>
      <c r="D1855" t="s">
        <v>25</v>
      </c>
      <c r="E1855" t="str">
        <f>D1854</f>
        <v>Russell</v>
      </c>
      <c r="F1855">
        <v>2024</v>
      </c>
      <c r="G1855">
        <v>11</v>
      </c>
      <c r="H1855">
        <v>7.2</v>
      </c>
      <c r="I1855">
        <v>95</v>
      </c>
      <c r="J1855">
        <f>I1855-I1854</f>
        <v>-22</v>
      </c>
      <c r="K1855" t="str">
        <f t="shared" si="173"/>
        <v>L</v>
      </c>
      <c r="L1855" t="str">
        <f t="shared" si="170"/>
        <v>BR</v>
      </c>
      <c r="M1855" t="str">
        <f>VLOOKUP(L1855,References!$A$2:$B$16,2,FALSE)</f>
        <v>AKCOVA</v>
      </c>
      <c r="N1855" s="19" t="str">
        <f>IF(M1855=M1854,"N","Y")</f>
        <v>Y</v>
      </c>
      <c r="O1855">
        <f>SUM(I1854:I1855)</f>
        <v>212</v>
      </c>
      <c r="P1855">
        <f t="shared" si="172"/>
        <v>117</v>
      </c>
    </row>
    <row r="1856" spans="1:16" hidden="1" x14ac:dyDescent="0.3">
      <c r="A1856" t="str">
        <f t="shared" si="171"/>
        <v>2024BR12</v>
      </c>
      <c r="B1856">
        <f t="shared" si="174"/>
        <v>469</v>
      </c>
      <c r="C1856">
        <f t="shared" si="175"/>
        <v>197</v>
      </c>
      <c r="D1856" t="s">
        <v>25</v>
      </c>
      <c r="E1856" t="str">
        <f>D1857</f>
        <v>Michael</v>
      </c>
      <c r="F1856">
        <v>2024</v>
      </c>
      <c r="G1856">
        <v>12</v>
      </c>
      <c r="H1856">
        <v>1.1000000000000001</v>
      </c>
      <c r="I1856">
        <v>122</v>
      </c>
      <c r="J1856">
        <f>I1856-I1857</f>
        <v>22</v>
      </c>
      <c r="K1856" t="str">
        <f t="shared" si="173"/>
        <v>W</v>
      </c>
      <c r="L1856" t="str">
        <f t="shared" si="170"/>
        <v>BR</v>
      </c>
      <c r="M1856" t="str">
        <f>VLOOKUP(L1856,References!$A$2:$B$16,2,FALSE)</f>
        <v>AKCOVA</v>
      </c>
      <c r="N1856" s="19" t="str">
        <f>IF(M1856=M1857,"N","Y")</f>
        <v>N</v>
      </c>
      <c r="O1856">
        <f>SUM(I1856:I1857)</f>
        <v>222</v>
      </c>
      <c r="P1856">
        <f t="shared" si="172"/>
        <v>100</v>
      </c>
    </row>
    <row r="1857" spans="1:16" hidden="1" x14ac:dyDescent="0.3">
      <c r="A1857" t="str">
        <f t="shared" si="171"/>
        <v>2024Michael12</v>
      </c>
      <c r="B1857">
        <f t="shared" si="174"/>
        <v>1605</v>
      </c>
      <c r="C1857">
        <f t="shared" si="175"/>
        <v>678</v>
      </c>
      <c r="D1857" t="s">
        <v>23</v>
      </c>
      <c r="E1857" t="str">
        <f>D1856</f>
        <v>BR</v>
      </c>
      <c r="F1857">
        <v>2024</v>
      </c>
      <c r="G1857">
        <v>12</v>
      </c>
      <c r="H1857">
        <v>1.2</v>
      </c>
      <c r="I1857">
        <v>100</v>
      </c>
      <c r="J1857">
        <f>I1857-I1856</f>
        <v>-22</v>
      </c>
      <c r="K1857" t="str">
        <f t="shared" si="173"/>
        <v>L</v>
      </c>
      <c r="L1857" t="str">
        <f t="shared" si="170"/>
        <v>Michael</v>
      </c>
      <c r="M1857" t="str">
        <f>VLOOKUP(L1857,References!$A$2:$B$16,2,FALSE)</f>
        <v>AKCOVA</v>
      </c>
      <c r="N1857" s="19" t="str">
        <f>IF(M1857=M1856,"N","Y")</f>
        <v>N</v>
      </c>
      <c r="O1857">
        <f>SUM(I1856:I1857)</f>
        <v>222</v>
      </c>
      <c r="P1857">
        <f t="shared" si="172"/>
        <v>122</v>
      </c>
    </row>
    <row r="1858" spans="1:16" hidden="1" x14ac:dyDescent="0.3">
      <c r="A1858" t="str">
        <f t="shared" si="171"/>
        <v>2024Mark12</v>
      </c>
      <c r="B1858">
        <f t="shared" si="174"/>
        <v>52</v>
      </c>
      <c r="C1858">
        <f t="shared" si="175"/>
        <v>150</v>
      </c>
      <c r="D1858" t="s">
        <v>22</v>
      </c>
      <c r="E1858" t="str">
        <f>D1859</f>
        <v>Brian</v>
      </c>
      <c r="F1858">
        <v>2024</v>
      </c>
      <c r="G1858">
        <v>12</v>
      </c>
      <c r="H1858">
        <v>2.1</v>
      </c>
      <c r="I1858">
        <v>126</v>
      </c>
      <c r="J1858">
        <f>I1858-I1859</f>
        <v>60</v>
      </c>
      <c r="K1858" t="str">
        <f t="shared" si="173"/>
        <v>W</v>
      </c>
      <c r="L1858" t="str">
        <f t="shared" si="170"/>
        <v>Mark</v>
      </c>
      <c r="M1858" t="str">
        <f>VLOOKUP(L1858,References!$A$2:$B$16,2,FALSE)</f>
        <v>AKCOVA</v>
      </c>
      <c r="N1858" s="19" t="str">
        <f>IF(M1858=M1859,"N","Y")</f>
        <v>Y</v>
      </c>
      <c r="O1858">
        <f>SUM(I1858:I1859)</f>
        <v>192</v>
      </c>
      <c r="P1858">
        <f t="shared" si="172"/>
        <v>66</v>
      </c>
    </row>
    <row r="1859" spans="1:16" hidden="1" x14ac:dyDescent="0.3">
      <c r="A1859" t="str">
        <f t="shared" ref="A1859:A1897" si="176">F1859&amp;D1859&amp;G1859</f>
        <v>2024Brian12</v>
      </c>
      <c r="B1859">
        <f t="shared" si="174"/>
        <v>2035</v>
      </c>
      <c r="C1859">
        <f t="shared" si="175"/>
        <v>1833</v>
      </c>
      <c r="D1859" t="s">
        <v>26</v>
      </c>
      <c r="E1859" t="str">
        <f>D1858</f>
        <v>Mark</v>
      </c>
      <c r="F1859">
        <v>2024</v>
      </c>
      <c r="G1859">
        <v>12</v>
      </c>
      <c r="H1859">
        <v>2.2000000000000002</v>
      </c>
      <c r="I1859">
        <v>66</v>
      </c>
      <c r="J1859">
        <f>I1859-I1858</f>
        <v>-60</v>
      </c>
      <c r="K1859" t="str">
        <f t="shared" si="173"/>
        <v>L</v>
      </c>
      <c r="L1859" t="str">
        <f t="shared" si="170"/>
        <v>Brian</v>
      </c>
      <c r="M1859" t="str">
        <f>VLOOKUP(L1859,References!$A$2:$B$16,2,FALSE)</f>
        <v>TEXAROK</v>
      </c>
      <c r="N1859" s="19" t="str">
        <f>IF(M1859=M1858,"N","Y")</f>
        <v>Y</v>
      </c>
      <c r="O1859">
        <f>SUM(I1858:I1859)</f>
        <v>192</v>
      </c>
      <c r="P1859">
        <f t="shared" ref="P1859:P1883" si="177">I1859-J1859</f>
        <v>126</v>
      </c>
    </row>
    <row r="1860" spans="1:16" hidden="1" x14ac:dyDescent="0.3">
      <c r="A1860" t="str">
        <f t="shared" si="176"/>
        <v>2024David12</v>
      </c>
      <c r="B1860">
        <f t="shared" si="174"/>
        <v>1258</v>
      </c>
      <c r="C1860">
        <f t="shared" si="175"/>
        <v>1210</v>
      </c>
      <c r="D1860" t="s">
        <v>29</v>
      </c>
      <c r="E1860" t="str">
        <f>D1861</f>
        <v>Emily</v>
      </c>
      <c r="F1860">
        <v>2024</v>
      </c>
      <c r="G1860">
        <v>12</v>
      </c>
      <c r="H1860">
        <v>3.1</v>
      </c>
      <c r="I1860">
        <v>85</v>
      </c>
      <c r="J1860">
        <f>I1860-I1861</f>
        <v>-8</v>
      </c>
      <c r="K1860" t="str">
        <f t="shared" si="173"/>
        <v>L</v>
      </c>
      <c r="L1860" t="str">
        <f t="shared" si="170"/>
        <v>David</v>
      </c>
      <c r="M1860" t="str">
        <f>VLOOKUP(L1860,References!$A$2:$B$16,2,FALSE)</f>
        <v>TEXAROK</v>
      </c>
      <c r="N1860" s="19" t="str">
        <f>IF(M1860=M1861,"N","Y")</f>
        <v>N</v>
      </c>
      <c r="O1860">
        <f>SUM(I1860:I1861)</f>
        <v>178</v>
      </c>
      <c r="P1860">
        <f t="shared" si="177"/>
        <v>93</v>
      </c>
    </row>
    <row r="1861" spans="1:16" hidden="1" x14ac:dyDescent="0.3">
      <c r="A1861" t="str">
        <f t="shared" si="176"/>
        <v>2024Emily12</v>
      </c>
      <c r="B1861">
        <f t="shared" si="174"/>
        <v>803</v>
      </c>
      <c r="C1861">
        <f t="shared" si="175"/>
        <v>926</v>
      </c>
      <c r="D1861" t="s">
        <v>43</v>
      </c>
      <c r="E1861" t="str">
        <f>D1860</f>
        <v>David</v>
      </c>
      <c r="F1861">
        <v>2024</v>
      </c>
      <c r="G1861">
        <v>12</v>
      </c>
      <c r="H1861">
        <v>3.2</v>
      </c>
      <c r="I1861">
        <v>93</v>
      </c>
      <c r="J1861">
        <f>I1861-I1860</f>
        <v>8</v>
      </c>
      <c r="K1861" t="str">
        <f t="shared" si="173"/>
        <v>W</v>
      </c>
      <c r="L1861" t="str">
        <f t="shared" si="170"/>
        <v>Emily</v>
      </c>
      <c r="M1861" t="str">
        <f>VLOOKUP(L1861,References!$A$2:$B$16,2,FALSE)</f>
        <v>TEXAROK</v>
      </c>
      <c r="N1861" s="19" t="str">
        <f>IF(M1861=M1860,"N","Y")</f>
        <v>N</v>
      </c>
      <c r="O1861">
        <f>SUM(I1860:I1861)</f>
        <v>178</v>
      </c>
      <c r="P1861">
        <f t="shared" si="177"/>
        <v>85</v>
      </c>
    </row>
    <row r="1862" spans="1:16" hidden="1" x14ac:dyDescent="0.3">
      <c r="A1862" t="str">
        <f t="shared" si="176"/>
        <v>2024Arnold12</v>
      </c>
      <c r="B1862">
        <f t="shared" si="174"/>
        <v>270</v>
      </c>
      <c r="C1862">
        <f t="shared" si="175"/>
        <v>73</v>
      </c>
      <c r="D1862" t="s">
        <v>227</v>
      </c>
      <c r="E1862" t="str">
        <f>D1863</f>
        <v>Russell</v>
      </c>
      <c r="F1862">
        <v>2024</v>
      </c>
      <c r="G1862">
        <v>12</v>
      </c>
      <c r="H1862">
        <v>4.0999999999999996</v>
      </c>
      <c r="I1862">
        <v>136</v>
      </c>
      <c r="J1862">
        <f>I1862-I1863</f>
        <v>33</v>
      </c>
      <c r="K1862" t="str">
        <f t="shared" ref="K1862:K1883" si="178">IF(J1862&gt;0,"W",IF(J1862&lt;0,"L","T"))</f>
        <v>W</v>
      </c>
      <c r="L1862" t="str">
        <f t="shared" si="170"/>
        <v>Arnold</v>
      </c>
      <c r="M1862" t="str">
        <f>VLOOKUP(L1862,References!$A$2:$B$16,2,FALSE)</f>
        <v>AKCOVA</v>
      </c>
      <c r="N1862" s="19" t="str">
        <f>IF(M1862=M1863,"N","Y")</f>
        <v>Y</v>
      </c>
      <c r="O1862">
        <f>SUM(I1862:I1863)</f>
        <v>239</v>
      </c>
      <c r="P1862">
        <f t="shared" si="177"/>
        <v>103</v>
      </c>
    </row>
    <row r="1863" spans="1:16" hidden="1" x14ac:dyDescent="0.3">
      <c r="A1863" t="str">
        <f t="shared" si="176"/>
        <v>2024Russell12</v>
      </c>
      <c r="B1863">
        <f t="shared" si="174"/>
        <v>1810</v>
      </c>
      <c r="C1863">
        <f t="shared" si="175"/>
        <v>603</v>
      </c>
      <c r="D1863" t="s">
        <v>28</v>
      </c>
      <c r="E1863" t="str">
        <f>D1862</f>
        <v>Arnold</v>
      </c>
      <c r="F1863">
        <v>2024</v>
      </c>
      <c r="G1863">
        <v>12</v>
      </c>
      <c r="H1863">
        <v>4.2</v>
      </c>
      <c r="I1863">
        <v>103</v>
      </c>
      <c r="J1863">
        <f>I1863-I1862</f>
        <v>-33</v>
      </c>
      <c r="K1863" t="str">
        <f t="shared" si="178"/>
        <v>L</v>
      </c>
      <c r="L1863" t="str">
        <f t="shared" si="170"/>
        <v>Russell</v>
      </c>
      <c r="M1863" t="str">
        <f>VLOOKUP(L1863,References!$A$2:$B$16,2,FALSE)</f>
        <v>TEXAROK</v>
      </c>
      <c r="N1863" s="19" t="str">
        <f>IF(M1863=M1862,"N","Y")</f>
        <v>Y</v>
      </c>
      <c r="O1863">
        <f>SUM(I1862:I1863)</f>
        <v>239</v>
      </c>
      <c r="P1863">
        <f t="shared" si="177"/>
        <v>136</v>
      </c>
    </row>
    <row r="1864" spans="1:16" hidden="1" x14ac:dyDescent="0.3">
      <c r="A1864" t="str">
        <f t="shared" si="176"/>
        <v>2024Matt12</v>
      </c>
      <c r="B1864">
        <f t="shared" si="174"/>
        <v>78</v>
      </c>
      <c r="C1864">
        <f t="shared" si="175"/>
        <v>14</v>
      </c>
      <c r="D1864" t="s">
        <v>30</v>
      </c>
      <c r="E1864" t="str">
        <f>D1865</f>
        <v>Jordan</v>
      </c>
      <c r="F1864">
        <v>2024</v>
      </c>
      <c r="G1864">
        <v>12</v>
      </c>
      <c r="H1864">
        <v>5.0999999999999996</v>
      </c>
      <c r="I1864">
        <v>156</v>
      </c>
      <c r="J1864">
        <f>I1864-I1865</f>
        <v>55</v>
      </c>
      <c r="K1864" t="str">
        <f t="shared" si="178"/>
        <v>W</v>
      </c>
      <c r="L1864" t="str">
        <f t="shared" si="170"/>
        <v>Matt</v>
      </c>
      <c r="M1864" t="str">
        <f>VLOOKUP(L1864,References!$A$2:$B$16,2,FALSE)</f>
        <v>TEXAROK</v>
      </c>
      <c r="N1864" s="19" t="str">
        <f>IF(M1864=M1865,"N","Y")</f>
        <v>Y</v>
      </c>
      <c r="O1864">
        <f>SUM(I1864:I1865)</f>
        <v>257</v>
      </c>
      <c r="P1864">
        <f t="shared" si="177"/>
        <v>101</v>
      </c>
    </row>
    <row r="1865" spans="1:16" hidden="1" x14ac:dyDescent="0.3">
      <c r="A1865" t="str">
        <f t="shared" si="176"/>
        <v>2024Jordan12</v>
      </c>
      <c r="B1865">
        <f t="shared" si="174"/>
        <v>2009</v>
      </c>
      <c r="C1865">
        <f t="shared" si="175"/>
        <v>652</v>
      </c>
      <c r="D1865" t="s">
        <v>472</v>
      </c>
      <c r="E1865" t="str">
        <f>D1864</f>
        <v>Matt</v>
      </c>
      <c r="F1865">
        <v>2024</v>
      </c>
      <c r="G1865">
        <v>12</v>
      </c>
      <c r="H1865">
        <v>5.2</v>
      </c>
      <c r="I1865">
        <v>101</v>
      </c>
      <c r="J1865">
        <f>I1865-I1864</f>
        <v>-55</v>
      </c>
      <c r="K1865" t="str">
        <f t="shared" si="178"/>
        <v>L</v>
      </c>
      <c r="L1865" t="str">
        <f t="shared" si="170"/>
        <v>Jordan</v>
      </c>
      <c r="M1865" t="str">
        <f>VLOOKUP(L1865,References!$A$2:$B$16,2,FALSE)</f>
        <v>AKCOVA</v>
      </c>
      <c r="N1865" s="19" t="str">
        <f>IF(M1865=M1864,"N","Y")</f>
        <v>Y</v>
      </c>
      <c r="O1865">
        <f>SUM(I1864:I1865)</f>
        <v>257</v>
      </c>
      <c r="P1865">
        <f t="shared" si="177"/>
        <v>156</v>
      </c>
    </row>
    <row r="1866" spans="1:16" hidden="1" x14ac:dyDescent="0.3">
      <c r="A1866" t="str">
        <f t="shared" si="176"/>
        <v>2024Grayson12</v>
      </c>
      <c r="B1866">
        <f t="shared" si="174"/>
        <v>1952</v>
      </c>
      <c r="C1866">
        <f t="shared" si="175"/>
        <v>1717</v>
      </c>
      <c r="D1866" t="s">
        <v>473</v>
      </c>
      <c r="E1866" t="str">
        <f>D1867</f>
        <v>Watty</v>
      </c>
      <c r="F1866">
        <v>2024</v>
      </c>
      <c r="G1866">
        <v>12</v>
      </c>
      <c r="H1866">
        <v>6.1</v>
      </c>
      <c r="I1866">
        <v>71</v>
      </c>
      <c r="J1866">
        <f>I1866-I1867</f>
        <v>-46</v>
      </c>
      <c r="K1866" t="str">
        <f t="shared" si="178"/>
        <v>L</v>
      </c>
      <c r="L1866" t="str">
        <f t="shared" si="170"/>
        <v>Grayson</v>
      </c>
      <c r="M1866" t="str">
        <f>VLOOKUP(L1866,References!$A$2:$B$16,2,FALSE)</f>
        <v>TEXAROK</v>
      </c>
      <c r="N1866" s="19" t="str">
        <f>IF(M1866=M1867,"N","Y")</f>
        <v>Y</v>
      </c>
      <c r="O1866">
        <f>SUM(I1866:I1867)</f>
        <v>188</v>
      </c>
      <c r="P1866">
        <f t="shared" si="177"/>
        <v>117</v>
      </c>
    </row>
    <row r="1867" spans="1:16" hidden="1" x14ac:dyDescent="0.3">
      <c r="A1867" t="str">
        <f t="shared" si="176"/>
        <v>2024Watty12</v>
      </c>
      <c r="B1867">
        <f t="shared" si="174"/>
        <v>130</v>
      </c>
      <c r="C1867">
        <f t="shared" si="175"/>
        <v>275</v>
      </c>
      <c r="D1867" t="s">
        <v>24</v>
      </c>
      <c r="E1867" t="str">
        <f>D1866</f>
        <v>Grayson</v>
      </c>
      <c r="F1867">
        <v>2024</v>
      </c>
      <c r="G1867">
        <v>12</v>
      </c>
      <c r="H1867">
        <v>6.2</v>
      </c>
      <c r="I1867">
        <v>117</v>
      </c>
      <c r="J1867">
        <f>I1867-I1866</f>
        <v>46</v>
      </c>
      <c r="K1867" t="str">
        <f t="shared" si="178"/>
        <v>W</v>
      </c>
      <c r="L1867" t="str">
        <f t="shared" si="170"/>
        <v>Watty</v>
      </c>
      <c r="M1867" t="str">
        <f>VLOOKUP(L1867,References!$A$2:$B$16,2,FALSE)</f>
        <v>AKCOVA</v>
      </c>
      <c r="N1867" s="19" t="str">
        <f>IF(M1867=M1866,"N","Y")</f>
        <v>Y</v>
      </c>
      <c r="O1867">
        <f>SUM(I1866:I1867)</f>
        <v>188</v>
      </c>
      <c r="P1867">
        <f t="shared" si="177"/>
        <v>71</v>
      </c>
    </row>
    <row r="1868" spans="1:16" hidden="1" x14ac:dyDescent="0.3">
      <c r="A1868" t="str">
        <f t="shared" si="176"/>
        <v>2024Charles12</v>
      </c>
      <c r="B1868">
        <f t="shared" si="174"/>
        <v>89</v>
      </c>
      <c r="C1868">
        <f t="shared" si="175"/>
        <v>11</v>
      </c>
      <c r="D1868" t="s">
        <v>48</v>
      </c>
      <c r="E1868" t="str">
        <f>D1869</f>
        <v>Brent</v>
      </c>
      <c r="F1868">
        <v>2024</v>
      </c>
      <c r="G1868">
        <v>12</v>
      </c>
      <c r="H1868">
        <v>7.1</v>
      </c>
      <c r="I1868">
        <v>159</v>
      </c>
      <c r="J1868">
        <f>I1868-I1869</f>
        <v>53</v>
      </c>
      <c r="K1868" t="str">
        <f t="shared" si="178"/>
        <v>W</v>
      </c>
      <c r="L1868" t="str">
        <f t="shared" si="170"/>
        <v>Charles</v>
      </c>
      <c r="M1868" t="str">
        <f>VLOOKUP(L1868,References!$A$2:$B$16,2,FALSE)</f>
        <v>AKCOVA</v>
      </c>
      <c r="N1868" s="19" t="str">
        <f>IF(M1868=M1869,"N","Y")</f>
        <v>Y</v>
      </c>
      <c r="O1868">
        <f>SUM(I1868:I1869)</f>
        <v>265</v>
      </c>
      <c r="P1868">
        <f t="shared" si="177"/>
        <v>106</v>
      </c>
    </row>
    <row r="1869" spans="1:16" hidden="1" x14ac:dyDescent="0.3">
      <c r="A1869" t="str">
        <f t="shared" si="176"/>
        <v>2024Brent12</v>
      </c>
      <c r="B1869">
        <f t="shared" si="174"/>
        <v>1997</v>
      </c>
      <c r="C1869">
        <f t="shared" si="175"/>
        <v>509</v>
      </c>
      <c r="D1869" t="s">
        <v>47</v>
      </c>
      <c r="E1869" t="str">
        <f>D1868</f>
        <v>Charles</v>
      </c>
      <c r="F1869">
        <v>2024</v>
      </c>
      <c r="G1869">
        <v>12</v>
      </c>
      <c r="H1869">
        <v>7.2</v>
      </c>
      <c r="I1869">
        <v>106</v>
      </c>
      <c r="J1869">
        <f>I1869-I1868</f>
        <v>-53</v>
      </c>
      <c r="K1869" t="str">
        <f t="shared" si="178"/>
        <v>L</v>
      </c>
      <c r="L1869" t="str">
        <f t="shared" si="170"/>
        <v>Brent</v>
      </c>
      <c r="M1869" t="str">
        <f>VLOOKUP(L1869,References!$A$2:$B$16,2,FALSE)</f>
        <v>TEXAROK</v>
      </c>
      <c r="N1869" s="19" t="str">
        <f>IF(M1869=M1868,"N","Y")</f>
        <v>Y</v>
      </c>
      <c r="O1869">
        <f>SUM(I1868:I1869)</f>
        <v>265</v>
      </c>
      <c r="P1869">
        <f t="shared" si="177"/>
        <v>159</v>
      </c>
    </row>
    <row r="1870" spans="1:16" hidden="1" x14ac:dyDescent="0.3">
      <c r="A1870" t="str">
        <f t="shared" si="176"/>
        <v>2024Michael13</v>
      </c>
      <c r="B1870">
        <f t="shared" ref="B1870:B1883" si="179">RANK(J1870,diff)</f>
        <v>1455</v>
      </c>
      <c r="C1870">
        <f t="shared" ref="C1870:C1883" si="180">RANK(I1870,points)</f>
        <v>412</v>
      </c>
      <c r="D1870" t="s">
        <v>23</v>
      </c>
      <c r="E1870" t="str">
        <f>D1871</f>
        <v>Arnold</v>
      </c>
      <c r="F1870">
        <v>2024</v>
      </c>
      <c r="G1870">
        <v>13</v>
      </c>
      <c r="H1870">
        <v>1.1000000000000001</v>
      </c>
      <c r="I1870">
        <v>110</v>
      </c>
      <c r="J1870">
        <f>I1870-I1871</f>
        <v>-16</v>
      </c>
      <c r="K1870" t="str">
        <f t="shared" si="178"/>
        <v>L</v>
      </c>
      <c r="L1870" t="str">
        <f t="shared" si="170"/>
        <v>Michael</v>
      </c>
      <c r="M1870" t="str">
        <f>VLOOKUP(L1870,References!$A$2:$B$16,2,FALSE)</f>
        <v>AKCOVA</v>
      </c>
      <c r="N1870" s="19" t="str">
        <f>IF(M1870=M1871,"N","Y")</f>
        <v>N</v>
      </c>
      <c r="O1870">
        <f>SUM(I1870:I1871)</f>
        <v>236</v>
      </c>
      <c r="P1870">
        <f t="shared" si="177"/>
        <v>126</v>
      </c>
    </row>
    <row r="1871" spans="1:16" hidden="1" x14ac:dyDescent="0.3">
      <c r="A1871" t="str">
        <f t="shared" si="176"/>
        <v>2024Arnold13</v>
      </c>
      <c r="B1871">
        <f t="shared" si="179"/>
        <v>619</v>
      </c>
      <c r="C1871">
        <f t="shared" si="180"/>
        <v>150</v>
      </c>
      <c r="D1871" t="s">
        <v>227</v>
      </c>
      <c r="E1871" t="str">
        <f>D1870</f>
        <v>Michael</v>
      </c>
      <c r="F1871">
        <v>2024</v>
      </c>
      <c r="G1871">
        <v>13</v>
      </c>
      <c r="H1871">
        <v>1.2</v>
      </c>
      <c r="I1871">
        <v>126</v>
      </c>
      <c r="J1871">
        <f>I1871-I1870</f>
        <v>16</v>
      </c>
      <c r="K1871" t="str">
        <f t="shared" si="178"/>
        <v>W</v>
      </c>
      <c r="L1871" t="str">
        <f t="shared" si="170"/>
        <v>Arnold</v>
      </c>
      <c r="M1871" t="str">
        <f>VLOOKUP(L1871,References!$A$2:$B$16,2,FALSE)</f>
        <v>AKCOVA</v>
      </c>
      <c r="N1871" s="19" t="str">
        <f>IF(M1871=M1870,"N","Y")</f>
        <v>N</v>
      </c>
      <c r="O1871">
        <f>SUM(I1870:I1871)</f>
        <v>236</v>
      </c>
      <c r="P1871">
        <f t="shared" si="177"/>
        <v>110</v>
      </c>
    </row>
    <row r="1872" spans="1:16" hidden="1" x14ac:dyDescent="0.3">
      <c r="A1872" t="str">
        <f t="shared" si="176"/>
        <v>2024Jordan13</v>
      </c>
      <c r="B1872">
        <f t="shared" si="179"/>
        <v>1197</v>
      </c>
      <c r="C1872">
        <f t="shared" si="180"/>
        <v>321</v>
      </c>
      <c r="D1872" t="s">
        <v>472</v>
      </c>
      <c r="E1872" t="str">
        <f>D1873</f>
        <v>David</v>
      </c>
      <c r="F1872">
        <v>2024</v>
      </c>
      <c r="G1872">
        <v>13</v>
      </c>
      <c r="H1872">
        <v>2.1</v>
      </c>
      <c r="I1872">
        <v>114</v>
      </c>
      <c r="J1872">
        <f>I1872-I1873</f>
        <v>-6</v>
      </c>
      <c r="K1872" t="str">
        <f t="shared" si="178"/>
        <v>L</v>
      </c>
      <c r="L1872" t="str">
        <f t="shared" si="170"/>
        <v>Jordan</v>
      </c>
      <c r="M1872" t="str">
        <f>VLOOKUP(L1872,References!$A$2:$B$16,2,FALSE)</f>
        <v>AKCOVA</v>
      </c>
      <c r="N1872" s="19" t="str">
        <f>IF(M1872=M1873,"N","Y")</f>
        <v>Y</v>
      </c>
      <c r="O1872">
        <f>SUM(I1872:I1873)</f>
        <v>234</v>
      </c>
      <c r="P1872">
        <f t="shared" si="177"/>
        <v>120</v>
      </c>
    </row>
    <row r="1873" spans="1:16" hidden="1" x14ac:dyDescent="0.3">
      <c r="A1873" t="str">
        <f t="shared" si="176"/>
        <v>2024David13</v>
      </c>
      <c r="B1873">
        <f t="shared" si="179"/>
        <v>865</v>
      </c>
      <c r="C1873">
        <f t="shared" si="180"/>
        <v>227</v>
      </c>
      <c r="D1873" t="s">
        <v>29</v>
      </c>
      <c r="E1873" t="str">
        <f>D1872</f>
        <v>Jordan</v>
      </c>
      <c r="F1873">
        <v>2024</v>
      </c>
      <c r="G1873">
        <v>13</v>
      </c>
      <c r="H1873">
        <v>2.2000000000000002</v>
      </c>
      <c r="I1873">
        <v>120</v>
      </c>
      <c r="J1873">
        <f>I1873-I1872</f>
        <v>6</v>
      </c>
      <c r="K1873" t="str">
        <f t="shared" si="178"/>
        <v>W</v>
      </c>
      <c r="L1873" t="str">
        <f t="shared" si="170"/>
        <v>David</v>
      </c>
      <c r="M1873" t="str">
        <f>VLOOKUP(L1873,References!$A$2:$B$16,2,FALSE)</f>
        <v>TEXAROK</v>
      </c>
      <c r="N1873" s="19" t="str">
        <f>IF(M1873=M1872,"N","Y")</f>
        <v>Y</v>
      </c>
      <c r="O1873">
        <f>SUM(I1872:I1873)</f>
        <v>234</v>
      </c>
      <c r="P1873">
        <f t="shared" si="177"/>
        <v>114</v>
      </c>
    </row>
    <row r="1874" spans="1:16" hidden="1" x14ac:dyDescent="0.3">
      <c r="A1874" t="str">
        <f t="shared" si="176"/>
        <v>2024Brian13</v>
      </c>
      <c r="B1874">
        <f t="shared" si="179"/>
        <v>782</v>
      </c>
      <c r="C1874">
        <f t="shared" si="180"/>
        <v>777</v>
      </c>
      <c r="D1874" t="s">
        <v>26</v>
      </c>
      <c r="E1874" t="str">
        <f>D1875</f>
        <v>Grayson</v>
      </c>
      <c r="F1874">
        <v>2024</v>
      </c>
      <c r="G1874">
        <v>13</v>
      </c>
      <c r="H1874">
        <v>3.1</v>
      </c>
      <c r="I1874">
        <v>97</v>
      </c>
      <c r="J1874">
        <f>I1874-I1875</f>
        <v>9</v>
      </c>
      <c r="K1874" t="str">
        <f t="shared" si="178"/>
        <v>W</v>
      </c>
      <c r="L1874" t="str">
        <f t="shared" si="170"/>
        <v>Brian</v>
      </c>
      <c r="M1874" t="str">
        <f>VLOOKUP(L1874,References!$A$2:$B$16,2,FALSE)</f>
        <v>TEXAROK</v>
      </c>
      <c r="N1874" s="19" t="str">
        <f>IF(M1874=M1875,"N","Y")</f>
        <v>N</v>
      </c>
      <c r="O1874">
        <f>SUM(I1874:I1875)</f>
        <v>185</v>
      </c>
      <c r="P1874">
        <f t="shared" si="177"/>
        <v>88</v>
      </c>
    </row>
    <row r="1875" spans="1:16" hidden="1" x14ac:dyDescent="0.3">
      <c r="A1875" t="str">
        <f t="shared" si="176"/>
        <v>2024Grayson13</v>
      </c>
      <c r="B1875">
        <f t="shared" si="179"/>
        <v>1291</v>
      </c>
      <c r="C1875">
        <f t="shared" si="180"/>
        <v>1100</v>
      </c>
      <c r="D1875" t="s">
        <v>473</v>
      </c>
      <c r="E1875" t="str">
        <f>D1874</f>
        <v>Brian</v>
      </c>
      <c r="F1875">
        <v>2024</v>
      </c>
      <c r="G1875">
        <v>13</v>
      </c>
      <c r="H1875">
        <v>3.2</v>
      </c>
      <c r="I1875">
        <v>88</v>
      </c>
      <c r="J1875">
        <f>I1875-I1874</f>
        <v>-9</v>
      </c>
      <c r="K1875" t="str">
        <f t="shared" si="178"/>
        <v>L</v>
      </c>
      <c r="L1875" t="str">
        <f t="shared" si="170"/>
        <v>Grayson</v>
      </c>
      <c r="M1875" t="str">
        <f>VLOOKUP(L1875,References!$A$2:$B$16,2,FALSE)</f>
        <v>TEXAROK</v>
      </c>
      <c r="N1875" s="19" t="str">
        <f>IF(M1875=M1874,"N","Y")</f>
        <v>N</v>
      </c>
      <c r="O1875">
        <f>SUM(I1874:I1875)</f>
        <v>185</v>
      </c>
      <c r="P1875">
        <f t="shared" si="177"/>
        <v>97</v>
      </c>
    </row>
    <row r="1876" spans="1:16" hidden="1" x14ac:dyDescent="0.3">
      <c r="A1876" t="str">
        <f t="shared" si="176"/>
        <v>2024Emily13</v>
      </c>
      <c r="B1876">
        <f t="shared" si="179"/>
        <v>1090</v>
      </c>
      <c r="C1876">
        <f t="shared" si="180"/>
        <v>136</v>
      </c>
      <c r="D1876" t="s">
        <v>43</v>
      </c>
      <c r="E1876" t="str">
        <f>D1877</f>
        <v>Mark</v>
      </c>
      <c r="F1876">
        <v>2024</v>
      </c>
      <c r="G1876">
        <v>13</v>
      </c>
      <c r="H1876">
        <v>4.0999999999999996</v>
      </c>
      <c r="I1876">
        <v>127</v>
      </c>
      <c r="J1876">
        <f>I1876-I1877</f>
        <v>-2</v>
      </c>
      <c r="K1876" t="str">
        <f t="shared" si="178"/>
        <v>L</v>
      </c>
      <c r="L1876" t="str">
        <f t="shared" si="170"/>
        <v>Emily</v>
      </c>
      <c r="M1876" t="str">
        <f>VLOOKUP(L1876,References!$A$2:$B$16,2,FALSE)</f>
        <v>TEXAROK</v>
      </c>
      <c r="N1876" s="19" t="str">
        <f>IF(M1876=M1877,"N","Y")</f>
        <v>Y</v>
      </c>
      <c r="O1876">
        <f>SUM(I1876:I1877)</f>
        <v>256</v>
      </c>
      <c r="P1876">
        <f t="shared" si="177"/>
        <v>129</v>
      </c>
    </row>
    <row r="1877" spans="1:16" hidden="1" x14ac:dyDescent="0.3">
      <c r="A1877" t="str">
        <f t="shared" si="176"/>
        <v>2024Mark13</v>
      </c>
      <c r="B1877">
        <f t="shared" si="179"/>
        <v>977</v>
      </c>
      <c r="C1877">
        <f t="shared" si="180"/>
        <v>119</v>
      </c>
      <c r="D1877" t="s">
        <v>22</v>
      </c>
      <c r="E1877" t="str">
        <f>D1876</f>
        <v>Emily</v>
      </c>
      <c r="F1877">
        <v>2024</v>
      </c>
      <c r="G1877">
        <v>13</v>
      </c>
      <c r="H1877">
        <v>4.2</v>
      </c>
      <c r="I1877">
        <v>129</v>
      </c>
      <c r="J1877">
        <f>I1877-I1876</f>
        <v>2</v>
      </c>
      <c r="K1877" t="str">
        <f t="shared" si="178"/>
        <v>W</v>
      </c>
      <c r="L1877" t="str">
        <f t="shared" si="170"/>
        <v>Mark</v>
      </c>
      <c r="M1877" t="str">
        <f>VLOOKUP(L1877,References!$A$2:$B$16,2,FALSE)</f>
        <v>AKCOVA</v>
      </c>
      <c r="N1877" s="19" t="str">
        <f>IF(M1877=M1876,"N","Y")</f>
        <v>Y</v>
      </c>
      <c r="O1877">
        <f>SUM(I1876:I1877)</f>
        <v>256</v>
      </c>
      <c r="P1877">
        <f t="shared" si="177"/>
        <v>127</v>
      </c>
    </row>
    <row r="1878" spans="1:16" hidden="1" x14ac:dyDescent="0.3">
      <c r="A1878" t="str">
        <f t="shared" si="176"/>
        <v>2024Brent13</v>
      </c>
      <c r="B1878">
        <f t="shared" si="179"/>
        <v>1312</v>
      </c>
      <c r="C1878">
        <f t="shared" si="180"/>
        <v>435</v>
      </c>
      <c r="D1878" t="s">
        <v>47</v>
      </c>
      <c r="E1878" t="str">
        <f>D1879</f>
        <v>BR</v>
      </c>
      <c r="F1878">
        <v>2024</v>
      </c>
      <c r="G1878">
        <v>13</v>
      </c>
      <c r="H1878">
        <v>5.0999999999999996</v>
      </c>
      <c r="I1878">
        <v>109</v>
      </c>
      <c r="J1878">
        <f>I1878-I1879</f>
        <v>-10</v>
      </c>
      <c r="K1878" t="str">
        <f t="shared" si="178"/>
        <v>L</v>
      </c>
      <c r="L1878" t="str">
        <f t="shared" si="170"/>
        <v>Brent</v>
      </c>
      <c r="M1878" t="str">
        <f>VLOOKUP(L1878,References!$A$2:$B$16,2,FALSE)</f>
        <v>TEXAROK</v>
      </c>
      <c r="N1878" s="19" t="str">
        <f>IF(M1878=M1879,"N","Y")</f>
        <v>Y</v>
      </c>
      <c r="O1878">
        <f>SUM(I1878:I1879)</f>
        <v>228</v>
      </c>
      <c r="P1878">
        <f t="shared" si="177"/>
        <v>119</v>
      </c>
    </row>
    <row r="1879" spans="1:16" hidden="1" x14ac:dyDescent="0.3">
      <c r="A1879" t="str">
        <f t="shared" si="176"/>
        <v>2024BR13</v>
      </c>
      <c r="B1879">
        <f t="shared" si="179"/>
        <v>758</v>
      </c>
      <c r="C1879">
        <f t="shared" si="180"/>
        <v>248</v>
      </c>
      <c r="D1879" t="s">
        <v>25</v>
      </c>
      <c r="E1879" t="str">
        <f>D1878</f>
        <v>Brent</v>
      </c>
      <c r="F1879">
        <v>2024</v>
      </c>
      <c r="G1879">
        <v>13</v>
      </c>
      <c r="H1879">
        <v>5.2</v>
      </c>
      <c r="I1879">
        <v>119</v>
      </c>
      <c r="J1879">
        <f>I1879-I1878</f>
        <v>10</v>
      </c>
      <c r="K1879" t="str">
        <f t="shared" si="178"/>
        <v>W</v>
      </c>
      <c r="L1879" t="str">
        <f t="shared" si="170"/>
        <v>BR</v>
      </c>
      <c r="M1879" t="str">
        <f>VLOOKUP(L1879,References!$A$2:$B$16,2,FALSE)</f>
        <v>AKCOVA</v>
      </c>
      <c r="N1879" s="19" t="str">
        <f>IF(M1879=M1878,"N","Y")</f>
        <v>Y</v>
      </c>
      <c r="O1879">
        <f>SUM(I1878:I1879)</f>
        <v>228</v>
      </c>
      <c r="P1879">
        <f t="shared" si="177"/>
        <v>109</v>
      </c>
    </row>
    <row r="1880" spans="1:16" hidden="1" x14ac:dyDescent="0.3">
      <c r="A1880" t="str">
        <f t="shared" si="176"/>
        <v>2024Watty13</v>
      </c>
      <c r="B1880">
        <f t="shared" si="179"/>
        <v>1884</v>
      </c>
      <c r="C1880">
        <f t="shared" si="180"/>
        <v>678</v>
      </c>
      <c r="D1880" t="s">
        <v>24</v>
      </c>
      <c r="E1880" t="str">
        <f>D1881</f>
        <v>Charles</v>
      </c>
      <c r="F1880">
        <v>2024</v>
      </c>
      <c r="G1880">
        <v>13</v>
      </c>
      <c r="H1880">
        <v>6.1</v>
      </c>
      <c r="I1880">
        <v>100</v>
      </c>
      <c r="J1880">
        <f>I1880-I1881</f>
        <v>-39</v>
      </c>
      <c r="K1880" t="str">
        <f t="shared" si="178"/>
        <v>L</v>
      </c>
      <c r="L1880" t="str">
        <f t="shared" si="170"/>
        <v>Watty</v>
      </c>
      <c r="M1880" t="str">
        <f>VLOOKUP(L1880,References!$A$2:$B$16,2,FALSE)</f>
        <v>AKCOVA</v>
      </c>
      <c r="N1880" s="19" t="str">
        <f>IF(M1880=M1881,"N","Y")</f>
        <v>N</v>
      </c>
      <c r="O1880">
        <f>SUM(I1880:I1881)</f>
        <v>239</v>
      </c>
      <c r="P1880">
        <f t="shared" si="177"/>
        <v>139</v>
      </c>
    </row>
    <row r="1881" spans="1:16" hidden="1" x14ac:dyDescent="0.3">
      <c r="A1881" t="str">
        <f t="shared" si="176"/>
        <v>2024Charles13</v>
      </c>
      <c r="B1881">
        <f t="shared" si="179"/>
        <v>199</v>
      </c>
      <c r="C1881">
        <f t="shared" si="180"/>
        <v>61</v>
      </c>
      <c r="D1881" t="s">
        <v>48</v>
      </c>
      <c r="E1881" t="str">
        <f>D1880</f>
        <v>Watty</v>
      </c>
      <c r="F1881">
        <v>2024</v>
      </c>
      <c r="G1881">
        <v>13</v>
      </c>
      <c r="H1881">
        <v>6.2</v>
      </c>
      <c r="I1881">
        <v>139</v>
      </c>
      <c r="J1881">
        <f>I1881-I1880</f>
        <v>39</v>
      </c>
      <c r="K1881" t="str">
        <f t="shared" si="178"/>
        <v>W</v>
      </c>
      <c r="L1881" t="str">
        <f t="shared" si="170"/>
        <v>Charles</v>
      </c>
      <c r="M1881" t="str">
        <f>VLOOKUP(L1881,References!$A$2:$B$16,2,FALSE)</f>
        <v>AKCOVA</v>
      </c>
      <c r="N1881" s="19" t="str">
        <f>IF(M1881=M1880,"N","Y")</f>
        <v>N</v>
      </c>
      <c r="O1881">
        <f>SUM(I1880:I1881)</f>
        <v>239</v>
      </c>
      <c r="P1881">
        <f t="shared" si="177"/>
        <v>100</v>
      </c>
    </row>
    <row r="1882" spans="1:16" hidden="1" x14ac:dyDescent="0.3">
      <c r="A1882" t="str">
        <f t="shared" si="176"/>
        <v>2024Russell13</v>
      </c>
      <c r="B1882">
        <f t="shared" si="179"/>
        <v>1497</v>
      </c>
      <c r="C1882">
        <f t="shared" si="180"/>
        <v>652</v>
      </c>
      <c r="D1882" t="s">
        <v>28</v>
      </c>
      <c r="E1882" t="str">
        <f>D1883</f>
        <v>Matt</v>
      </c>
      <c r="F1882">
        <v>2024</v>
      </c>
      <c r="G1882">
        <v>13</v>
      </c>
      <c r="H1882">
        <v>7.1</v>
      </c>
      <c r="I1882">
        <v>101</v>
      </c>
      <c r="J1882">
        <f>I1882-I1883</f>
        <v>-18</v>
      </c>
      <c r="K1882" t="str">
        <f t="shared" si="178"/>
        <v>L</v>
      </c>
      <c r="L1882" t="str">
        <f t="shared" si="170"/>
        <v>Russell</v>
      </c>
      <c r="M1882" t="str">
        <f>VLOOKUP(L1882,References!$A$2:$B$16,2,FALSE)</f>
        <v>TEXAROK</v>
      </c>
      <c r="N1882" s="19" t="str">
        <f>IF(M1882=M1883,"N","Y")</f>
        <v>N</v>
      </c>
      <c r="O1882">
        <f>SUM(I1882:I1883)</f>
        <v>220</v>
      </c>
      <c r="P1882">
        <f t="shared" si="177"/>
        <v>119</v>
      </c>
    </row>
    <row r="1883" spans="1:16" hidden="1" x14ac:dyDescent="0.3">
      <c r="A1883" t="str">
        <f t="shared" si="176"/>
        <v>2024Matt13</v>
      </c>
      <c r="B1883">
        <f t="shared" si="179"/>
        <v>571</v>
      </c>
      <c r="C1883">
        <f t="shared" si="180"/>
        <v>248</v>
      </c>
      <c r="D1883" t="s">
        <v>30</v>
      </c>
      <c r="E1883" t="str">
        <f>D1882</f>
        <v>Russell</v>
      </c>
      <c r="F1883">
        <v>2024</v>
      </c>
      <c r="G1883">
        <v>13</v>
      </c>
      <c r="H1883">
        <v>7.2</v>
      </c>
      <c r="I1883">
        <v>119</v>
      </c>
      <c r="J1883">
        <f>I1883-I1882</f>
        <v>18</v>
      </c>
      <c r="K1883" t="str">
        <f t="shared" si="178"/>
        <v>W</v>
      </c>
      <c r="L1883" t="str">
        <f t="shared" si="170"/>
        <v>Matt</v>
      </c>
      <c r="M1883" t="str">
        <f>VLOOKUP(L1883,References!$A$2:$B$16,2,FALSE)</f>
        <v>TEXAROK</v>
      </c>
      <c r="N1883" s="19" t="str">
        <f>IF(M1883=M1882,"N","Y")</f>
        <v>N</v>
      </c>
      <c r="O1883">
        <f>SUM(I1882:I1883)</f>
        <v>220</v>
      </c>
      <c r="P1883">
        <f t="shared" si="177"/>
        <v>101</v>
      </c>
    </row>
    <row r="1884" spans="1:16" hidden="1" x14ac:dyDescent="0.3">
      <c r="A1884" t="str">
        <f t="shared" si="176"/>
        <v>2024Watty14</v>
      </c>
      <c r="B1884">
        <f t="shared" ref="B1884:B1897" si="181">RANK(J1884,diff)</f>
        <v>949</v>
      </c>
      <c r="C1884">
        <f t="shared" ref="C1884:C1897" si="182">RANK(I1884,points)</f>
        <v>383</v>
      </c>
      <c r="D1884" t="s">
        <v>24</v>
      </c>
      <c r="E1884" t="str">
        <f>D1885</f>
        <v>Michael</v>
      </c>
      <c r="F1884">
        <v>2024</v>
      </c>
      <c r="G1884">
        <v>14</v>
      </c>
      <c r="H1884">
        <v>1.1000000000000001</v>
      </c>
      <c r="I1884">
        <v>111</v>
      </c>
      <c r="J1884">
        <f>I1884-I1885</f>
        <v>3</v>
      </c>
      <c r="K1884" t="str">
        <f t="shared" ref="K1884:K1897" si="183">IF(J1884&gt;0,"W",IF(J1884&lt;0,"L","T"))</f>
        <v>W</v>
      </c>
      <c r="L1884" t="str">
        <f t="shared" si="170"/>
        <v>Watty</v>
      </c>
      <c r="M1884" t="str">
        <f>VLOOKUP(L1884,References!$A$2:$B$16,2,FALSE)</f>
        <v>AKCOVA</v>
      </c>
      <c r="N1884" s="19" t="str">
        <f>IF(M1884=M1885,"N","Y")</f>
        <v>N</v>
      </c>
      <c r="O1884">
        <f>SUM(I1884:I1885)</f>
        <v>219</v>
      </c>
      <c r="P1884">
        <f t="shared" ref="P1884:P1897" si="184">I1884-J1884</f>
        <v>108</v>
      </c>
    </row>
    <row r="1885" spans="1:16" hidden="1" x14ac:dyDescent="0.3">
      <c r="A1885" t="str">
        <f t="shared" si="176"/>
        <v>2024Michael14</v>
      </c>
      <c r="B1885">
        <f t="shared" si="181"/>
        <v>1117</v>
      </c>
      <c r="C1885">
        <f t="shared" si="182"/>
        <v>462</v>
      </c>
      <c r="D1885" t="s">
        <v>23</v>
      </c>
      <c r="E1885" t="str">
        <f>D1884</f>
        <v>Watty</v>
      </c>
      <c r="F1885">
        <v>2024</v>
      </c>
      <c r="G1885">
        <v>14</v>
      </c>
      <c r="H1885">
        <v>1.2</v>
      </c>
      <c r="I1885">
        <v>108</v>
      </c>
      <c r="J1885">
        <f>I1885-I1884</f>
        <v>-3</v>
      </c>
      <c r="K1885" t="str">
        <f t="shared" si="183"/>
        <v>L</v>
      </c>
      <c r="L1885" t="str">
        <f t="shared" si="170"/>
        <v>Michael</v>
      </c>
      <c r="M1885" t="str">
        <f>VLOOKUP(L1885,References!$A$2:$B$16,2,FALSE)</f>
        <v>AKCOVA</v>
      </c>
      <c r="N1885" s="19" t="str">
        <f>IF(M1885=M1884,"N","Y")</f>
        <v>N</v>
      </c>
      <c r="O1885">
        <f>SUM(I1884:I1885)</f>
        <v>219</v>
      </c>
      <c r="P1885">
        <f t="shared" si="184"/>
        <v>111</v>
      </c>
    </row>
    <row r="1886" spans="1:16" hidden="1" x14ac:dyDescent="0.3">
      <c r="A1886" t="str">
        <f t="shared" si="176"/>
        <v>2024Russell14</v>
      </c>
      <c r="B1886">
        <f t="shared" si="181"/>
        <v>2045</v>
      </c>
      <c r="C1886">
        <f t="shared" si="182"/>
        <v>992</v>
      </c>
      <c r="D1886" t="s">
        <v>28</v>
      </c>
      <c r="E1886" t="str">
        <f>D1887</f>
        <v>Emily</v>
      </c>
      <c r="F1886">
        <v>2024</v>
      </c>
      <c r="G1886">
        <v>14</v>
      </c>
      <c r="H1886">
        <v>2.1</v>
      </c>
      <c r="I1886">
        <v>91</v>
      </c>
      <c r="J1886">
        <f>I1886-I1887</f>
        <v>-62</v>
      </c>
      <c r="K1886" t="str">
        <f t="shared" si="183"/>
        <v>L</v>
      </c>
      <c r="L1886" t="str">
        <f t="shared" si="170"/>
        <v>Russell</v>
      </c>
      <c r="M1886" t="str">
        <f>VLOOKUP(L1886,References!$A$2:$B$16,2,FALSE)</f>
        <v>TEXAROK</v>
      </c>
      <c r="N1886" s="19" t="str">
        <f>IF(M1886=M1887,"N","Y")</f>
        <v>N</v>
      </c>
      <c r="O1886">
        <f>SUM(I1886:I1887)</f>
        <v>244</v>
      </c>
      <c r="P1886">
        <f t="shared" si="184"/>
        <v>153</v>
      </c>
    </row>
    <row r="1887" spans="1:16" hidden="1" x14ac:dyDescent="0.3">
      <c r="A1887" t="str">
        <f t="shared" si="176"/>
        <v>2024Emily14</v>
      </c>
      <c r="B1887">
        <f t="shared" si="181"/>
        <v>45</v>
      </c>
      <c r="C1887">
        <f t="shared" si="182"/>
        <v>19</v>
      </c>
      <c r="D1887" t="s">
        <v>43</v>
      </c>
      <c r="E1887" t="str">
        <f>D1886</f>
        <v>Russell</v>
      </c>
      <c r="F1887">
        <v>2024</v>
      </c>
      <c r="G1887">
        <v>14</v>
      </c>
      <c r="H1887">
        <v>2.2000000000000002</v>
      </c>
      <c r="I1887">
        <v>153</v>
      </c>
      <c r="J1887">
        <f>I1887-I1886</f>
        <v>62</v>
      </c>
      <c r="K1887" t="str">
        <f t="shared" si="183"/>
        <v>W</v>
      </c>
      <c r="L1887" t="str">
        <f t="shared" si="170"/>
        <v>Emily</v>
      </c>
      <c r="M1887" t="str">
        <f>VLOOKUP(L1887,References!$A$2:$B$16,2,FALSE)</f>
        <v>TEXAROK</v>
      </c>
      <c r="N1887" s="19" t="str">
        <f>IF(M1887=M1886,"N","Y")</f>
        <v>N</v>
      </c>
      <c r="O1887">
        <f>SUM(I1886:I1887)</f>
        <v>244</v>
      </c>
      <c r="P1887">
        <f t="shared" si="184"/>
        <v>91</v>
      </c>
    </row>
    <row r="1888" spans="1:16" hidden="1" x14ac:dyDescent="0.3">
      <c r="A1888" t="str">
        <f t="shared" si="176"/>
        <v>2024David14</v>
      </c>
      <c r="B1888">
        <f t="shared" si="181"/>
        <v>319</v>
      </c>
      <c r="C1888">
        <f t="shared" si="182"/>
        <v>486</v>
      </c>
      <c r="D1888" t="s">
        <v>29</v>
      </c>
      <c r="E1888" t="str">
        <f>D1889</f>
        <v>Matt</v>
      </c>
      <c r="F1888">
        <v>2024</v>
      </c>
      <c r="G1888">
        <v>14</v>
      </c>
      <c r="H1888">
        <v>3.1</v>
      </c>
      <c r="I1888">
        <v>107</v>
      </c>
      <c r="J1888">
        <f>I1888-I1889</f>
        <v>30</v>
      </c>
      <c r="K1888" t="str">
        <f t="shared" si="183"/>
        <v>W</v>
      </c>
      <c r="L1888" t="str">
        <f t="shared" si="170"/>
        <v>David</v>
      </c>
      <c r="M1888" t="str">
        <f>VLOOKUP(L1888,References!$A$2:$B$16,2,FALSE)</f>
        <v>TEXAROK</v>
      </c>
      <c r="N1888" s="19" t="str">
        <f>IF(M1888=M1889,"N","Y")</f>
        <v>N</v>
      </c>
      <c r="O1888">
        <f>SUM(I1888:I1889)</f>
        <v>184</v>
      </c>
      <c r="P1888">
        <f t="shared" si="184"/>
        <v>77</v>
      </c>
    </row>
    <row r="1889" spans="1:16" hidden="1" x14ac:dyDescent="0.3">
      <c r="A1889" t="str">
        <f t="shared" si="176"/>
        <v>2024Matt14</v>
      </c>
      <c r="B1889">
        <f t="shared" si="181"/>
        <v>1753</v>
      </c>
      <c r="C1889">
        <f t="shared" si="182"/>
        <v>1512</v>
      </c>
      <c r="D1889" t="s">
        <v>30</v>
      </c>
      <c r="E1889" t="str">
        <f>D1888</f>
        <v>David</v>
      </c>
      <c r="F1889">
        <v>2024</v>
      </c>
      <c r="G1889">
        <v>14</v>
      </c>
      <c r="H1889">
        <v>3.2</v>
      </c>
      <c r="I1889">
        <v>77</v>
      </c>
      <c r="J1889">
        <f>I1889-I1888</f>
        <v>-30</v>
      </c>
      <c r="K1889" t="str">
        <f t="shared" si="183"/>
        <v>L</v>
      </c>
      <c r="L1889" t="str">
        <f t="shared" si="170"/>
        <v>Matt</v>
      </c>
      <c r="M1889" t="str">
        <f>VLOOKUP(L1889,References!$A$2:$B$16,2,FALSE)</f>
        <v>TEXAROK</v>
      </c>
      <c r="N1889" s="19" t="str">
        <f>IF(M1889=M1888,"N","Y")</f>
        <v>N</v>
      </c>
      <c r="O1889">
        <f>SUM(I1888:I1889)</f>
        <v>184</v>
      </c>
      <c r="P1889">
        <f t="shared" si="184"/>
        <v>107</v>
      </c>
    </row>
    <row r="1890" spans="1:16" hidden="1" x14ac:dyDescent="0.3">
      <c r="A1890" t="str">
        <f t="shared" si="176"/>
        <v>2024Mark14</v>
      </c>
      <c r="B1890">
        <f t="shared" si="181"/>
        <v>2063</v>
      </c>
      <c r="C1890">
        <f t="shared" si="182"/>
        <v>1910</v>
      </c>
      <c r="D1890" t="s">
        <v>22</v>
      </c>
      <c r="E1890" t="str">
        <f>D1891</f>
        <v>Brian</v>
      </c>
      <c r="F1890">
        <v>2024</v>
      </c>
      <c r="G1890">
        <v>14</v>
      </c>
      <c r="H1890">
        <v>4.0999999999999996</v>
      </c>
      <c r="I1890">
        <v>62</v>
      </c>
      <c r="J1890">
        <f>I1890-I1891</f>
        <v>-67</v>
      </c>
      <c r="K1890" t="str">
        <f t="shared" si="183"/>
        <v>L</v>
      </c>
      <c r="L1890" t="str">
        <f t="shared" si="170"/>
        <v>Mark</v>
      </c>
      <c r="M1890" t="str">
        <f>VLOOKUP(L1890,References!$A$2:$B$16,2,FALSE)</f>
        <v>AKCOVA</v>
      </c>
      <c r="N1890" s="19" t="str">
        <f>IF(M1890=M1891,"N","Y")</f>
        <v>Y</v>
      </c>
      <c r="O1890">
        <f>SUM(I1890:I1891)</f>
        <v>191</v>
      </c>
      <c r="P1890">
        <f t="shared" si="184"/>
        <v>129</v>
      </c>
    </row>
    <row r="1891" spans="1:16" hidden="1" x14ac:dyDescent="0.3">
      <c r="A1891" t="str">
        <f t="shared" si="176"/>
        <v>2024Brian14</v>
      </c>
      <c r="B1891">
        <f t="shared" si="181"/>
        <v>27</v>
      </c>
      <c r="C1891">
        <f t="shared" si="182"/>
        <v>119</v>
      </c>
      <c r="D1891" t="s">
        <v>26</v>
      </c>
      <c r="E1891" t="str">
        <f>D1890</f>
        <v>Mark</v>
      </c>
      <c r="F1891">
        <v>2024</v>
      </c>
      <c r="G1891">
        <v>14</v>
      </c>
      <c r="H1891">
        <v>4.2</v>
      </c>
      <c r="I1891">
        <v>129</v>
      </c>
      <c r="J1891">
        <f>I1891-I1890</f>
        <v>67</v>
      </c>
      <c r="K1891" t="str">
        <f t="shared" si="183"/>
        <v>W</v>
      </c>
      <c r="L1891" t="str">
        <f t="shared" si="170"/>
        <v>Brian</v>
      </c>
      <c r="M1891" t="str">
        <f>VLOOKUP(L1891,References!$A$2:$B$16,2,FALSE)</f>
        <v>TEXAROK</v>
      </c>
      <c r="N1891" s="19" t="str">
        <f>IF(M1891=M1890,"N","Y")</f>
        <v>Y</v>
      </c>
      <c r="O1891">
        <f>SUM(I1890:I1891)</f>
        <v>191</v>
      </c>
      <c r="P1891">
        <f t="shared" si="184"/>
        <v>62</v>
      </c>
    </row>
    <row r="1892" spans="1:16" hidden="1" x14ac:dyDescent="0.3">
      <c r="A1892" t="str">
        <f t="shared" si="176"/>
        <v>2024Arnold14</v>
      </c>
      <c r="B1892">
        <f t="shared" si="181"/>
        <v>1970</v>
      </c>
      <c r="C1892">
        <f t="shared" si="182"/>
        <v>822</v>
      </c>
      <c r="D1892" t="s">
        <v>227</v>
      </c>
      <c r="E1892" t="str">
        <f>D1893</f>
        <v>Charles</v>
      </c>
      <c r="F1892">
        <v>2024</v>
      </c>
      <c r="G1892">
        <v>14</v>
      </c>
      <c r="H1892">
        <v>5.0999999999999996</v>
      </c>
      <c r="I1892">
        <v>96</v>
      </c>
      <c r="J1892">
        <f>I1892-I1893</f>
        <v>-48</v>
      </c>
      <c r="K1892" t="str">
        <f t="shared" si="183"/>
        <v>L</v>
      </c>
      <c r="L1892" t="str">
        <f t="shared" si="170"/>
        <v>Arnold</v>
      </c>
      <c r="M1892" t="str">
        <f>VLOOKUP(L1892,References!$A$2:$B$16,2,FALSE)</f>
        <v>AKCOVA</v>
      </c>
      <c r="N1892" s="19" t="str">
        <f>IF(M1892=M1893,"N","Y")</f>
        <v>N</v>
      </c>
      <c r="O1892">
        <f>SUM(I1892:I1893)</f>
        <v>240</v>
      </c>
      <c r="P1892">
        <f t="shared" si="184"/>
        <v>144</v>
      </c>
    </row>
    <row r="1893" spans="1:16" hidden="1" x14ac:dyDescent="0.3">
      <c r="A1893" t="str">
        <f t="shared" si="176"/>
        <v>2024Charles14</v>
      </c>
      <c r="B1893">
        <f t="shared" si="181"/>
        <v>119</v>
      </c>
      <c r="C1893">
        <f t="shared" si="182"/>
        <v>39</v>
      </c>
      <c r="D1893" t="s">
        <v>48</v>
      </c>
      <c r="E1893" t="str">
        <f>D1892</f>
        <v>Arnold</v>
      </c>
      <c r="F1893">
        <v>2024</v>
      </c>
      <c r="G1893">
        <v>14</v>
      </c>
      <c r="H1893">
        <v>5.2</v>
      </c>
      <c r="I1893">
        <v>144</v>
      </c>
      <c r="J1893">
        <f>I1893-I1892</f>
        <v>48</v>
      </c>
      <c r="K1893" t="str">
        <f t="shared" si="183"/>
        <v>W</v>
      </c>
      <c r="L1893" t="str">
        <f t="shared" si="170"/>
        <v>Charles</v>
      </c>
      <c r="M1893" t="str">
        <f>VLOOKUP(L1893,References!$A$2:$B$16,2,FALSE)</f>
        <v>AKCOVA</v>
      </c>
      <c r="N1893" s="19" t="str">
        <f>IF(M1893=M1892,"N","Y")</f>
        <v>N</v>
      </c>
      <c r="O1893">
        <f>SUM(I1892:I1893)</f>
        <v>240</v>
      </c>
      <c r="P1893">
        <f t="shared" si="184"/>
        <v>96</v>
      </c>
    </row>
    <row r="1894" spans="1:16" hidden="1" x14ac:dyDescent="0.3">
      <c r="A1894" t="str">
        <f t="shared" si="176"/>
        <v>2024Grayson14</v>
      </c>
      <c r="B1894">
        <f t="shared" si="181"/>
        <v>270</v>
      </c>
      <c r="C1894">
        <f t="shared" si="182"/>
        <v>61</v>
      </c>
      <c r="D1894" t="s">
        <v>473</v>
      </c>
      <c r="E1894" t="str">
        <f>D1895</f>
        <v>Jordan</v>
      </c>
      <c r="F1894">
        <v>2024</v>
      </c>
      <c r="G1894">
        <v>14</v>
      </c>
      <c r="H1894">
        <v>6.1</v>
      </c>
      <c r="I1894">
        <v>139</v>
      </c>
      <c r="J1894">
        <f>I1894-I1895</f>
        <v>33</v>
      </c>
      <c r="K1894" t="str">
        <f t="shared" si="183"/>
        <v>W</v>
      </c>
      <c r="L1894" t="str">
        <f t="shared" si="170"/>
        <v>Grayson</v>
      </c>
      <c r="M1894" t="str">
        <f>VLOOKUP(L1894,References!$A$2:$B$16,2,FALSE)</f>
        <v>TEXAROK</v>
      </c>
      <c r="N1894" s="19" t="str">
        <f>IF(M1894=M1895,"N","Y")</f>
        <v>Y</v>
      </c>
      <c r="O1894">
        <f>SUM(I1894:I1895)</f>
        <v>245</v>
      </c>
      <c r="P1894">
        <f t="shared" si="184"/>
        <v>106</v>
      </c>
    </row>
    <row r="1895" spans="1:16" hidden="1" x14ac:dyDescent="0.3">
      <c r="A1895" t="str">
        <f t="shared" si="176"/>
        <v>2024Jordan14</v>
      </c>
      <c r="B1895">
        <f t="shared" si="181"/>
        <v>1810</v>
      </c>
      <c r="C1895">
        <f t="shared" si="182"/>
        <v>509</v>
      </c>
      <c r="D1895" t="s">
        <v>472</v>
      </c>
      <c r="E1895" t="str">
        <f>D1894</f>
        <v>Grayson</v>
      </c>
      <c r="F1895">
        <v>2024</v>
      </c>
      <c r="G1895">
        <v>14</v>
      </c>
      <c r="H1895">
        <v>6.2</v>
      </c>
      <c r="I1895">
        <v>106</v>
      </c>
      <c r="J1895">
        <f>I1895-I1894</f>
        <v>-33</v>
      </c>
      <c r="K1895" t="str">
        <f t="shared" si="183"/>
        <v>L</v>
      </c>
      <c r="L1895" t="str">
        <f t="shared" si="170"/>
        <v>Jordan</v>
      </c>
      <c r="M1895" t="str">
        <f>VLOOKUP(L1895,References!$A$2:$B$16,2,FALSE)</f>
        <v>AKCOVA</v>
      </c>
      <c r="N1895" s="19" t="str">
        <f>IF(M1895=M1894,"N","Y")</f>
        <v>Y</v>
      </c>
      <c r="O1895">
        <f>SUM(I1894:I1895)</f>
        <v>245</v>
      </c>
      <c r="P1895">
        <f t="shared" si="184"/>
        <v>139</v>
      </c>
    </row>
    <row r="1896" spans="1:16" hidden="1" x14ac:dyDescent="0.3">
      <c r="A1896" t="str">
        <f t="shared" si="176"/>
        <v>2024Brent14</v>
      </c>
      <c r="B1896">
        <f t="shared" si="181"/>
        <v>37</v>
      </c>
      <c r="C1896">
        <f t="shared" si="182"/>
        <v>305</v>
      </c>
      <c r="D1896" t="s">
        <v>47</v>
      </c>
      <c r="E1896" t="str">
        <f>D1897</f>
        <v>BR</v>
      </c>
      <c r="F1896">
        <v>2024</v>
      </c>
      <c r="G1896">
        <v>14</v>
      </c>
      <c r="H1896">
        <v>7.1</v>
      </c>
      <c r="I1896">
        <v>115</v>
      </c>
      <c r="J1896">
        <f>I1896-I1897</f>
        <v>64</v>
      </c>
      <c r="K1896" t="str">
        <f t="shared" si="183"/>
        <v>W</v>
      </c>
      <c r="L1896" t="str">
        <f t="shared" si="170"/>
        <v>Brent</v>
      </c>
      <c r="M1896" t="str">
        <f>VLOOKUP(L1896,References!$A$2:$B$16,2,FALSE)</f>
        <v>TEXAROK</v>
      </c>
      <c r="N1896" s="19" t="str">
        <f>IF(M1896=M1897,"N","Y")</f>
        <v>Y</v>
      </c>
      <c r="O1896">
        <f>SUM(I1896:I1897)</f>
        <v>166</v>
      </c>
      <c r="P1896">
        <f t="shared" si="184"/>
        <v>51</v>
      </c>
    </row>
    <row r="1897" spans="1:16" hidden="1" x14ac:dyDescent="0.3">
      <c r="A1897" t="str">
        <f t="shared" si="176"/>
        <v>2024BR14</v>
      </c>
      <c r="B1897">
        <f t="shared" si="181"/>
        <v>2052</v>
      </c>
      <c r="C1897">
        <f t="shared" si="182"/>
        <v>2040</v>
      </c>
      <c r="D1897" t="s">
        <v>25</v>
      </c>
      <c r="E1897" t="str">
        <f>D1896</f>
        <v>Brent</v>
      </c>
      <c r="F1897">
        <v>2024</v>
      </c>
      <c r="G1897">
        <v>14</v>
      </c>
      <c r="H1897">
        <v>7.2</v>
      </c>
      <c r="I1897">
        <v>51</v>
      </c>
      <c r="J1897">
        <f>I1897-I1896</f>
        <v>-64</v>
      </c>
      <c r="K1897" t="str">
        <f t="shared" si="183"/>
        <v>L</v>
      </c>
      <c r="L1897" t="str">
        <f t="shared" si="170"/>
        <v>BR</v>
      </c>
      <c r="M1897" t="str">
        <f>VLOOKUP(L1897,References!$A$2:$B$16,2,FALSE)</f>
        <v>AKCOVA</v>
      </c>
      <c r="N1897" s="19" t="str">
        <f>IF(M1897=M1896,"N","Y")</f>
        <v>Y</v>
      </c>
      <c r="O1897">
        <f>SUM(I1896:I1897)</f>
        <v>166</v>
      </c>
      <c r="P1897">
        <f t="shared" si="184"/>
        <v>115</v>
      </c>
    </row>
    <row r="1898" spans="1:16" hidden="1" x14ac:dyDescent="0.3">
      <c r="A1898" t="str">
        <f t="shared" ref="A1898:A1961" si="185">F1898&amp;D1898&amp;G1898</f>
        <v>2025Michael1</v>
      </c>
      <c r="B1898">
        <f t="shared" ref="B1898:B1961" si="186">RANK(J1898,diff)</f>
        <v>571</v>
      </c>
      <c r="C1898">
        <f t="shared" ref="C1898:C1961" si="187">RANK(I1898,points)</f>
        <v>566</v>
      </c>
      <c r="D1898" t="s">
        <v>23</v>
      </c>
      <c r="E1898" t="str">
        <f t="shared" ref="E1898" si="188">D1899</f>
        <v>Emily</v>
      </c>
      <c r="F1898">
        <v>2025</v>
      </c>
      <c r="G1898">
        <v>1</v>
      </c>
      <c r="H1898">
        <v>1.1000000000000001</v>
      </c>
      <c r="I1898">
        <v>104</v>
      </c>
      <c r="J1898">
        <f t="shared" ref="J1898" si="189">I1898-I1899</f>
        <v>18</v>
      </c>
      <c r="K1898" t="str">
        <f t="shared" ref="K1898:K1961" si="190">IF(J1898&gt;0,"W",IF(J1898&lt;0,"L","T"))</f>
        <v>W</v>
      </c>
      <c r="L1898" t="str">
        <f t="shared" si="170"/>
        <v>Michael</v>
      </c>
      <c r="M1898" t="str">
        <f>VLOOKUP(L1898,References!$A$2:$B$16,2,FALSE)</f>
        <v>AKCOVA</v>
      </c>
      <c r="N1898" s="19" t="str">
        <f t="shared" ref="N1898" si="191">IF(M1898=M1899,"N","Y")</f>
        <v>Y</v>
      </c>
      <c r="O1898">
        <f t="shared" ref="O1898" si="192">SUM(I1898:I1899)</f>
        <v>190</v>
      </c>
      <c r="P1898">
        <f t="shared" ref="P1898:P1961" si="193">I1898-J1898</f>
        <v>86</v>
      </c>
    </row>
    <row r="1899" spans="1:16" hidden="1" x14ac:dyDescent="0.3">
      <c r="A1899" t="str">
        <f t="shared" si="185"/>
        <v>2025Emily1</v>
      </c>
      <c r="B1899">
        <f t="shared" si="186"/>
        <v>1497</v>
      </c>
      <c r="C1899">
        <f t="shared" si="187"/>
        <v>1173</v>
      </c>
      <c r="D1899" t="s">
        <v>43</v>
      </c>
      <c r="E1899" t="str">
        <f t="shared" ref="E1899" si="194">D1898</f>
        <v>Michael</v>
      </c>
      <c r="F1899">
        <v>2025</v>
      </c>
      <c r="G1899">
        <v>1</v>
      </c>
      <c r="H1899">
        <v>1.2</v>
      </c>
      <c r="I1899">
        <v>86</v>
      </c>
      <c r="J1899">
        <f t="shared" ref="J1899" si="195">I1899-I1898</f>
        <v>-18</v>
      </c>
      <c r="K1899" t="str">
        <f t="shared" si="190"/>
        <v>L</v>
      </c>
      <c r="L1899" t="str">
        <f t="shared" si="170"/>
        <v>Emily</v>
      </c>
      <c r="M1899" t="str">
        <f>VLOOKUP(L1899,References!$A$2:$B$16,2,FALSE)</f>
        <v>TEXAROK</v>
      </c>
      <c r="N1899" s="19" t="str">
        <f t="shared" ref="N1899" si="196">IF(M1899=M1898,"N","Y")</f>
        <v>Y</v>
      </c>
      <c r="O1899">
        <f t="shared" ref="O1899" si="197">SUM(I1898:I1899)</f>
        <v>190</v>
      </c>
      <c r="P1899">
        <f t="shared" si="193"/>
        <v>104</v>
      </c>
    </row>
    <row r="1900" spans="1:16" hidden="1" x14ac:dyDescent="0.3">
      <c r="A1900" t="str">
        <f t="shared" si="185"/>
        <v>2025Charles1</v>
      </c>
      <c r="B1900">
        <f t="shared" si="186"/>
        <v>1055</v>
      </c>
      <c r="C1900">
        <f t="shared" si="187"/>
        <v>992</v>
      </c>
      <c r="D1900" t="s">
        <v>48</v>
      </c>
      <c r="E1900" t="str">
        <f t="shared" ref="E1900" si="198">D1901</f>
        <v>David</v>
      </c>
      <c r="F1900">
        <v>2025</v>
      </c>
      <c r="G1900">
        <v>1</v>
      </c>
      <c r="H1900">
        <v>2.1</v>
      </c>
      <c r="I1900">
        <v>91</v>
      </c>
      <c r="J1900">
        <f t="shared" ref="J1900" si="199">I1900-I1901</f>
        <v>-1</v>
      </c>
      <c r="K1900" t="str">
        <f t="shared" si="190"/>
        <v>L</v>
      </c>
      <c r="L1900" t="str">
        <f t="shared" si="170"/>
        <v>Charles</v>
      </c>
      <c r="M1900" t="str">
        <f>VLOOKUP(L1900,References!$A$2:$B$16,2,FALSE)</f>
        <v>AKCOVA</v>
      </c>
      <c r="N1900" s="19" t="str">
        <f t="shared" ref="N1900" si="200">IF(M1900=M1901,"N","Y")</f>
        <v>Y</v>
      </c>
      <c r="O1900">
        <f t="shared" ref="O1900" si="201">SUM(I1900:I1901)</f>
        <v>183</v>
      </c>
      <c r="P1900">
        <f t="shared" si="193"/>
        <v>92</v>
      </c>
    </row>
    <row r="1901" spans="1:16" hidden="1" x14ac:dyDescent="0.3">
      <c r="A1901" t="str">
        <f t="shared" si="185"/>
        <v>2025David1</v>
      </c>
      <c r="B1901">
        <f t="shared" si="186"/>
        <v>1004</v>
      </c>
      <c r="C1901">
        <f t="shared" si="187"/>
        <v>958</v>
      </c>
      <c r="D1901" t="s">
        <v>29</v>
      </c>
      <c r="E1901" t="str">
        <f t="shared" ref="E1901" si="202">D1900</f>
        <v>Charles</v>
      </c>
      <c r="F1901">
        <v>2025</v>
      </c>
      <c r="G1901">
        <v>1</v>
      </c>
      <c r="H1901">
        <v>2.2000000000000002</v>
      </c>
      <c r="I1901">
        <v>92</v>
      </c>
      <c r="J1901">
        <f t="shared" ref="J1901" si="203">I1901-I1900</f>
        <v>1</v>
      </c>
      <c r="K1901" t="str">
        <f t="shared" si="190"/>
        <v>W</v>
      </c>
      <c r="L1901" t="str">
        <f t="shared" si="170"/>
        <v>David</v>
      </c>
      <c r="M1901" t="str">
        <f>VLOOKUP(L1901,References!$A$2:$B$16,2,FALSE)</f>
        <v>TEXAROK</v>
      </c>
      <c r="N1901" s="19" t="str">
        <f t="shared" ref="N1901" si="204">IF(M1901=M1900,"N","Y")</f>
        <v>Y</v>
      </c>
      <c r="O1901">
        <f t="shared" ref="O1901" si="205">SUM(I1900:I1901)</f>
        <v>183</v>
      </c>
      <c r="P1901">
        <f t="shared" si="193"/>
        <v>91</v>
      </c>
    </row>
    <row r="1902" spans="1:16" hidden="1" x14ac:dyDescent="0.3">
      <c r="A1902" t="str">
        <f t="shared" si="185"/>
        <v>2025Grayson1</v>
      </c>
      <c r="B1902">
        <f t="shared" si="186"/>
        <v>619</v>
      </c>
      <c r="C1902">
        <f t="shared" si="187"/>
        <v>267</v>
      </c>
      <c r="D1902" t="s">
        <v>473</v>
      </c>
      <c r="E1902" t="str">
        <f t="shared" ref="E1902" si="206">D1903</f>
        <v>Russell</v>
      </c>
      <c r="F1902">
        <v>2025</v>
      </c>
      <c r="G1902">
        <v>1</v>
      </c>
      <c r="H1902">
        <v>3.1</v>
      </c>
      <c r="I1902">
        <v>118</v>
      </c>
      <c r="J1902">
        <f t="shared" ref="J1902" si="207">I1902-I1903</f>
        <v>16</v>
      </c>
      <c r="K1902" t="str">
        <f t="shared" si="190"/>
        <v>W</v>
      </c>
      <c r="L1902" t="str">
        <f t="shared" si="170"/>
        <v>Grayson</v>
      </c>
      <c r="M1902" t="str">
        <f>VLOOKUP(L1902,References!$A$2:$B$16,2,FALSE)</f>
        <v>TEXAROK</v>
      </c>
      <c r="N1902" s="19" t="str">
        <f t="shared" ref="N1902" si="208">IF(M1902=M1903,"N","Y")</f>
        <v>N</v>
      </c>
      <c r="O1902">
        <f t="shared" ref="O1902" si="209">SUM(I1902:I1903)</f>
        <v>220</v>
      </c>
      <c r="P1902">
        <f t="shared" si="193"/>
        <v>102</v>
      </c>
    </row>
    <row r="1903" spans="1:16" hidden="1" x14ac:dyDescent="0.3">
      <c r="A1903" t="str">
        <f t="shared" si="185"/>
        <v>2025Russell1</v>
      </c>
      <c r="B1903">
        <f t="shared" si="186"/>
        <v>1455</v>
      </c>
      <c r="C1903">
        <f t="shared" si="187"/>
        <v>631</v>
      </c>
      <c r="D1903" t="s">
        <v>28</v>
      </c>
      <c r="E1903" t="str">
        <f t="shared" ref="E1903" si="210">D1902</f>
        <v>Grayson</v>
      </c>
      <c r="F1903">
        <v>2025</v>
      </c>
      <c r="G1903">
        <v>1</v>
      </c>
      <c r="H1903">
        <v>3.2</v>
      </c>
      <c r="I1903">
        <v>102</v>
      </c>
      <c r="J1903">
        <f t="shared" ref="J1903" si="211">I1903-I1902</f>
        <v>-16</v>
      </c>
      <c r="K1903" t="str">
        <f t="shared" si="190"/>
        <v>L</v>
      </c>
      <c r="L1903" t="str">
        <f t="shared" si="170"/>
        <v>Russell</v>
      </c>
      <c r="M1903" t="str">
        <f>VLOOKUP(L1903,References!$A$2:$B$16,2,FALSE)</f>
        <v>TEXAROK</v>
      </c>
      <c r="N1903" s="19" t="str">
        <f t="shared" ref="N1903" si="212">IF(M1903=M1902,"N","Y")</f>
        <v>N</v>
      </c>
      <c r="O1903">
        <f t="shared" ref="O1903" si="213">SUM(I1902:I1903)</f>
        <v>220</v>
      </c>
      <c r="P1903">
        <f t="shared" si="193"/>
        <v>118</v>
      </c>
    </row>
    <row r="1904" spans="1:16" hidden="1" x14ac:dyDescent="0.3">
      <c r="A1904" t="str">
        <f t="shared" si="185"/>
        <v>2025Brent1</v>
      </c>
      <c r="B1904">
        <f t="shared" si="186"/>
        <v>1117</v>
      </c>
      <c r="C1904">
        <f t="shared" si="187"/>
        <v>1365</v>
      </c>
      <c r="D1904" t="s">
        <v>47</v>
      </c>
      <c r="E1904" t="str">
        <f t="shared" ref="E1904" si="214">D1905</f>
        <v>Matt</v>
      </c>
      <c r="F1904">
        <v>2025</v>
      </c>
      <c r="G1904">
        <v>1</v>
      </c>
      <c r="H1904">
        <v>4.0999999999999996</v>
      </c>
      <c r="I1904">
        <v>81</v>
      </c>
      <c r="J1904">
        <f t="shared" ref="J1904" si="215">I1904-I1905</f>
        <v>-3</v>
      </c>
      <c r="K1904" t="str">
        <f t="shared" si="190"/>
        <v>L</v>
      </c>
      <c r="L1904" t="str">
        <f t="shared" si="170"/>
        <v>Brent</v>
      </c>
      <c r="M1904" t="str">
        <f>VLOOKUP(L1904,References!$A$2:$B$16,2,FALSE)</f>
        <v>TEXAROK</v>
      </c>
      <c r="N1904" s="19" t="str">
        <f t="shared" ref="N1904" si="216">IF(M1904=M1905,"N","Y")</f>
        <v>N</v>
      </c>
      <c r="O1904">
        <f t="shared" ref="O1904" si="217">SUM(I1904:I1905)</f>
        <v>165</v>
      </c>
      <c r="P1904">
        <f t="shared" si="193"/>
        <v>84</v>
      </c>
    </row>
    <row r="1905" spans="1:16" hidden="1" x14ac:dyDescent="0.3">
      <c r="A1905" t="str">
        <f t="shared" si="185"/>
        <v>2025Matt1</v>
      </c>
      <c r="B1905">
        <f t="shared" si="186"/>
        <v>949</v>
      </c>
      <c r="C1905">
        <f t="shared" si="187"/>
        <v>1241</v>
      </c>
      <c r="D1905" t="s">
        <v>30</v>
      </c>
      <c r="E1905" t="str">
        <f t="shared" ref="E1905" si="218">D1904</f>
        <v>Brent</v>
      </c>
      <c r="F1905">
        <v>2025</v>
      </c>
      <c r="G1905">
        <v>1</v>
      </c>
      <c r="H1905">
        <v>4.2</v>
      </c>
      <c r="I1905">
        <v>84</v>
      </c>
      <c r="J1905">
        <f t="shared" ref="J1905" si="219">I1905-I1904</f>
        <v>3</v>
      </c>
      <c r="K1905" t="str">
        <f t="shared" si="190"/>
        <v>W</v>
      </c>
      <c r="L1905" t="str">
        <f t="shared" si="170"/>
        <v>Matt</v>
      </c>
      <c r="M1905" t="str">
        <f>VLOOKUP(L1905,References!$A$2:$B$16,2,FALSE)</f>
        <v>TEXAROK</v>
      </c>
      <c r="N1905" s="19" t="str">
        <f t="shared" ref="N1905" si="220">IF(M1905=M1904,"N","Y")</f>
        <v>N</v>
      </c>
      <c r="O1905">
        <f t="shared" ref="O1905" si="221">SUM(I1904:I1905)</f>
        <v>165</v>
      </c>
      <c r="P1905">
        <f t="shared" si="193"/>
        <v>81</v>
      </c>
    </row>
    <row r="1906" spans="1:16" hidden="1" x14ac:dyDescent="0.3">
      <c r="A1906" t="str">
        <f t="shared" si="185"/>
        <v>2025Jordan1</v>
      </c>
      <c r="B1906">
        <f t="shared" si="186"/>
        <v>1004</v>
      </c>
      <c r="C1906">
        <f t="shared" si="187"/>
        <v>211</v>
      </c>
      <c r="D1906" t="s">
        <v>472</v>
      </c>
      <c r="E1906" t="str">
        <f t="shared" ref="E1906" si="222">D1907</f>
        <v>BR</v>
      </c>
      <c r="F1906">
        <v>2025</v>
      </c>
      <c r="G1906">
        <v>1</v>
      </c>
      <c r="H1906">
        <v>5.0999999999999996</v>
      </c>
      <c r="I1906">
        <v>121</v>
      </c>
      <c r="J1906">
        <f t="shared" ref="J1906" si="223">I1906-I1907</f>
        <v>1</v>
      </c>
      <c r="K1906" t="str">
        <f t="shared" si="190"/>
        <v>W</v>
      </c>
      <c r="L1906" t="str">
        <f t="shared" si="170"/>
        <v>Jordan</v>
      </c>
      <c r="M1906" t="str">
        <f>VLOOKUP(L1906,References!$A$2:$B$16,2,FALSE)</f>
        <v>AKCOVA</v>
      </c>
      <c r="N1906" s="19" t="str">
        <f t="shared" ref="N1906" si="224">IF(M1906=M1907,"N","Y")</f>
        <v>N</v>
      </c>
      <c r="O1906">
        <f t="shared" ref="O1906" si="225">SUM(I1906:I1907)</f>
        <v>241</v>
      </c>
      <c r="P1906">
        <f t="shared" si="193"/>
        <v>120</v>
      </c>
    </row>
    <row r="1907" spans="1:16" hidden="1" x14ac:dyDescent="0.3">
      <c r="A1907" t="str">
        <f t="shared" si="185"/>
        <v>2025BR1</v>
      </c>
      <c r="B1907">
        <f t="shared" si="186"/>
        <v>1055</v>
      </c>
      <c r="C1907">
        <f t="shared" si="187"/>
        <v>227</v>
      </c>
      <c r="D1907" t="s">
        <v>25</v>
      </c>
      <c r="E1907" t="str">
        <f t="shared" ref="E1907" si="226">D1906</f>
        <v>Jordan</v>
      </c>
      <c r="F1907">
        <v>2025</v>
      </c>
      <c r="G1907">
        <v>1</v>
      </c>
      <c r="H1907">
        <v>5.2</v>
      </c>
      <c r="I1907">
        <v>120</v>
      </c>
      <c r="J1907">
        <f t="shared" ref="J1907" si="227">I1907-I1906</f>
        <v>-1</v>
      </c>
      <c r="K1907" t="str">
        <f t="shared" si="190"/>
        <v>L</v>
      </c>
      <c r="L1907" t="str">
        <f t="shared" si="170"/>
        <v>BR</v>
      </c>
      <c r="M1907" t="str">
        <f>VLOOKUP(L1907,References!$A$2:$B$16,2,FALSE)</f>
        <v>AKCOVA</v>
      </c>
      <c r="N1907" s="19" t="str">
        <f t="shared" ref="N1907" si="228">IF(M1907=M1906,"N","Y")</f>
        <v>N</v>
      </c>
      <c r="O1907">
        <f t="shared" ref="O1907" si="229">SUM(I1906:I1907)</f>
        <v>241</v>
      </c>
      <c r="P1907">
        <f t="shared" si="193"/>
        <v>121</v>
      </c>
    </row>
    <row r="1908" spans="1:16" hidden="1" x14ac:dyDescent="0.3">
      <c r="A1908" t="str">
        <f t="shared" si="185"/>
        <v>2025Mark1</v>
      </c>
      <c r="B1908">
        <f t="shared" si="186"/>
        <v>124</v>
      </c>
      <c r="C1908">
        <f t="shared" si="187"/>
        <v>275</v>
      </c>
      <c r="D1908" t="s">
        <v>22</v>
      </c>
      <c r="E1908" t="str">
        <f t="shared" ref="E1908" si="230">D1909</f>
        <v>Brian</v>
      </c>
      <c r="F1908">
        <v>2025</v>
      </c>
      <c r="G1908">
        <v>1</v>
      </c>
      <c r="H1908">
        <v>6.1</v>
      </c>
      <c r="I1908">
        <v>117</v>
      </c>
      <c r="J1908">
        <f t="shared" ref="J1908" si="231">I1908-I1909</f>
        <v>47</v>
      </c>
      <c r="K1908" t="str">
        <f t="shared" si="190"/>
        <v>W</v>
      </c>
      <c r="L1908" t="str">
        <f t="shared" si="170"/>
        <v>Mark</v>
      </c>
      <c r="M1908" t="str">
        <f>VLOOKUP(L1908,References!$A$2:$B$16,2,FALSE)</f>
        <v>AKCOVA</v>
      </c>
      <c r="N1908" s="19" t="str">
        <f t="shared" ref="N1908" si="232">IF(M1908=M1909,"N","Y")</f>
        <v>Y</v>
      </c>
      <c r="O1908">
        <f t="shared" ref="O1908" si="233">SUM(I1908:I1909)</f>
        <v>187</v>
      </c>
      <c r="P1908">
        <f t="shared" si="193"/>
        <v>70</v>
      </c>
    </row>
    <row r="1909" spans="1:16" hidden="1" x14ac:dyDescent="0.3">
      <c r="A1909" t="str">
        <f t="shared" si="185"/>
        <v>2025Brian1</v>
      </c>
      <c r="B1909">
        <f t="shared" si="186"/>
        <v>1964</v>
      </c>
      <c r="C1909">
        <f t="shared" si="187"/>
        <v>1738</v>
      </c>
      <c r="D1909" t="s">
        <v>26</v>
      </c>
      <c r="E1909" t="str">
        <f t="shared" ref="E1909" si="234">D1908</f>
        <v>Mark</v>
      </c>
      <c r="F1909">
        <v>2025</v>
      </c>
      <c r="G1909">
        <v>1</v>
      </c>
      <c r="H1909">
        <v>6.2</v>
      </c>
      <c r="I1909">
        <v>70</v>
      </c>
      <c r="J1909">
        <f t="shared" ref="J1909" si="235">I1909-I1908</f>
        <v>-47</v>
      </c>
      <c r="K1909" t="str">
        <f t="shared" si="190"/>
        <v>L</v>
      </c>
      <c r="L1909" t="str">
        <f t="shared" si="170"/>
        <v>Brian</v>
      </c>
      <c r="M1909" t="str">
        <f>VLOOKUP(L1909,References!$A$2:$B$16,2,FALSE)</f>
        <v>TEXAROK</v>
      </c>
      <c r="N1909" s="19" t="str">
        <f t="shared" ref="N1909" si="236">IF(M1909=M1908,"N","Y")</f>
        <v>Y</v>
      </c>
      <c r="O1909">
        <f t="shared" ref="O1909" si="237">SUM(I1908:I1909)</f>
        <v>187</v>
      </c>
      <c r="P1909">
        <f t="shared" si="193"/>
        <v>117</v>
      </c>
    </row>
    <row r="1910" spans="1:16" hidden="1" x14ac:dyDescent="0.3">
      <c r="A1910" t="str">
        <f t="shared" si="185"/>
        <v>2025Watty1</v>
      </c>
      <c r="B1910">
        <f t="shared" si="186"/>
        <v>1258</v>
      </c>
      <c r="C1910">
        <f t="shared" si="187"/>
        <v>822</v>
      </c>
      <c r="D1910" t="s">
        <v>24</v>
      </c>
      <c r="E1910" t="str">
        <f t="shared" ref="E1910" si="238">D1911</f>
        <v>Arnold</v>
      </c>
      <c r="F1910">
        <v>2025</v>
      </c>
      <c r="G1910">
        <v>1</v>
      </c>
      <c r="H1910">
        <v>7.1</v>
      </c>
      <c r="I1910">
        <v>96</v>
      </c>
      <c r="J1910">
        <f t="shared" ref="J1910" si="239">I1910-I1911</f>
        <v>-8</v>
      </c>
      <c r="K1910" t="str">
        <f t="shared" si="190"/>
        <v>L</v>
      </c>
      <c r="L1910" t="str">
        <f t="shared" si="170"/>
        <v>Watty</v>
      </c>
      <c r="M1910" t="str">
        <f>VLOOKUP(L1910,References!$A$2:$B$16,2,FALSE)</f>
        <v>AKCOVA</v>
      </c>
      <c r="N1910" s="19" t="str">
        <f t="shared" ref="N1910" si="240">IF(M1910=M1911,"N","Y")</f>
        <v>N</v>
      </c>
      <c r="O1910">
        <f t="shared" ref="O1910" si="241">SUM(I1910:I1911)</f>
        <v>200</v>
      </c>
      <c r="P1910">
        <f t="shared" si="193"/>
        <v>104</v>
      </c>
    </row>
    <row r="1911" spans="1:16" hidden="1" x14ac:dyDescent="0.3">
      <c r="A1911" t="str">
        <f t="shared" si="185"/>
        <v>2025Arnold1</v>
      </c>
      <c r="B1911">
        <f t="shared" si="186"/>
        <v>803</v>
      </c>
      <c r="C1911">
        <f t="shared" si="187"/>
        <v>566</v>
      </c>
      <c r="D1911" t="s">
        <v>227</v>
      </c>
      <c r="E1911" t="str">
        <f t="shared" ref="E1911" si="242">D1910</f>
        <v>Watty</v>
      </c>
      <c r="F1911">
        <v>2025</v>
      </c>
      <c r="G1911">
        <v>1</v>
      </c>
      <c r="H1911">
        <v>7.2</v>
      </c>
      <c r="I1911">
        <v>104</v>
      </c>
      <c r="J1911">
        <f t="shared" ref="J1911" si="243">I1911-I1910</f>
        <v>8</v>
      </c>
      <c r="K1911" t="str">
        <f t="shared" si="190"/>
        <v>W</v>
      </c>
      <c r="L1911" t="str">
        <f t="shared" si="170"/>
        <v>Arnold</v>
      </c>
      <c r="M1911" t="str">
        <f>VLOOKUP(L1911,References!$A$2:$B$16,2,FALSE)</f>
        <v>AKCOVA</v>
      </c>
      <c r="N1911" s="19" t="str">
        <f t="shared" ref="N1911" si="244">IF(M1911=M1910,"N","Y")</f>
        <v>N</v>
      </c>
      <c r="O1911">
        <f t="shared" ref="O1911" si="245">SUM(I1910:I1911)</f>
        <v>200</v>
      </c>
      <c r="P1911">
        <f t="shared" si="193"/>
        <v>96</v>
      </c>
    </row>
    <row r="1912" spans="1:16" hidden="1" x14ac:dyDescent="0.3">
      <c r="A1912" t="str">
        <f t="shared" si="185"/>
        <v>2025Brian2</v>
      </c>
      <c r="B1912">
        <f t="shared" si="186"/>
        <v>1753</v>
      </c>
      <c r="C1912">
        <f t="shared" si="187"/>
        <v>1055</v>
      </c>
      <c r="D1912" t="s">
        <v>26</v>
      </c>
      <c r="E1912" t="str">
        <f t="shared" ref="E1912" si="246">D1913</f>
        <v>Michael</v>
      </c>
      <c r="F1912">
        <v>2025</v>
      </c>
      <c r="G1912">
        <v>2</v>
      </c>
      <c r="H1912">
        <v>1.1000000000000001</v>
      </c>
      <c r="I1912">
        <v>89</v>
      </c>
      <c r="J1912">
        <f t="shared" ref="J1912" si="247">I1912-I1913</f>
        <v>-30</v>
      </c>
      <c r="K1912" t="str">
        <f t="shared" si="190"/>
        <v>L</v>
      </c>
      <c r="L1912" t="str">
        <f t="shared" si="170"/>
        <v>Brian</v>
      </c>
      <c r="M1912" t="str">
        <f>VLOOKUP(L1912,References!$A$2:$B$16,2,FALSE)</f>
        <v>TEXAROK</v>
      </c>
      <c r="N1912" s="19" t="str">
        <f t="shared" ref="N1912" si="248">IF(M1912=M1913,"N","Y")</f>
        <v>Y</v>
      </c>
      <c r="O1912">
        <f t="shared" ref="O1912" si="249">SUM(I1912:I1913)</f>
        <v>208</v>
      </c>
      <c r="P1912">
        <f t="shared" si="193"/>
        <v>119</v>
      </c>
    </row>
    <row r="1913" spans="1:16" hidden="1" x14ac:dyDescent="0.3">
      <c r="A1913" t="str">
        <f t="shared" si="185"/>
        <v>2025Michael2</v>
      </c>
      <c r="B1913">
        <f t="shared" si="186"/>
        <v>319</v>
      </c>
      <c r="C1913">
        <f t="shared" si="187"/>
        <v>248</v>
      </c>
      <c r="D1913" t="s">
        <v>23</v>
      </c>
      <c r="E1913" t="str">
        <f t="shared" ref="E1913" si="250">D1912</f>
        <v>Brian</v>
      </c>
      <c r="F1913">
        <v>2025</v>
      </c>
      <c r="G1913">
        <v>2</v>
      </c>
      <c r="H1913">
        <v>1.2</v>
      </c>
      <c r="I1913">
        <v>119</v>
      </c>
      <c r="J1913">
        <f t="shared" ref="J1913" si="251">I1913-I1912</f>
        <v>30</v>
      </c>
      <c r="K1913" t="str">
        <f t="shared" si="190"/>
        <v>W</v>
      </c>
      <c r="L1913" t="str">
        <f t="shared" ref="L1913:L1976" si="252">D1913</f>
        <v>Michael</v>
      </c>
      <c r="M1913" t="str">
        <f>VLOOKUP(L1913,References!$A$2:$B$16,2,FALSE)</f>
        <v>AKCOVA</v>
      </c>
      <c r="N1913" s="19" t="str">
        <f t="shared" ref="N1913" si="253">IF(M1913=M1912,"N","Y")</f>
        <v>Y</v>
      </c>
      <c r="O1913">
        <f t="shared" ref="O1913" si="254">SUM(I1912:I1913)</f>
        <v>208</v>
      </c>
      <c r="P1913">
        <f t="shared" si="193"/>
        <v>89</v>
      </c>
    </row>
    <row r="1914" spans="1:16" hidden="1" x14ac:dyDescent="0.3">
      <c r="A1914" t="str">
        <f t="shared" si="185"/>
        <v>2025Arnold2</v>
      </c>
      <c r="B1914">
        <f t="shared" si="186"/>
        <v>1921</v>
      </c>
      <c r="C1914">
        <f t="shared" si="187"/>
        <v>1684</v>
      </c>
      <c r="D1914" t="s">
        <v>227</v>
      </c>
      <c r="E1914" t="str">
        <f t="shared" ref="E1914" si="255">D1915</f>
        <v>Charles</v>
      </c>
      <c r="F1914">
        <v>2025</v>
      </c>
      <c r="G1914">
        <v>2</v>
      </c>
      <c r="H1914">
        <v>2.1</v>
      </c>
      <c r="I1914">
        <v>72</v>
      </c>
      <c r="J1914">
        <f t="shared" ref="J1914" si="256">I1914-I1915</f>
        <v>-43</v>
      </c>
      <c r="K1914" t="str">
        <f t="shared" si="190"/>
        <v>L</v>
      </c>
      <c r="L1914" t="str">
        <f t="shared" si="252"/>
        <v>Arnold</v>
      </c>
      <c r="M1914" t="str">
        <f>VLOOKUP(L1914,References!$A$2:$B$16,2,FALSE)</f>
        <v>AKCOVA</v>
      </c>
      <c r="N1914" s="19" t="str">
        <f t="shared" ref="N1914" si="257">IF(M1914=M1915,"N","Y")</f>
        <v>N</v>
      </c>
      <c r="O1914">
        <f t="shared" ref="O1914" si="258">SUM(I1914:I1915)</f>
        <v>187</v>
      </c>
      <c r="P1914">
        <f t="shared" si="193"/>
        <v>115</v>
      </c>
    </row>
    <row r="1915" spans="1:16" hidden="1" x14ac:dyDescent="0.3">
      <c r="A1915" t="str">
        <f t="shared" si="185"/>
        <v>2025Charles2</v>
      </c>
      <c r="B1915">
        <f t="shared" si="186"/>
        <v>161</v>
      </c>
      <c r="C1915">
        <f t="shared" si="187"/>
        <v>305</v>
      </c>
      <c r="D1915" t="s">
        <v>48</v>
      </c>
      <c r="E1915" t="str">
        <f t="shared" ref="E1915" si="259">D1914</f>
        <v>Arnold</v>
      </c>
      <c r="F1915">
        <v>2025</v>
      </c>
      <c r="G1915">
        <v>2</v>
      </c>
      <c r="H1915">
        <v>2.2000000000000002</v>
      </c>
      <c r="I1915">
        <v>115</v>
      </c>
      <c r="J1915">
        <f t="shared" ref="J1915" si="260">I1915-I1914</f>
        <v>43</v>
      </c>
      <c r="K1915" t="str">
        <f t="shared" si="190"/>
        <v>W</v>
      </c>
      <c r="L1915" t="str">
        <f t="shared" si="252"/>
        <v>Charles</v>
      </c>
      <c r="M1915" t="str">
        <f>VLOOKUP(L1915,References!$A$2:$B$16,2,FALSE)</f>
        <v>AKCOVA</v>
      </c>
      <c r="N1915" s="19" t="str">
        <f t="shared" ref="N1915" si="261">IF(M1915=M1914,"N","Y")</f>
        <v>N</v>
      </c>
      <c r="O1915">
        <f t="shared" ref="O1915" si="262">SUM(I1914:I1915)</f>
        <v>187</v>
      </c>
      <c r="P1915">
        <f t="shared" si="193"/>
        <v>72</v>
      </c>
    </row>
    <row r="1916" spans="1:16" hidden="1" x14ac:dyDescent="0.3">
      <c r="A1916" t="str">
        <f t="shared" si="185"/>
        <v>2025Brent2</v>
      </c>
      <c r="B1916">
        <f t="shared" si="186"/>
        <v>130</v>
      </c>
      <c r="C1916">
        <f t="shared" si="187"/>
        <v>52</v>
      </c>
      <c r="D1916" t="s">
        <v>47</v>
      </c>
      <c r="E1916" t="str">
        <f t="shared" ref="E1916" si="263">D1917</f>
        <v>Grayson</v>
      </c>
      <c r="F1916">
        <v>2025</v>
      </c>
      <c r="G1916">
        <v>2</v>
      </c>
      <c r="H1916">
        <v>3.1</v>
      </c>
      <c r="I1916">
        <v>141</v>
      </c>
      <c r="J1916">
        <f t="shared" ref="J1916" si="264">I1916-I1917</f>
        <v>46</v>
      </c>
      <c r="K1916" t="str">
        <f t="shared" si="190"/>
        <v>W</v>
      </c>
      <c r="L1916" t="str">
        <f t="shared" si="252"/>
        <v>Brent</v>
      </c>
      <c r="M1916" t="str">
        <f>VLOOKUP(L1916,References!$A$2:$B$16,2,FALSE)</f>
        <v>TEXAROK</v>
      </c>
      <c r="N1916" s="19" t="str">
        <f t="shared" ref="N1916" si="265">IF(M1916=M1917,"N","Y")</f>
        <v>N</v>
      </c>
      <c r="O1916">
        <f t="shared" ref="O1916" si="266">SUM(I1916:I1917)</f>
        <v>236</v>
      </c>
      <c r="P1916">
        <f t="shared" si="193"/>
        <v>95</v>
      </c>
    </row>
    <row r="1917" spans="1:16" hidden="1" x14ac:dyDescent="0.3">
      <c r="A1917" t="str">
        <f t="shared" si="185"/>
        <v>2025Grayson2</v>
      </c>
      <c r="B1917">
        <f t="shared" si="186"/>
        <v>1952</v>
      </c>
      <c r="C1917">
        <f t="shared" si="187"/>
        <v>857</v>
      </c>
      <c r="D1917" t="s">
        <v>473</v>
      </c>
      <c r="E1917" t="str">
        <f t="shared" ref="E1917" si="267">D1916</f>
        <v>Brent</v>
      </c>
      <c r="F1917">
        <v>2025</v>
      </c>
      <c r="G1917">
        <v>2</v>
      </c>
      <c r="H1917">
        <v>3.2</v>
      </c>
      <c r="I1917">
        <v>95</v>
      </c>
      <c r="J1917">
        <f t="shared" ref="J1917" si="268">I1917-I1916</f>
        <v>-46</v>
      </c>
      <c r="K1917" t="str">
        <f t="shared" si="190"/>
        <v>L</v>
      </c>
      <c r="L1917" t="str">
        <f t="shared" si="252"/>
        <v>Grayson</v>
      </c>
      <c r="M1917" t="str">
        <f>VLOOKUP(L1917,References!$A$2:$B$16,2,FALSE)</f>
        <v>TEXAROK</v>
      </c>
      <c r="N1917" s="19" t="str">
        <f t="shared" ref="N1917" si="269">IF(M1917=M1916,"N","Y")</f>
        <v>N</v>
      </c>
      <c r="O1917">
        <f t="shared" ref="O1917" si="270">SUM(I1916:I1917)</f>
        <v>236</v>
      </c>
      <c r="P1917">
        <f t="shared" si="193"/>
        <v>141</v>
      </c>
    </row>
    <row r="1918" spans="1:16" hidden="1" x14ac:dyDescent="0.3">
      <c r="A1918" t="str">
        <f t="shared" si="185"/>
        <v>2025David2</v>
      </c>
      <c r="B1918">
        <f t="shared" si="186"/>
        <v>150</v>
      </c>
      <c r="C1918">
        <f t="shared" si="187"/>
        <v>14</v>
      </c>
      <c r="D1918" t="s">
        <v>29</v>
      </c>
      <c r="E1918" t="str">
        <f t="shared" ref="E1918" si="271">D1919</f>
        <v>Emily</v>
      </c>
      <c r="F1918">
        <v>2025</v>
      </c>
      <c r="G1918">
        <v>2</v>
      </c>
      <c r="H1918">
        <v>4.0999999999999996</v>
      </c>
      <c r="I1918">
        <v>156</v>
      </c>
      <c r="J1918">
        <f t="shared" ref="J1918" si="272">I1918-I1919</f>
        <v>44</v>
      </c>
      <c r="K1918" t="str">
        <f t="shared" si="190"/>
        <v>W</v>
      </c>
      <c r="L1918" t="str">
        <f t="shared" si="252"/>
        <v>David</v>
      </c>
      <c r="M1918" t="str">
        <f>VLOOKUP(L1918,References!$A$2:$B$16,2,FALSE)</f>
        <v>TEXAROK</v>
      </c>
      <c r="N1918" s="19" t="str">
        <f t="shared" ref="N1918" si="273">IF(M1918=M1919,"N","Y")</f>
        <v>N</v>
      </c>
      <c r="O1918">
        <f t="shared" ref="O1918" si="274">SUM(I1918:I1919)</f>
        <v>268</v>
      </c>
      <c r="P1918">
        <f t="shared" si="193"/>
        <v>112</v>
      </c>
    </row>
    <row r="1919" spans="1:16" hidden="1" x14ac:dyDescent="0.3">
      <c r="A1919" t="str">
        <f t="shared" si="185"/>
        <v>2025Emily2</v>
      </c>
      <c r="B1919">
        <f t="shared" si="186"/>
        <v>1933</v>
      </c>
      <c r="C1919">
        <f t="shared" si="187"/>
        <v>364</v>
      </c>
      <c r="D1919" t="s">
        <v>43</v>
      </c>
      <c r="E1919" t="str">
        <f t="shared" ref="E1919" si="275">D1918</f>
        <v>David</v>
      </c>
      <c r="F1919">
        <v>2025</v>
      </c>
      <c r="G1919">
        <v>2</v>
      </c>
      <c r="H1919">
        <v>4.2</v>
      </c>
      <c r="I1919">
        <v>112</v>
      </c>
      <c r="J1919">
        <f t="shared" ref="J1919" si="276">I1919-I1918</f>
        <v>-44</v>
      </c>
      <c r="K1919" t="str">
        <f t="shared" si="190"/>
        <v>L</v>
      </c>
      <c r="L1919" t="str">
        <f t="shared" si="252"/>
        <v>Emily</v>
      </c>
      <c r="M1919" t="str">
        <f>VLOOKUP(L1919,References!$A$2:$B$16,2,FALSE)</f>
        <v>TEXAROK</v>
      </c>
      <c r="N1919" s="19" t="str">
        <f t="shared" ref="N1919" si="277">IF(M1919=M1918,"N","Y")</f>
        <v>N</v>
      </c>
      <c r="O1919">
        <f t="shared" ref="O1919" si="278">SUM(I1918:I1919)</f>
        <v>268</v>
      </c>
      <c r="P1919">
        <f t="shared" si="193"/>
        <v>156</v>
      </c>
    </row>
    <row r="1920" spans="1:16" hidden="1" x14ac:dyDescent="0.3">
      <c r="A1920" t="str">
        <f t="shared" si="185"/>
        <v>2025Matt2</v>
      </c>
      <c r="B1920">
        <f t="shared" si="186"/>
        <v>1229</v>
      </c>
      <c r="C1920">
        <f t="shared" si="187"/>
        <v>248</v>
      </c>
      <c r="D1920" t="s">
        <v>30</v>
      </c>
      <c r="E1920" t="str">
        <f t="shared" ref="E1920" si="279">D1921</f>
        <v>Jordan</v>
      </c>
      <c r="F1920">
        <v>2025</v>
      </c>
      <c r="G1920">
        <v>2</v>
      </c>
      <c r="H1920">
        <v>5.0999999999999996</v>
      </c>
      <c r="I1920">
        <v>119</v>
      </c>
      <c r="J1920">
        <f t="shared" ref="J1920" si="280">I1920-I1921</f>
        <v>-7</v>
      </c>
      <c r="K1920" t="str">
        <f t="shared" si="190"/>
        <v>L</v>
      </c>
      <c r="L1920" t="str">
        <f t="shared" si="252"/>
        <v>Matt</v>
      </c>
      <c r="M1920" t="str">
        <f>VLOOKUP(L1920,References!$A$2:$B$16,2,FALSE)</f>
        <v>TEXAROK</v>
      </c>
      <c r="N1920" s="19" t="str">
        <f t="shared" ref="N1920" si="281">IF(M1920=M1921,"N","Y")</f>
        <v>Y</v>
      </c>
      <c r="O1920">
        <f t="shared" ref="O1920" si="282">SUM(I1920:I1921)</f>
        <v>245</v>
      </c>
      <c r="P1920">
        <f t="shared" si="193"/>
        <v>126</v>
      </c>
    </row>
    <row r="1921" spans="1:16" hidden="1" x14ac:dyDescent="0.3">
      <c r="A1921" t="str">
        <f t="shared" si="185"/>
        <v>2025Jordan2</v>
      </c>
      <c r="B1921">
        <f t="shared" si="186"/>
        <v>836</v>
      </c>
      <c r="C1921">
        <f t="shared" si="187"/>
        <v>150</v>
      </c>
      <c r="D1921" t="s">
        <v>472</v>
      </c>
      <c r="E1921" t="str">
        <f t="shared" ref="E1921" si="283">D1920</f>
        <v>Matt</v>
      </c>
      <c r="F1921">
        <v>2025</v>
      </c>
      <c r="G1921">
        <v>2</v>
      </c>
      <c r="H1921">
        <v>5.2</v>
      </c>
      <c r="I1921">
        <v>126</v>
      </c>
      <c r="J1921">
        <f t="shared" ref="J1921" si="284">I1921-I1920</f>
        <v>7</v>
      </c>
      <c r="K1921" t="str">
        <f t="shared" si="190"/>
        <v>W</v>
      </c>
      <c r="L1921" t="str">
        <f t="shared" si="252"/>
        <v>Jordan</v>
      </c>
      <c r="M1921" t="str">
        <f>VLOOKUP(L1921,References!$A$2:$B$16,2,FALSE)</f>
        <v>AKCOVA</v>
      </c>
      <c r="N1921" s="19" t="str">
        <f t="shared" ref="N1921" si="285">IF(M1921=M1920,"N","Y")</f>
        <v>Y</v>
      </c>
      <c r="O1921">
        <f t="shared" ref="O1921" si="286">SUM(I1920:I1921)</f>
        <v>245</v>
      </c>
      <c r="P1921">
        <f t="shared" si="193"/>
        <v>119</v>
      </c>
    </row>
    <row r="1922" spans="1:16" hidden="1" x14ac:dyDescent="0.3">
      <c r="A1922" t="str">
        <f t="shared" si="185"/>
        <v>2025BR2</v>
      </c>
      <c r="B1922">
        <f t="shared" si="186"/>
        <v>89</v>
      </c>
      <c r="C1922">
        <f t="shared" si="187"/>
        <v>292</v>
      </c>
      <c r="D1922" t="s">
        <v>25</v>
      </c>
      <c r="E1922" t="str">
        <f t="shared" ref="E1922" si="287">D1923</f>
        <v>Mark</v>
      </c>
      <c r="F1922">
        <v>2025</v>
      </c>
      <c r="G1922">
        <v>2</v>
      </c>
      <c r="H1922">
        <v>6.1</v>
      </c>
      <c r="I1922">
        <v>116</v>
      </c>
      <c r="J1922">
        <f t="shared" ref="J1922" si="288">I1922-I1923</f>
        <v>53</v>
      </c>
      <c r="K1922" t="str">
        <f t="shared" si="190"/>
        <v>W</v>
      </c>
      <c r="L1922" t="str">
        <f t="shared" si="252"/>
        <v>BR</v>
      </c>
      <c r="M1922" t="str">
        <f>VLOOKUP(L1922,References!$A$2:$B$16,2,FALSE)</f>
        <v>AKCOVA</v>
      </c>
      <c r="N1922" s="19" t="str">
        <f t="shared" ref="N1922" si="289">IF(M1922=M1923,"N","Y")</f>
        <v>N</v>
      </c>
      <c r="O1922">
        <f t="shared" ref="O1922" si="290">SUM(I1922:I1923)</f>
        <v>179</v>
      </c>
      <c r="P1922">
        <f t="shared" si="193"/>
        <v>63</v>
      </c>
    </row>
    <row r="1923" spans="1:16" hidden="1" x14ac:dyDescent="0.3">
      <c r="A1923" t="str">
        <f t="shared" si="185"/>
        <v>2025Mark2</v>
      </c>
      <c r="B1923">
        <f t="shared" si="186"/>
        <v>1997</v>
      </c>
      <c r="C1923">
        <f t="shared" si="187"/>
        <v>1885</v>
      </c>
      <c r="D1923" t="s">
        <v>22</v>
      </c>
      <c r="E1923" t="str">
        <f t="shared" ref="E1923" si="291">D1922</f>
        <v>BR</v>
      </c>
      <c r="F1923">
        <v>2025</v>
      </c>
      <c r="G1923">
        <v>2</v>
      </c>
      <c r="H1923">
        <v>6.2</v>
      </c>
      <c r="I1923">
        <v>63</v>
      </c>
      <c r="J1923">
        <f t="shared" ref="J1923" si="292">I1923-I1922</f>
        <v>-53</v>
      </c>
      <c r="K1923" t="str">
        <f t="shared" si="190"/>
        <v>L</v>
      </c>
      <c r="L1923" t="str">
        <f t="shared" si="252"/>
        <v>Mark</v>
      </c>
      <c r="M1923" t="str">
        <f>VLOOKUP(L1923,References!$A$2:$B$16,2,FALSE)</f>
        <v>AKCOVA</v>
      </c>
      <c r="N1923" s="19" t="str">
        <f t="shared" ref="N1923" si="293">IF(M1923=M1922,"N","Y")</f>
        <v>N</v>
      </c>
      <c r="O1923">
        <f t="shared" ref="O1923" si="294">SUM(I1922:I1923)</f>
        <v>179</v>
      </c>
      <c r="P1923">
        <f t="shared" si="193"/>
        <v>116</v>
      </c>
    </row>
    <row r="1924" spans="1:16" hidden="1" x14ac:dyDescent="0.3">
      <c r="A1924" t="str">
        <f t="shared" si="185"/>
        <v>2025Russell2</v>
      </c>
      <c r="B1924">
        <f t="shared" si="186"/>
        <v>548</v>
      </c>
      <c r="C1924">
        <f t="shared" si="187"/>
        <v>777</v>
      </c>
      <c r="D1924" t="s">
        <v>28</v>
      </c>
      <c r="E1924" t="str">
        <f t="shared" ref="E1924" si="295">D1925</f>
        <v>Watty</v>
      </c>
      <c r="F1924">
        <v>2025</v>
      </c>
      <c r="G1924">
        <v>2</v>
      </c>
      <c r="H1924">
        <v>7.1</v>
      </c>
      <c r="I1924">
        <v>97</v>
      </c>
      <c r="J1924">
        <f t="shared" ref="J1924" si="296">I1924-I1925</f>
        <v>19</v>
      </c>
      <c r="K1924" t="str">
        <f t="shared" si="190"/>
        <v>W</v>
      </c>
      <c r="L1924" t="str">
        <f t="shared" si="252"/>
        <v>Russell</v>
      </c>
      <c r="M1924" t="str">
        <f>VLOOKUP(L1924,References!$A$2:$B$16,2,FALSE)</f>
        <v>TEXAROK</v>
      </c>
      <c r="N1924" s="19" t="str">
        <f t="shared" ref="N1924" si="297">IF(M1924=M1925,"N","Y")</f>
        <v>Y</v>
      </c>
      <c r="O1924">
        <f t="shared" ref="O1924" si="298">SUM(I1924:I1925)</f>
        <v>175</v>
      </c>
      <c r="P1924">
        <f t="shared" si="193"/>
        <v>78</v>
      </c>
    </row>
    <row r="1925" spans="1:16" hidden="1" x14ac:dyDescent="0.3">
      <c r="A1925" t="str">
        <f t="shared" si="185"/>
        <v>2025Watty2</v>
      </c>
      <c r="B1925">
        <f t="shared" si="186"/>
        <v>1523</v>
      </c>
      <c r="C1925">
        <f t="shared" si="187"/>
        <v>1468</v>
      </c>
      <c r="D1925" t="s">
        <v>24</v>
      </c>
      <c r="E1925" t="str">
        <f t="shared" ref="E1925" si="299">D1924</f>
        <v>Russell</v>
      </c>
      <c r="F1925">
        <v>2025</v>
      </c>
      <c r="G1925">
        <v>2</v>
      </c>
      <c r="H1925">
        <v>7.2</v>
      </c>
      <c r="I1925">
        <v>78</v>
      </c>
      <c r="J1925">
        <f t="shared" ref="J1925" si="300">I1925-I1924</f>
        <v>-19</v>
      </c>
      <c r="K1925" t="str">
        <f t="shared" si="190"/>
        <v>L</v>
      </c>
      <c r="L1925" t="str">
        <f t="shared" si="252"/>
        <v>Watty</v>
      </c>
      <c r="M1925" t="str">
        <f>VLOOKUP(L1925,References!$A$2:$B$16,2,FALSE)</f>
        <v>AKCOVA</v>
      </c>
      <c r="N1925" s="19" t="str">
        <f t="shared" ref="N1925" si="301">IF(M1925=M1924,"N","Y")</f>
        <v>Y</v>
      </c>
      <c r="O1925">
        <f t="shared" ref="O1925" si="302">SUM(I1924:I1925)</f>
        <v>175</v>
      </c>
      <c r="P1925">
        <f t="shared" si="193"/>
        <v>97</v>
      </c>
    </row>
    <row r="1926" spans="1:16" hidden="1" x14ac:dyDescent="0.3">
      <c r="A1926" t="str">
        <f t="shared" si="185"/>
        <v>2025Michael3</v>
      </c>
      <c r="B1926">
        <f t="shared" si="186"/>
        <v>2035</v>
      </c>
      <c r="C1926">
        <f t="shared" si="187"/>
        <v>992</v>
      </c>
      <c r="D1926" t="s">
        <v>23</v>
      </c>
      <c r="E1926" t="str">
        <f t="shared" ref="E1926" si="303">D1927</f>
        <v>David</v>
      </c>
      <c r="F1926">
        <v>2025</v>
      </c>
      <c r="G1926">
        <v>3</v>
      </c>
      <c r="H1926">
        <v>1.1000000000000001</v>
      </c>
      <c r="I1926">
        <v>91</v>
      </c>
      <c r="J1926">
        <f t="shared" ref="J1926" si="304">I1926-I1927</f>
        <v>-60</v>
      </c>
      <c r="K1926" t="str">
        <f t="shared" si="190"/>
        <v>L</v>
      </c>
      <c r="L1926" t="str">
        <f t="shared" si="252"/>
        <v>Michael</v>
      </c>
      <c r="M1926" t="str">
        <f>VLOOKUP(L1926,References!$A$2:$B$16,2,FALSE)</f>
        <v>AKCOVA</v>
      </c>
      <c r="N1926" s="19" t="str">
        <f t="shared" ref="N1926" si="305">IF(M1926=M1927,"N","Y")</f>
        <v>Y</v>
      </c>
      <c r="O1926">
        <f t="shared" ref="O1926" si="306">SUM(I1926:I1927)</f>
        <v>242</v>
      </c>
      <c r="P1926">
        <f t="shared" si="193"/>
        <v>151</v>
      </c>
    </row>
    <row r="1927" spans="1:16" hidden="1" x14ac:dyDescent="0.3">
      <c r="A1927" t="str">
        <f t="shared" si="185"/>
        <v>2025David3</v>
      </c>
      <c r="B1927">
        <f t="shared" si="186"/>
        <v>52</v>
      </c>
      <c r="C1927">
        <f t="shared" si="187"/>
        <v>23</v>
      </c>
      <c r="D1927" t="s">
        <v>29</v>
      </c>
      <c r="E1927" t="str">
        <f t="shared" ref="E1927" si="307">D1926</f>
        <v>Michael</v>
      </c>
      <c r="F1927">
        <v>2025</v>
      </c>
      <c r="G1927">
        <v>3</v>
      </c>
      <c r="H1927">
        <v>1.2</v>
      </c>
      <c r="I1927">
        <v>151</v>
      </c>
      <c r="J1927">
        <f t="shared" ref="J1927" si="308">I1927-I1926</f>
        <v>60</v>
      </c>
      <c r="K1927" t="str">
        <f t="shared" si="190"/>
        <v>W</v>
      </c>
      <c r="L1927" t="str">
        <f t="shared" si="252"/>
        <v>David</v>
      </c>
      <c r="M1927" t="str">
        <f>VLOOKUP(L1927,References!$A$2:$B$16,2,FALSE)</f>
        <v>TEXAROK</v>
      </c>
      <c r="N1927" s="19" t="str">
        <f t="shared" ref="N1927" si="309">IF(M1927=M1926,"N","Y")</f>
        <v>Y</v>
      </c>
      <c r="O1927">
        <f t="shared" ref="O1927" si="310">SUM(I1926:I1927)</f>
        <v>242</v>
      </c>
      <c r="P1927">
        <f t="shared" si="193"/>
        <v>91</v>
      </c>
    </row>
    <row r="1928" spans="1:16" hidden="1" x14ac:dyDescent="0.3">
      <c r="A1928" t="str">
        <f t="shared" si="185"/>
        <v>2025Watty3</v>
      </c>
      <c r="B1928">
        <f t="shared" si="186"/>
        <v>917</v>
      </c>
      <c r="C1928">
        <f t="shared" si="187"/>
        <v>383</v>
      </c>
      <c r="D1928" t="s">
        <v>24</v>
      </c>
      <c r="E1928" t="str">
        <f t="shared" ref="E1928" si="311">D1929</f>
        <v>Brent</v>
      </c>
      <c r="F1928">
        <v>2025</v>
      </c>
      <c r="G1928">
        <v>3</v>
      </c>
      <c r="H1928">
        <v>2.1</v>
      </c>
      <c r="I1928">
        <v>111</v>
      </c>
      <c r="J1928">
        <f t="shared" ref="J1928" si="312">I1928-I1929</f>
        <v>4</v>
      </c>
      <c r="K1928" t="str">
        <f t="shared" si="190"/>
        <v>W</v>
      </c>
      <c r="L1928" t="str">
        <f t="shared" si="252"/>
        <v>Watty</v>
      </c>
      <c r="M1928" t="str">
        <f>VLOOKUP(L1928,References!$A$2:$B$16,2,FALSE)</f>
        <v>AKCOVA</v>
      </c>
      <c r="N1928" s="19" t="str">
        <f t="shared" ref="N1928" si="313">IF(M1928=M1929,"N","Y")</f>
        <v>Y</v>
      </c>
      <c r="O1928">
        <f t="shared" ref="O1928" si="314">SUM(I1928:I1929)</f>
        <v>218</v>
      </c>
      <c r="P1928">
        <f t="shared" si="193"/>
        <v>107</v>
      </c>
    </row>
    <row r="1929" spans="1:16" hidden="1" x14ac:dyDescent="0.3">
      <c r="A1929" t="str">
        <f t="shared" si="185"/>
        <v>2025Brent3</v>
      </c>
      <c r="B1929">
        <f t="shared" si="186"/>
        <v>1145</v>
      </c>
      <c r="C1929">
        <f t="shared" si="187"/>
        <v>486</v>
      </c>
      <c r="D1929" t="s">
        <v>47</v>
      </c>
      <c r="E1929" t="str">
        <f t="shared" ref="E1929" si="315">D1928</f>
        <v>Watty</v>
      </c>
      <c r="F1929">
        <v>2025</v>
      </c>
      <c r="G1929">
        <v>3</v>
      </c>
      <c r="H1929">
        <v>2.2000000000000002</v>
      </c>
      <c r="I1929">
        <v>107</v>
      </c>
      <c r="J1929">
        <f t="shared" ref="J1929" si="316">I1929-I1928</f>
        <v>-4</v>
      </c>
      <c r="K1929" t="str">
        <f t="shared" si="190"/>
        <v>L</v>
      </c>
      <c r="L1929" t="str">
        <f t="shared" si="252"/>
        <v>Brent</v>
      </c>
      <c r="M1929" t="str">
        <f>VLOOKUP(L1929,References!$A$2:$B$16,2,FALSE)</f>
        <v>TEXAROK</v>
      </c>
      <c r="N1929" s="19" t="str">
        <f t="shared" ref="N1929" si="317">IF(M1929=M1928,"N","Y")</f>
        <v>Y</v>
      </c>
      <c r="O1929">
        <f t="shared" ref="O1929" si="318">SUM(I1928:I1929)</f>
        <v>218</v>
      </c>
      <c r="P1929">
        <f t="shared" si="193"/>
        <v>111</v>
      </c>
    </row>
    <row r="1930" spans="1:16" hidden="1" x14ac:dyDescent="0.3">
      <c r="A1930" t="str">
        <f t="shared" si="185"/>
        <v>2025Grayson3</v>
      </c>
      <c r="B1930">
        <f t="shared" si="186"/>
        <v>1952</v>
      </c>
      <c r="C1930">
        <f t="shared" si="187"/>
        <v>1867</v>
      </c>
      <c r="D1930" t="s">
        <v>473</v>
      </c>
      <c r="E1930" t="str">
        <f t="shared" ref="E1930" si="319">D1931</f>
        <v>Jordan</v>
      </c>
      <c r="F1930">
        <v>2025</v>
      </c>
      <c r="G1930">
        <v>3</v>
      </c>
      <c r="H1930">
        <v>3.1</v>
      </c>
      <c r="I1930">
        <v>64</v>
      </c>
      <c r="J1930">
        <f t="shared" ref="J1930" si="320">I1930-I1931</f>
        <v>-46</v>
      </c>
      <c r="K1930" t="str">
        <f t="shared" si="190"/>
        <v>L</v>
      </c>
      <c r="L1930" t="str">
        <f t="shared" si="252"/>
        <v>Grayson</v>
      </c>
      <c r="M1930" t="str">
        <f>VLOOKUP(L1930,References!$A$2:$B$16,2,FALSE)</f>
        <v>TEXAROK</v>
      </c>
      <c r="N1930" s="19" t="str">
        <f t="shared" ref="N1930" si="321">IF(M1930=M1931,"N","Y")</f>
        <v>Y</v>
      </c>
      <c r="O1930">
        <f t="shared" ref="O1930" si="322">SUM(I1930:I1931)</f>
        <v>174</v>
      </c>
      <c r="P1930">
        <f t="shared" si="193"/>
        <v>110</v>
      </c>
    </row>
    <row r="1931" spans="1:16" hidden="1" x14ac:dyDescent="0.3">
      <c r="A1931" t="str">
        <f t="shared" si="185"/>
        <v>2025Jordan3</v>
      </c>
      <c r="B1931">
        <f t="shared" si="186"/>
        <v>130</v>
      </c>
      <c r="C1931">
        <f t="shared" si="187"/>
        <v>412</v>
      </c>
      <c r="D1931" t="s">
        <v>472</v>
      </c>
      <c r="E1931" t="str">
        <f t="shared" ref="E1931" si="323">D1930</f>
        <v>Grayson</v>
      </c>
      <c r="F1931">
        <v>2025</v>
      </c>
      <c r="G1931">
        <v>3</v>
      </c>
      <c r="H1931">
        <v>3.2</v>
      </c>
      <c r="I1931">
        <v>110</v>
      </c>
      <c r="J1931">
        <f t="shared" ref="J1931" si="324">I1931-I1930</f>
        <v>46</v>
      </c>
      <c r="K1931" t="str">
        <f t="shared" si="190"/>
        <v>W</v>
      </c>
      <c r="L1931" t="str">
        <f t="shared" si="252"/>
        <v>Jordan</v>
      </c>
      <c r="M1931" t="str">
        <f>VLOOKUP(L1931,References!$A$2:$B$16,2,FALSE)</f>
        <v>AKCOVA</v>
      </c>
      <c r="N1931" s="19" t="str">
        <f t="shared" ref="N1931" si="325">IF(M1931=M1930,"N","Y")</f>
        <v>Y</v>
      </c>
      <c r="O1931">
        <f t="shared" ref="O1931" si="326">SUM(I1930:I1931)</f>
        <v>174</v>
      </c>
      <c r="P1931">
        <f t="shared" si="193"/>
        <v>64</v>
      </c>
    </row>
    <row r="1932" spans="1:16" hidden="1" x14ac:dyDescent="0.3">
      <c r="A1932" t="str">
        <f t="shared" si="185"/>
        <v>2025Emily3</v>
      </c>
      <c r="B1932">
        <f t="shared" si="186"/>
        <v>548</v>
      </c>
      <c r="C1932">
        <f t="shared" si="187"/>
        <v>603</v>
      </c>
      <c r="D1932" t="s">
        <v>43</v>
      </c>
      <c r="E1932" t="str">
        <f t="shared" ref="E1932" si="327">D1933</f>
        <v>Arnold</v>
      </c>
      <c r="F1932">
        <v>2025</v>
      </c>
      <c r="G1932">
        <v>3</v>
      </c>
      <c r="H1932">
        <v>4.0999999999999996</v>
      </c>
      <c r="I1932">
        <v>103</v>
      </c>
      <c r="J1932">
        <f t="shared" ref="J1932" si="328">I1932-I1933</f>
        <v>19</v>
      </c>
      <c r="K1932" t="str">
        <f t="shared" si="190"/>
        <v>W</v>
      </c>
      <c r="L1932" t="str">
        <f t="shared" si="252"/>
        <v>Emily</v>
      </c>
      <c r="M1932" t="str">
        <f>VLOOKUP(L1932,References!$A$2:$B$16,2,FALSE)</f>
        <v>TEXAROK</v>
      </c>
      <c r="N1932" s="19" t="str">
        <f t="shared" ref="N1932" si="329">IF(M1932=M1933,"N","Y")</f>
        <v>Y</v>
      </c>
      <c r="O1932">
        <f t="shared" ref="O1932" si="330">SUM(I1932:I1933)</f>
        <v>187</v>
      </c>
      <c r="P1932">
        <f t="shared" si="193"/>
        <v>84</v>
      </c>
    </row>
    <row r="1933" spans="1:16" hidden="1" x14ac:dyDescent="0.3">
      <c r="A1933" t="str">
        <f t="shared" si="185"/>
        <v>2025Arnold3</v>
      </c>
      <c r="B1933">
        <f t="shared" si="186"/>
        <v>1523</v>
      </c>
      <c r="C1933">
        <f t="shared" si="187"/>
        <v>1241</v>
      </c>
      <c r="D1933" t="s">
        <v>227</v>
      </c>
      <c r="E1933" t="str">
        <f t="shared" ref="E1933" si="331">D1932</f>
        <v>Emily</v>
      </c>
      <c r="F1933">
        <v>2025</v>
      </c>
      <c r="G1933">
        <v>3</v>
      </c>
      <c r="H1933">
        <v>4.2</v>
      </c>
      <c r="I1933">
        <v>84</v>
      </c>
      <c r="J1933">
        <f t="shared" ref="J1933" si="332">I1933-I1932</f>
        <v>-19</v>
      </c>
      <c r="K1933" t="str">
        <f t="shared" si="190"/>
        <v>L</v>
      </c>
      <c r="L1933" t="str">
        <f t="shared" si="252"/>
        <v>Arnold</v>
      </c>
      <c r="M1933" t="str">
        <f>VLOOKUP(L1933,References!$A$2:$B$16,2,FALSE)</f>
        <v>AKCOVA</v>
      </c>
      <c r="N1933" s="19" t="str">
        <f t="shared" ref="N1933" si="333">IF(M1933=M1932,"N","Y")</f>
        <v>Y</v>
      </c>
      <c r="O1933">
        <f t="shared" ref="O1933" si="334">SUM(I1932:I1933)</f>
        <v>187</v>
      </c>
      <c r="P1933">
        <f t="shared" si="193"/>
        <v>103</v>
      </c>
    </row>
    <row r="1934" spans="1:16" hidden="1" x14ac:dyDescent="0.3">
      <c r="A1934" t="str">
        <f t="shared" si="185"/>
        <v>2025Charles3</v>
      </c>
      <c r="B1934">
        <f t="shared" si="186"/>
        <v>1039</v>
      </c>
      <c r="C1934">
        <f t="shared" si="187"/>
        <v>266</v>
      </c>
      <c r="D1934" t="s">
        <v>48</v>
      </c>
      <c r="E1934" t="str">
        <f t="shared" ref="E1934" si="335">D1935</f>
        <v>Russell</v>
      </c>
      <c r="F1934">
        <v>2025</v>
      </c>
      <c r="G1934">
        <v>3</v>
      </c>
      <c r="H1934">
        <v>5.0999999999999996</v>
      </c>
      <c r="I1934">
        <v>118.1</v>
      </c>
      <c r="J1934">
        <f t="shared" ref="J1934" si="336">I1934-I1935</f>
        <v>9.9999999999994316E-2</v>
      </c>
      <c r="K1934" t="str">
        <f t="shared" si="190"/>
        <v>W</v>
      </c>
      <c r="L1934" t="str">
        <f t="shared" si="252"/>
        <v>Charles</v>
      </c>
      <c r="M1934" t="str">
        <f>VLOOKUP(L1934,References!$A$2:$B$16,2,FALSE)</f>
        <v>AKCOVA</v>
      </c>
      <c r="N1934" s="19" t="str">
        <f t="shared" ref="N1934" si="337">IF(M1934=M1935,"N","Y")</f>
        <v>Y</v>
      </c>
      <c r="O1934">
        <f t="shared" ref="O1934" si="338">SUM(I1934:I1935)</f>
        <v>236.1</v>
      </c>
      <c r="P1934">
        <f t="shared" si="193"/>
        <v>118</v>
      </c>
    </row>
    <row r="1935" spans="1:16" hidden="1" x14ac:dyDescent="0.3">
      <c r="A1935" t="str">
        <f t="shared" si="185"/>
        <v>2025Russell3</v>
      </c>
      <c r="B1935">
        <f t="shared" si="186"/>
        <v>1054</v>
      </c>
      <c r="C1935">
        <f t="shared" si="187"/>
        <v>267</v>
      </c>
      <c r="D1935" t="s">
        <v>28</v>
      </c>
      <c r="E1935" t="str">
        <f t="shared" ref="E1935" si="339">D1934</f>
        <v>Charles</v>
      </c>
      <c r="F1935">
        <v>2025</v>
      </c>
      <c r="G1935">
        <v>3</v>
      </c>
      <c r="H1935">
        <v>5.2</v>
      </c>
      <c r="I1935">
        <v>118</v>
      </c>
      <c r="J1935">
        <f t="shared" ref="J1935" si="340">I1935-I1934</f>
        <v>-9.9999999999994316E-2</v>
      </c>
      <c r="K1935" t="str">
        <f t="shared" si="190"/>
        <v>L</v>
      </c>
      <c r="L1935" t="str">
        <f t="shared" si="252"/>
        <v>Russell</v>
      </c>
      <c r="M1935" t="str">
        <f>VLOOKUP(L1935,References!$A$2:$B$16,2,FALSE)</f>
        <v>TEXAROK</v>
      </c>
      <c r="N1935" s="19" t="str">
        <f t="shared" ref="N1935" si="341">IF(M1935=M1934,"N","Y")</f>
        <v>Y</v>
      </c>
      <c r="O1935">
        <f t="shared" ref="O1935" si="342">SUM(I1934:I1935)</f>
        <v>236.1</v>
      </c>
      <c r="P1935">
        <f t="shared" si="193"/>
        <v>118.1</v>
      </c>
    </row>
    <row r="1936" spans="1:16" hidden="1" x14ac:dyDescent="0.3">
      <c r="A1936" t="str">
        <f t="shared" si="185"/>
        <v>2025Brian3</v>
      </c>
      <c r="B1936">
        <f t="shared" si="186"/>
        <v>142</v>
      </c>
      <c r="C1936">
        <f t="shared" si="187"/>
        <v>36</v>
      </c>
      <c r="D1936" t="s">
        <v>26</v>
      </c>
      <c r="E1936" t="str">
        <f t="shared" ref="E1936" si="343">D1937</f>
        <v>BR</v>
      </c>
      <c r="F1936">
        <v>2025</v>
      </c>
      <c r="G1936">
        <v>3</v>
      </c>
      <c r="H1936">
        <v>6.1</v>
      </c>
      <c r="I1936">
        <v>145</v>
      </c>
      <c r="J1936">
        <f t="shared" ref="J1936" si="344">I1936-I1937</f>
        <v>45</v>
      </c>
      <c r="K1936" t="str">
        <f t="shared" si="190"/>
        <v>W</v>
      </c>
      <c r="L1936" t="str">
        <f t="shared" si="252"/>
        <v>Brian</v>
      </c>
      <c r="M1936" t="str">
        <f>VLOOKUP(L1936,References!$A$2:$B$16,2,FALSE)</f>
        <v>TEXAROK</v>
      </c>
      <c r="N1936" s="19" t="str">
        <f t="shared" ref="N1936" si="345">IF(M1936=M1937,"N","Y")</f>
        <v>Y</v>
      </c>
      <c r="O1936">
        <f t="shared" ref="O1936" si="346">SUM(I1936:I1937)</f>
        <v>245</v>
      </c>
      <c r="P1936">
        <f t="shared" si="193"/>
        <v>100</v>
      </c>
    </row>
    <row r="1937" spans="1:16" hidden="1" x14ac:dyDescent="0.3">
      <c r="A1937" t="str">
        <f t="shared" si="185"/>
        <v>2025BR3</v>
      </c>
      <c r="B1937">
        <f t="shared" si="186"/>
        <v>1944</v>
      </c>
      <c r="C1937">
        <f t="shared" si="187"/>
        <v>678</v>
      </c>
      <c r="D1937" t="s">
        <v>25</v>
      </c>
      <c r="E1937" t="str">
        <f t="shared" ref="E1937" si="347">D1936</f>
        <v>Brian</v>
      </c>
      <c r="F1937">
        <v>2025</v>
      </c>
      <c r="G1937">
        <v>3</v>
      </c>
      <c r="H1937">
        <v>6.2</v>
      </c>
      <c r="I1937">
        <v>100</v>
      </c>
      <c r="J1937">
        <f t="shared" ref="J1937" si="348">I1937-I1936</f>
        <v>-45</v>
      </c>
      <c r="K1937" t="str">
        <f t="shared" si="190"/>
        <v>L</v>
      </c>
      <c r="L1937" t="str">
        <f t="shared" si="252"/>
        <v>BR</v>
      </c>
      <c r="M1937" t="str">
        <f>VLOOKUP(L1937,References!$A$2:$B$16,2,FALSE)</f>
        <v>AKCOVA</v>
      </c>
      <c r="N1937" s="19" t="str">
        <f t="shared" ref="N1937" si="349">IF(M1937=M1936,"N","Y")</f>
        <v>Y</v>
      </c>
      <c r="O1937">
        <f t="shared" ref="O1937" si="350">SUM(I1936:I1937)</f>
        <v>245</v>
      </c>
      <c r="P1937">
        <f t="shared" si="193"/>
        <v>145</v>
      </c>
    </row>
    <row r="1938" spans="1:16" hidden="1" x14ac:dyDescent="0.3">
      <c r="A1938" t="str">
        <f t="shared" si="185"/>
        <v>2025Mark3</v>
      </c>
      <c r="B1938">
        <f t="shared" si="186"/>
        <v>1684</v>
      </c>
      <c r="C1938">
        <f t="shared" si="187"/>
        <v>321</v>
      </c>
      <c r="D1938" t="s">
        <v>22</v>
      </c>
      <c r="E1938" t="str">
        <f t="shared" ref="E1938" si="351">D1939</f>
        <v>Matt</v>
      </c>
      <c r="F1938">
        <v>2025</v>
      </c>
      <c r="G1938">
        <v>3</v>
      </c>
      <c r="H1938">
        <v>7.1</v>
      </c>
      <c r="I1938">
        <v>114</v>
      </c>
      <c r="J1938">
        <f t="shared" ref="J1938" si="352">I1938-I1939</f>
        <v>-26</v>
      </c>
      <c r="K1938" t="str">
        <f t="shared" si="190"/>
        <v>L</v>
      </c>
      <c r="L1938" t="str">
        <f t="shared" si="252"/>
        <v>Mark</v>
      </c>
      <c r="M1938" t="str">
        <f>VLOOKUP(L1938,References!$A$2:$B$16,2,FALSE)</f>
        <v>AKCOVA</v>
      </c>
      <c r="N1938" s="19" t="str">
        <f t="shared" ref="N1938" si="353">IF(M1938=M1939,"N","Y")</f>
        <v>Y</v>
      </c>
      <c r="O1938">
        <f t="shared" ref="O1938" si="354">SUM(I1938:I1939)</f>
        <v>254</v>
      </c>
      <c r="P1938">
        <f t="shared" si="193"/>
        <v>140</v>
      </c>
    </row>
    <row r="1939" spans="1:16" hidden="1" x14ac:dyDescent="0.3">
      <c r="A1939" t="str">
        <f t="shared" si="185"/>
        <v>2025Matt3</v>
      </c>
      <c r="B1939">
        <f t="shared" si="186"/>
        <v>392</v>
      </c>
      <c r="C1939">
        <f t="shared" si="187"/>
        <v>56</v>
      </c>
      <c r="D1939" t="s">
        <v>30</v>
      </c>
      <c r="E1939" t="str">
        <f t="shared" ref="E1939" si="355">D1938</f>
        <v>Mark</v>
      </c>
      <c r="F1939">
        <v>2025</v>
      </c>
      <c r="G1939">
        <v>3</v>
      </c>
      <c r="H1939">
        <v>7.2</v>
      </c>
      <c r="I1939">
        <v>140</v>
      </c>
      <c r="J1939">
        <f t="shared" ref="J1939" si="356">I1939-I1938</f>
        <v>26</v>
      </c>
      <c r="K1939" t="str">
        <f t="shared" si="190"/>
        <v>W</v>
      </c>
      <c r="L1939" t="str">
        <f t="shared" si="252"/>
        <v>Matt</v>
      </c>
      <c r="M1939" t="str">
        <f>VLOOKUP(L1939,References!$A$2:$B$16,2,FALSE)</f>
        <v>TEXAROK</v>
      </c>
      <c r="N1939" s="19" t="str">
        <f t="shared" ref="N1939" si="357">IF(M1939=M1938,"N","Y")</f>
        <v>Y</v>
      </c>
      <c r="O1939">
        <f t="shared" ref="O1939" si="358">SUM(I1938:I1939)</f>
        <v>254</v>
      </c>
      <c r="P1939">
        <f t="shared" si="193"/>
        <v>114</v>
      </c>
    </row>
    <row r="1940" spans="1:16" hidden="1" x14ac:dyDescent="0.3">
      <c r="A1940" t="str">
        <f t="shared" si="185"/>
        <v>2025BR4</v>
      </c>
      <c r="B1940">
        <f t="shared" si="186"/>
        <v>119</v>
      </c>
      <c r="C1940">
        <f t="shared" si="187"/>
        <v>64</v>
      </c>
      <c r="D1940" t="s">
        <v>25</v>
      </c>
      <c r="E1940" t="str">
        <f t="shared" ref="E1940" si="359">D1941</f>
        <v>Michael</v>
      </c>
      <c r="F1940">
        <v>2025</v>
      </c>
      <c r="G1940">
        <v>4</v>
      </c>
      <c r="H1940">
        <v>1.1000000000000001</v>
      </c>
      <c r="I1940">
        <v>138</v>
      </c>
      <c r="J1940">
        <f t="shared" ref="J1940" si="360">I1940-I1941</f>
        <v>48</v>
      </c>
      <c r="K1940" t="str">
        <f t="shared" si="190"/>
        <v>W</v>
      </c>
      <c r="L1940" t="str">
        <f t="shared" si="252"/>
        <v>BR</v>
      </c>
      <c r="M1940" t="str">
        <f>VLOOKUP(L1940,References!$A$2:$B$16,2,FALSE)</f>
        <v>AKCOVA</v>
      </c>
      <c r="N1940" s="19" t="str">
        <f t="shared" ref="N1940" si="361">IF(M1940=M1941,"N","Y")</f>
        <v>N</v>
      </c>
      <c r="O1940">
        <f t="shared" ref="O1940" si="362">SUM(I1940:I1941)</f>
        <v>228</v>
      </c>
      <c r="P1940">
        <f t="shared" si="193"/>
        <v>90</v>
      </c>
    </row>
    <row r="1941" spans="1:16" hidden="1" x14ac:dyDescent="0.3">
      <c r="A1941" t="str">
        <f t="shared" si="185"/>
        <v>2025Michael4</v>
      </c>
      <c r="B1941">
        <f t="shared" si="186"/>
        <v>1970</v>
      </c>
      <c r="C1941">
        <f t="shared" si="187"/>
        <v>1027</v>
      </c>
      <c r="D1941" t="s">
        <v>23</v>
      </c>
      <c r="E1941" t="str">
        <f t="shared" ref="E1941" si="363">D1940</f>
        <v>BR</v>
      </c>
      <c r="F1941">
        <v>2025</v>
      </c>
      <c r="G1941">
        <v>4</v>
      </c>
      <c r="H1941">
        <v>1.2</v>
      </c>
      <c r="I1941">
        <v>90</v>
      </c>
      <c r="J1941">
        <f t="shared" ref="J1941" si="364">I1941-I1940</f>
        <v>-48</v>
      </c>
      <c r="K1941" t="str">
        <f t="shared" si="190"/>
        <v>L</v>
      </c>
      <c r="L1941" t="str">
        <f t="shared" si="252"/>
        <v>Michael</v>
      </c>
      <c r="M1941" t="str">
        <f>VLOOKUP(L1941,References!$A$2:$B$16,2,FALSE)</f>
        <v>AKCOVA</v>
      </c>
      <c r="N1941" s="19" t="str">
        <f t="shared" ref="N1941" si="365">IF(M1941=M1940,"N","Y")</f>
        <v>N</v>
      </c>
      <c r="O1941">
        <f t="shared" ref="O1941" si="366">SUM(I1940:I1941)</f>
        <v>228</v>
      </c>
      <c r="P1941">
        <f t="shared" si="193"/>
        <v>138</v>
      </c>
    </row>
    <row r="1942" spans="1:16" hidden="1" x14ac:dyDescent="0.3">
      <c r="A1942" t="str">
        <f t="shared" si="185"/>
        <v>2025Mark4</v>
      </c>
      <c r="B1942">
        <f t="shared" si="186"/>
        <v>836</v>
      </c>
      <c r="C1942">
        <f t="shared" si="187"/>
        <v>150</v>
      </c>
      <c r="D1942" t="s">
        <v>22</v>
      </c>
      <c r="E1942" t="str">
        <f t="shared" ref="E1942" si="367">D1943</f>
        <v>Grayson</v>
      </c>
      <c r="F1942">
        <v>2025</v>
      </c>
      <c r="G1942">
        <v>4</v>
      </c>
      <c r="H1942">
        <v>2.1</v>
      </c>
      <c r="I1942">
        <v>126</v>
      </c>
      <c r="J1942">
        <f t="shared" ref="J1942" si="368">I1942-I1943</f>
        <v>7</v>
      </c>
      <c r="K1942" t="str">
        <f t="shared" si="190"/>
        <v>W</v>
      </c>
      <c r="L1942" t="str">
        <f t="shared" si="252"/>
        <v>Mark</v>
      </c>
      <c r="M1942" t="str">
        <f>VLOOKUP(L1942,References!$A$2:$B$16,2,FALSE)</f>
        <v>AKCOVA</v>
      </c>
      <c r="N1942" s="19" t="str">
        <f t="shared" ref="N1942" si="369">IF(M1942=M1943,"N","Y")</f>
        <v>Y</v>
      </c>
      <c r="O1942">
        <f t="shared" ref="O1942" si="370">SUM(I1942:I1943)</f>
        <v>245</v>
      </c>
      <c r="P1942">
        <f t="shared" si="193"/>
        <v>119</v>
      </c>
    </row>
    <row r="1943" spans="1:16" hidden="1" x14ac:dyDescent="0.3">
      <c r="A1943" t="str">
        <f t="shared" si="185"/>
        <v>2025Grayson4</v>
      </c>
      <c r="B1943">
        <f t="shared" si="186"/>
        <v>1229</v>
      </c>
      <c r="C1943">
        <f t="shared" si="187"/>
        <v>248</v>
      </c>
      <c r="D1943" t="s">
        <v>473</v>
      </c>
      <c r="E1943" t="str">
        <f t="shared" ref="E1943" si="371">D1942</f>
        <v>Mark</v>
      </c>
      <c r="F1943">
        <v>2025</v>
      </c>
      <c r="G1943">
        <v>4</v>
      </c>
      <c r="H1943">
        <v>2.2000000000000002</v>
      </c>
      <c r="I1943">
        <v>119</v>
      </c>
      <c r="J1943">
        <f t="shared" ref="J1943" si="372">I1943-I1942</f>
        <v>-7</v>
      </c>
      <c r="K1943" t="str">
        <f t="shared" si="190"/>
        <v>L</v>
      </c>
      <c r="L1943" t="str">
        <f t="shared" si="252"/>
        <v>Grayson</v>
      </c>
      <c r="M1943" t="str">
        <f>VLOOKUP(L1943,References!$A$2:$B$16,2,FALSE)</f>
        <v>TEXAROK</v>
      </c>
      <c r="N1943" s="19" t="str">
        <f t="shared" ref="N1943" si="373">IF(M1943=M1942,"N","Y")</f>
        <v>Y</v>
      </c>
      <c r="O1943">
        <f t="shared" ref="O1943" si="374">SUM(I1942:I1943)</f>
        <v>245</v>
      </c>
      <c r="P1943">
        <f t="shared" si="193"/>
        <v>126</v>
      </c>
    </row>
    <row r="1944" spans="1:16" hidden="1" x14ac:dyDescent="0.3">
      <c r="A1944" t="str">
        <f t="shared" si="185"/>
        <v>2025Arnold4</v>
      </c>
      <c r="B1944">
        <f t="shared" si="186"/>
        <v>1312</v>
      </c>
      <c r="C1944">
        <f t="shared" si="187"/>
        <v>1468</v>
      </c>
      <c r="D1944" t="s">
        <v>227</v>
      </c>
      <c r="E1944" t="str">
        <f t="shared" ref="E1944" si="375">D1945</f>
        <v>David</v>
      </c>
      <c r="F1944">
        <v>2025</v>
      </c>
      <c r="G1944">
        <v>4</v>
      </c>
      <c r="H1944">
        <v>3.1</v>
      </c>
      <c r="I1944">
        <v>78</v>
      </c>
      <c r="J1944">
        <f t="shared" ref="J1944" si="376">I1944-I1945</f>
        <v>-10</v>
      </c>
      <c r="K1944" t="str">
        <f t="shared" si="190"/>
        <v>L</v>
      </c>
      <c r="L1944" t="str">
        <f t="shared" si="252"/>
        <v>Arnold</v>
      </c>
      <c r="M1944" t="str">
        <f>VLOOKUP(L1944,References!$A$2:$B$16,2,FALSE)</f>
        <v>AKCOVA</v>
      </c>
      <c r="N1944" s="19" t="str">
        <f t="shared" ref="N1944" si="377">IF(M1944=M1945,"N","Y")</f>
        <v>Y</v>
      </c>
      <c r="O1944">
        <f t="shared" ref="O1944" si="378">SUM(I1944:I1945)</f>
        <v>166</v>
      </c>
      <c r="P1944">
        <f t="shared" si="193"/>
        <v>88</v>
      </c>
    </row>
    <row r="1945" spans="1:16" hidden="1" x14ac:dyDescent="0.3">
      <c r="A1945" t="str">
        <f t="shared" si="185"/>
        <v>2025David4</v>
      </c>
      <c r="B1945">
        <f t="shared" si="186"/>
        <v>758</v>
      </c>
      <c r="C1945">
        <f t="shared" si="187"/>
        <v>1100</v>
      </c>
      <c r="D1945" t="s">
        <v>29</v>
      </c>
      <c r="E1945" t="str">
        <f t="shared" ref="E1945" si="379">D1944</f>
        <v>Arnold</v>
      </c>
      <c r="F1945">
        <v>2025</v>
      </c>
      <c r="G1945">
        <v>4</v>
      </c>
      <c r="H1945">
        <v>3.2</v>
      </c>
      <c r="I1945">
        <v>88</v>
      </c>
      <c r="J1945">
        <f t="shared" ref="J1945" si="380">I1945-I1944</f>
        <v>10</v>
      </c>
      <c r="K1945" t="str">
        <f t="shared" si="190"/>
        <v>W</v>
      </c>
      <c r="L1945" t="str">
        <f t="shared" si="252"/>
        <v>David</v>
      </c>
      <c r="M1945" t="str">
        <f>VLOOKUP(L1945,References!$A$2:$B$16,2,FALSE)</f>
        <v>TEXAROK</v>
      </c>
      <c r="N1945" s="19" t="str">
        <f t="shared" ref="N1945" si="381">IF(M1945=M1944,"N","Y")</f>
        <v>Y</v>
      </c>
      <c r="O1945">
        <f t="shared" ref="O1945" si="382">SUM(I1944:I1945)</f>
        <v>166</v>
      </c>
      <c r="P1945">
        <f t="shared" si="193"/>
        <v>78</v>
      </c>
    </row>
    <row r="1946" spans="1:16" hidden="1" x14ac:dyDescent="0.3">
      <c r="A1946" t="str">
        <f t="shared" si="185"/>
        <v>2025Brent4</v>
      </c>
      <c r="B1946">
        <f t="shared" si="186"/>
        <v>124</v>
      </c>
      <c r="C1946">
        <f t="shared" si="187"/>
        <v>2</v>
      </c>
      <c r="D1946" t="s">
        <v>47</v>
      </c>
      <c r="E1946" t="str">
        <f t="shared" ref="E1946" si="383">D1947</f>
        <v>Charles</v>
      </c>
      <c r="F1946">
        <v>2025</v>
      </c>
      <c r="G1946">
        <v>4</v>
      </c>
      <c r="H1946">
        <v>4.0999999999999996</v>
      </c>
      <c r="I1946">
        <v>172</v>
      </c>
      <c r="J1946">
        <f t="shared" ref="J1946" si="384">I1946-I1947</f>
        <v>47</v>
      </c>
      <c r="K1946" t="str">
        <f t="shared" si="190"/>
        <v>W</v>
      </c>
      <c r="L1946" t="str">
        <f t="shared" si="252"/>
        <v>Brent</v>
      </c>
      <c r="M1946" t="str">
        <f>VLOOKUP(L1946,References!$A$2:$B$16,2,FALSE)</f>
        <v>TEXAROK</v>
      </c>
      <c r="N1946" s="19" t="str">
        <f t="shared" ref="N1946" si="385">IF(M1946=M1947,"N","Y")</f>
        <v>Y</v>
      </c>
      <c r="O1946">
        <f t="shared" ref="O1946" si="386">SUM(I1946:I1947)</f>
        <v>297</v>
      </c>
      <c r="P1946">
        <f t="shared" si="193"/>
        <v>125</v>
      </c>
    </row>
    <row r="1947" spans="1:16" hidden="1" x14ac:dyDescent="0.3">
      <c r="A1947" t="str">
        <f t="shared" si="185"/>
        <v>2025Charles4</v>
      </c>
      <c r="B1947">
        <f t="shared" si="186"/>
        <v>1964</v>
      </c>
      <c r="C1947">
        <f t="shared" si="187"/>
        <v>165</v>
      </c>
      <c r="D1947" t="s">
        <v>48</v>
      </c>
      <c r="E1947" t="str">
        <f t="shared" ref="E1947" si="387">D1946</f>
        <v>Brent</v>
      </c>
      <c r="F1947">
        <v>2025</v>
      </c>
      <c r="G1947">
        <v>4</v>
      </c>
      <c r="H1947">
        <v>4.2</v>
      </c>
      <c r="I1947">
        <v>125</v>
      </c>
      <c r="J1947">
        <f t="shared" ref="J1947" si="388">I1947-I1946</f>
        <v>-47</v>
      </c>
      <c r="K1947" t="str">
        <f t="shared" si="190"/>
        <v>L</v>
      </c>
      <c r="L1947" t="str">
        <f t="shared" si="252"/>
        <v>Charles</v>
      </c>
      <c r="M1947" t="str">
        <f>VLOOKUP(L1947,References!$A$2:$B$16,2,FALSE)</f>
        <v>AKCOVA</v>
      </c>
      <c r="N1947" s="19" t="str">
        <f t="shared" ref="N1947" si="389">IF(M1947=M1946,"N","Y")</f>
        <v>Y</v>
      </c>
      <c r="O1947">
        <f t="shared" ref="O1947" si="390">SUM(I1946:I1947)</f>
        <v>297</v>
      </c>
      <c r="P1947">
        <f t="shared" si="193"/>
        <v>172</v>
      </c>
    </row>
    <row r="1948" spans="1:16" hidden="1" x14ac:dyDescent="0.3">
      <c r="A1948" t="str">
        <f t="shared" si="185"/>
        <v>2025Matt4</v>
      </c>
      <c r="B1948">
        <f t="shared" si="186"/>
        <v>1455</v>
      </c>
      <c r="C1948">
        <f t="shared" si="187"/>
        <v>486</v>
      </c>
      <c r="D1948" t="s">
        <v>30</v>
      </c>
      <c r="E1948" t="str">
        <f t="shared" ref="E1948" si="391">D1949</f>
        <v>Brian</v>
      </c>
      <c r="F1948">
        <v>2025</v>
      </c>
      <c r="G1948">
        <v>4</v>
      </c>
      <c r="H1948">
        <v>5.0999999999999996</v>
      </c>
      <c r="I1948">
        <v>107</v>
      </c>
      <c r="J1948">
        <f t="shared" ref="J1948" si="392">I1948-I1949</f>
        <v>-16</v>
      </c>
      <c r="K1948" t="str">
        <f t="shared" si="190"/>
        <v>L</v>
      </c>
      <c r="L1948" t="str">
        <f t="shared" si="252"/>
        <v>Matt</v>
      </c>
      <c r="M1948" t="str">
        <f>VLOOKUP(L1948,References!$A$2:$B$16,2,FALSE)</f>
        <v>TEXAROK</v>
      </c>
      <c r="N1948" s="19" t="str">
        <f t="shared" ref="N1948" si="393">IF(M1948=M1949,"N","Y")</f>
        <v>N</v>
      </c>
      <c r="O1948">
        <f t="shared" ref="O1948" si="394">SUM(I1948:I1949)</f>
        <v>230</v>
      </c>
      <c r="P1948">
        <f t="shared" si="193"/>
        <v>123</v>
      </c>
    </row>
    <row r="1949" spans="1:16" hidden="1" x14ac:dyDescent="0.3">
      <c r="A1949" t="str">
        <f t="shared" si="185"/>
        <v>2025Brian4</v>
      </c>
      <c r="B1949">
        <f t="shared" si="186"/>
        <v>619</v>
      </c>
      <c r="C1949">
        <f t="shared" si="187"/>
        <v>186</v>
      </c>
      <c r="D1949" t="s">
        <v>26</v>
      </c>
      <c r="E1949" t="str">
        <f t="shared" ref="E1949" si="395">D1948</f>
        <v>Matt</v>
      </c>
      <c r="F1949">
        <v>2025</v>
      </c>
      <c r="G1949">
        <v>4</v>
      </c>
      <c r="H1949">
        <v>5.2</v>
      </c>
      <c r="I1949">
        <v>123</v>
      </c>
      <c r="J1949">
        <f t="shared" ref="J1949" si="396">I1949-I1948</f>
        <v>16</v>
      </c>
      <c r="K1949" t="str">
        <f t="shared" si="190"/>
        <v>W</v>
      </c>
      <c r="L1949" t="str">
        <f t="shared" si="252"/>
        <v>Brian</v>
      </c>
      <c r="M1949" t="str">
        <f>VLOOKUP(L1949,References!$A$2:$B$16,2,FALSE)</f>
        <v>TEXAROK</v>
      </c>
      <c r="N1949" s="19" t="str">
        <f t="shared" ref="N1949" si="397">IF(M1949=M1948,"N","Y")</f>
        <v>N</v>
      </c>
      <c r="O1949">
        <f t="shared" ref="O1949" si="398">SUM(I1948:I1949)</f>
        <v>230</v>
      </c>
      <c r="P1949">
        <f t="shared" si="193"/>
        <v>107</v>
      </c>
    </row>
    <row r="1950" spans="1:16" hidden="1" x14ac:dyDescent="0.3">
      <c r="A1950" t="str">
        <f t="shared" si="185"/>
        <v>2025Jordan4</v>
      </c>
      <c r="B1950">
        <f t="shared" si="186"/>
        <v>977</v>
      </c>
      <c r="C1950">
        <f t="shared" si="187"/>
        <v>305</v>
      </c>
      <c r="D1950" t="s">
        <v>472</v>
      </c>
      <c r="E1950" t="str">
        <f t="shared" ref="E1950" si="399">D1951</f>
        <v>Watty</v>
      </c>
      <c r="F1950">
        <v>2025</v>
      </c>
      <c r="G1950">
        <v>4</v>
      </c>
      <c r="H1950">
        <v>6.1</v>
      </c>
      <c r="I1950">
        <v>115</v>
      </c>
      <c r="J1950">
        <f t="shared" ref="J1950" si="400">I1950-I1951</f>
        <v>2</v>
      </c>
      <c r="K1950" t="str">
        <f t="shared" si="190"/>
        <v>W</v>
      </c>
      <c r="L1950" t="str">
        <f t="shared" si="252"/>
        <v>Jordan</v>
      </c>
      <c r="M1950" t="str">
        <f>VLOOKUP(L1950,References!$A$2:$B$16,2,FALSE)</f>
        <v>AKCOVA</v>
      </c>
      <c r="N1950" s="19" t="str">
        <f t="shared" ref="N1950" si="401">IF(M1950=M1951,"N","Y")</f>
        <v>N</v>
      </c>
      <c r="O1950">
        <f t="shared" ref="O1950" si="402">SUM(I1950:I1951)</f>
        <v>228</v>
      </c>
      <c r="P1950">
        <f t="shared" si="193"/>
        <v>113</v>
      </c>
    </row>
    <row r="1951" spans="1:16" hidden="1" x14ac:dyDescent="0.3">
      <c r="A1951" t="str">
        <f t="shared" si="185"/>
        <v>2025Watty4</v>
      </c>
      <c r="B1951">
        <f t="shared" si="186"/>
        <v>1090</v>
      </c>
      <c r="C1951">
        <f t="shared" si="187"/>
        <v>339</v>
      </c>
      <c r="D1951" t="s">
        <v>24</v>
      </c>
      <c r="E1951" t="str">
        <f t="shared" ref="E1951" si="403">D1950</f>
        <v>Jordan</v>
      </c>
      <c r="F1951">
        <v>2025</v>
      </c>
      <c r="G1951">
        <v>4</v>
      </c>
      <c r="H1951">
        <v>6.2</v>
      </c>
      <c r="I1951">
        <v>113</v>
      </c>
      <c r="J1951">
        <f t="shared" ref="J1951" si="404">I1951-I1950</f>
        <v>-2</v>
      </c>
      <c r="K1951" t="str">
        <f t="shared" si="190"/>
        <v>L</v>
      </c>
      <c r="L1951" t="str">
        <f t="shared" si="252"/>
        <v>Watty</v>
      </c>
      <c r="M1951" t="str">
        <f>VLOOKUP(L1951,References!$A$2:$B$16,2,FALSE)</f>
        <v>AKCOVA</v>
      </c>
      <c r="N1951" s="19" t="str">
        <f t="shared" ref="N1951" si="405">IF(M1951=M1950,"N","Y")</f>
        <v>N</v>
      </c>
      <c r="O1951">
        <f t="shared" ref="O1951" si="406">SUM(I1950:I1951)</f>
        <v>228</v>
      </c>
      <c r="P1951">
        <f t="shared" si="193"/>
        <v>115</v>
      </c>
    </row>
    <row r="1952" spans="1:16" hidden="1" x14ac:dyDescent="0.3">
      <c r="A1952" t="str">
        <f t="shared" si="185"/>
        <v>2025Russell4</v>
      </c>
      <c r="B1952">
        <f t="shared" si="186"/>
        <v>18</v>
      </c>
      <c r="C1952">
        <f t="shared" si="187"/>
        <v>3</v>
      </c>
      <c r="D1952" t="s">
        <v>28</v>
      </c>
      <c r="E1952" t="str">
        <f t="shared" ref="E1952" si="407">D1953</f>
        <v>Emily</v>
      </c>
      <c r="F1952">
        <v>2025</v>
      </c>
      <c r="G1952">
        <v>4</v>
      </c>
      <c r="H1952">
        <v>7.1</v>
      </c>
      <c r="I1952">
        <v>171</v>
      </c>
      <c r="J1952">
        <f t="shared" ref="J1952" si="408">I1952-I1953</f>
        <v>72</v>
      </c>
      <c r="K1952" t="str">
        <f t="shared" si="190"/>
        <v>W</v>
      </c>
      <c r="L1952" t="str">
        <f t="shared" si="252"/>
        <v>Russell</v>
      </c>
      <c r="M1952" t="str">
        <f>VLOOKUP(L1952,References!$A$2:$B$16,2,FALSE)</f>
        <v>TEXAROK</v>
      </c>
      <c r="N1952" s="19" t="str">
        <f t="shared" ref="N1952" si="409">IF(M1952=M1953,"N","Y")</f>
        <v>N</v>
      </c>
      <c r="O1952">
        <f t="shared" ref="O1952" si="410">SUM(I1952:I1953)</f>
        <v>270</v>
      </c>
      <c r="P1952">
        <f t="shared" si="193"/>
        <v>99</v>
      </c>
    </row>
    <row r="1953" spans="1:16" hidden="1" x14ac:dyDescent="0.3">
      <c r="A1953" t="str">
        <f t="shared" si="185"/>
        <v>2025Emily4</v>
      </c>
      <c r="B1953">
        <f t="shared" si="186"/>
        <v>2072</v>
      </c>
      <c r="C1953">
        <f t="shared" si="187"/>
        <v>714</v>
      </c>
      <c r="D1953" t="s">
        <v>43</v>
      </c>
      <c r="E1953" t="str">
        <f t="shared" ref="E1953" si="411">D1952</f>
        <v>Russell</v>
      </c>
      <c r="F1953">
        <v>2025</v>
      </c>
      <c r="G1953">
        <v>4</v>
      </c>
      <c r="H1953">
        <v>7.2</v>
      </c>
      <c r="I1953">
        <v>99</v>
      </c>
      <c r="J1953">
        <f t="shared" ref="J1953" si="412">I1953-I1952</f>
        <v>-72</v>
      </c>
      <c r="K1953" t="str">
        <f t="shared" si="190"/>
        <v>L</v>
      </c>
      <c r="L1953" t="str">
        <f t="shared" si="252"/>
        <v>Emily</v>
      </c>
      <c r="M1953" t="str">
        <f>VLOOKUP(L1953,References!$A$2:$B$16,2,FALSE)</f>
        <v>TEXAROK</v>
      </c>
      <c r="N1953" s="19" t="str">
        <f t="shared" ref="N1953" si="413">IF(M1953=M1952,"N","Y")</f>
        <v>N</v>
      </c>
      <c r="O1953">
        <f t="shared" ref="O1953" si="414">SUM(I1952:I1953)</f>
        <v>270</v>
      </c>
      <c r="P1953">
        <f t="shared" si="193"/>
        <v>171</v>
      </c>
    </row>
    <row r="1954" spans="1:16" hidden="1" x14ac:dyDescent="0.3">
      <c r="A1954" t="str">
        <f t="shared" si="185"/>
        <v>2025Michael5</v>
      </c>
      <c r="B1954">
        <f t="shared" si="186"/>
        <v>758</v>
      </c>
      <c r="C1954">
        <f t="shared" si="187"/>
        <v>339</v>
      </c>
      <c r="D1954" t="s">
        <v>23</v>
      </c>
      <c r="E1954" t="str">
        <f t="shared" ref="E1954" si="415">D1955</f>
        <v>Arnold</v>
      </c>
      <c r="F1954">
        <v>2025</v>
      </c>
      <c r="G1954">
        <v>5</v>
      </c>
      <c r="H1954">
        <v>1.1000000000000001</v>
      </c>
      <c r="I1954">
        <v>113</v>
      </c>
      <c r="J1954">
        <f t="shared" ref="J1954" si="416">I1954-I1955</f>
        <v>10</v>
      </c>
      <c r="K1954" t="str">
        <f t="shared" si="190"/>
        <v>W</v>
      </c>
      <c r="L1954" t="str">
        <f t="shared" si="252"/>
        <v>Michael</v>
      </c>
      <c r="M1954" t="str">
        <f>VLOOKUP(L1954,References!$A$2:$B$16,2,FALSE)</f>
        <v>AKCOVA</v>
      </c>
      <c r="N1954" s="19" t="str">
        <f t="shared" ref="N1954" si="417">IF(M1954=M1955,"N","Y")</f>
        <v>N</v>
      </c>
      <c r="O1954">
        <f t="shared" ref="O1954" si="418">SUM(I1954:I1955)</f>
        <v>216</v>
      </c>
      <c r="P1954">
        <f t="shared" si="193"/>
        <v>103</v>
      </c>
    </row>
    <row r="1955" spans="1:16" hidden="1" x14ac:dyDescent="0.3">
      <c r="A1955" t="str">
        <f t="shared" si="185"/>
        <v>2025Arnold5</v>
      </c>
      <c r="B1955">
        <f t="shared" si="186"/>
        <v>1312</v>
      </c>
      <c r="C1955">
        <f t="shared" si="187"/>
        <v>603</v>
      </c>
      <c r="D1955" t="s">
        <v>227</v>
      </c>
      <c r="E1955" t="str">
        <f t="shared" ref="E1955" si="419">D1954</f>
        <v>Michael</v>
      </c>
      <c r="F1955">
        <v>2025</v>
      </c>
      <c r="G1955">
        <v>5</v>
      </c>
      <c r="H1955">
        <v>1.2</v>
      </c>
      <c r="I1955">
        <v>103</v>
      </c>
      <c r="J1955">
        <f t="shared" ref="J1955" si="420">I1955-I1954</f>
        <v>-10</v>
      </c>
      <c r="K1955" t="str">
        <f t="shared" si="190"/>
        <v>L</v>
      </c>
      <c r="L1955" t="str">
        <f t="shared" si="252"/>
        <v>Arnold</v>
      </c>
      <c r="M1955" t="str">
        <f>VLOOKUP(L1955,References!$A$2:$B$16,2,FALSE)</f>
        <v>AKCOVA</v>
      </c>
      <c r="N1955" s="19" t="str">
        <f t="shared" ref="N1955" si="421">IF(M1955=M1954,"N","Y")</f>
        <v>N</v>
      </c>
      <c r="O1955">
        <f t="shared" ref="O1955" si="422">SUM(I1954:I1955)</f>
        <v>216</v>
      </c>
      <c r="P1955">
        <f t="shared" si="193"/>
        <v>113</v>
      </c>
    </row>
    <row r="1956" spans="1:16" hidden="1" x14ac:dyDescent="0.3">
      <c r="A1956" t="str">
        <f t="shared" si="185"/>
        <v>2025Emily5</v>
      </c>
      <c r="B1956">
        <f t="shared" si="186"/>
        <v>1824</v>
      </c>
      <c r="C1956">
        <f t="shared" si="187"/>
        <v>165</v>
      </c>
      <c r="D1956" t="s">
        <v>43</v>
      </c>
      <c r="E1956" t="str">
        <f t="shared" ref="E1956" si="423">D1957</f>
        <v>Brent</v>
      </c>
      <c r="F1956">
        <v>2025</v>
      </c>
      <c r="G1956">
        <v>5</v>
      </c>
      <c r="H1956">
        <v>2.1</v>
      </c>
      <c r="I1956">
        <v>125</v>
      </c>
      <c r="J1956">
        <f t="shared" ref="J1956" si="424">I1956-I1957</f>
        <v>-34</v>
      </c>
      <c r="K1956" t="str">
        <f t="shared" si="190"/>
        <v>L</v>
      </c>
      <c r="L1956" t="str">
        <f t="shared" si="252"/>
        <v>Emily</v>
      </c>
      <c r="M1956" t="str">
        <f>VLOOKUP(L1956,References!$A$2:$B$16,2,FALSE)</f>
        <v>TEXAROK</v>
      </c>
      <c r="N1956" s="19" t="str">
        <f t="shared" ref="N1956" si="425">IF(M1956=M1957,"N","Y")</f>
        <v>N</v>
      </c>
      <c r="O1956">
        <f t="shared" ref="O1956" si="426">SUM(I1956:I1957)</f>
        <v>284</v>
      </c>
      <c r="P1956">
        <f t="shared" si="193"/>
        <v>159</v>
      </c>
    </row>
    <row r="1957" spans="1:16" hidden="1" x14ac:dyDescent="0.3">
      <c r="A1957" t="str">
        <f t="shared" si="185"/>
        <v>2025Brent5</v>
      </c>
      <c r="B1957">
        <f t="shared" si="186"/>
        <v>262</v>
      </c>
      <c r="C1957">
        <f t="shared" si="187"/>
        <v>11</v>
      </c>
      <c r="D1957" t="s">
        <v>47</v>
      </c>
      <c r="E1957" t="str">
        <f t="shared" ref="E1957" si="427">D1956</f>
        <v>Emily</v>
      </c>
      <c r="F1957">
        <v>2025</v>
      </c>
      <c r="G1957">
        <v>5</v>
      </c>
      <c r="H1957">
        <v>2.2000000000000002</v>
      </c>
      <c r="I1957">
        <v>159</v>
      </c>
      <c r="J1957">
        <f t="shared" ref="J1957" si="428">I1957-I1956</f>
        <v>34</v>
      </c>
      <c r="K1957" t="str">
        <f t="shared" si="190"/>
        <v>W</v>
      </c>
      <c r="L1957" t="str">
        <f t="shared" si="252"/>
        <v>Brent</v>
      </c>
      <c r="M1957" t="str">
        <f>VLOOKUP(L1957,References!$A$2:$B$16,2,FALSE)</f>
        <v>TEXAROK</v>
      </c>
      <c r="N1957" s="19" t="str">
        <f t="shared" ref="N1957" si="429">IF(M1957=M1956,"N","Y")</f>
        <v>N</v>
      </c>
      <c r="O1957">
        <f t="shared" ref="O1957" si="430">SUM(I1956:I1957)</f>
        <v>284</v>
      </c>
      <c r="P1957">
        <f t="shared" si="193"/>
        <v>125</v>
      </c>
    </row>
    <row r="1958" spans="1:16" hidden="1" x14ac:dyDescent="0.3">
      <c r="A1958" t="str">
        <f t="shared" si="185"/>
        <v>2025Charles5</v>
      </c>
      <c r="B1958">
        <f t="shared" si="186"/>
        <v>713</v>
      </c>
      <c r="C1958">
        <f t="shared" si="187"/>
        <v>248</v>
      </c>
      <c r="D1958" t="s">
        <v>48</v>
      </c>
      <c r="E1958" t="str">
        <f t="shared" ref="E1958" si="431">D1959</f>
        <v>Jordan</v>
      </c>
      <c r="F1958">
        <v>2025</v>
      </c>
      <c r="G1958">
        <v>5</v>
      </c>
      <c r="H1958">
        <v>3.1</v>
      </c>
      <c r="I1958">
        <v>119</v>
      </c>
      <c r="J1958">
        <f t="shared" ref="J1958" si="432">I1958-I1959</f>
        <v>12</v>
      </c>
      <c r="K1958" t="str">
        <f t="shared" si="190"/>
        <v>W</v>
      </c>
      <c r="L1958" t="str">
        <f t="shared" si="252"/>
        <v>Charles</v>
      </c>
      <c r="M1958" t="str">
        <f>VLOOKUP(L1958,References!$A$2:$B$16,2,FALSE)</f>
        <v>AKCOVA</v>
      </c>
      <c r="N1958" s="19" t="str">
        <f t="shared" ref="N1958" si="433">IF(M1958=M1959,"N","Y")</f>
        <v>N</v>
      </c>
      <c r="O1958">
        <f t="shared" ref="O1958" si="434">SUM(I1958:I1959)</f>
        <v>226</v>
      </c>
      <c r="P1958">
        <f t="shared" si="193"/>
        <v>107</v>
      </c>
    </row>
    <row r="1959" spans="1:16" hidden="1" x14ac:dyDescent="0.3">
      <c r="A1959" t="str">
        <f t="shared" si="185"/>
        <v>2025Jordan5</v>
      </c>
      <c r="B1959">
        <f t="shared" si="186"/>
        <v>1357</v>
      </c>
      <c r="C1959">
        <f t="shared" si="187"/>
        <v>486</v>
      </c>
      <c r="D1959" t="s">
        <v>472</v>
      </c>
      <c r="E1959" t="str">
        <f t="shared" ref="E1959" si="435">D1958</f>
        <v>Charles</v>
      </c>
      <c r="F1959">
        <v>2025</v>
      </c>
      <c r="G1959">
        <v>5</v>
      </c>
      <c r="H1959">
        <v>3.2</v>
      </c>
      <c r="I1959">
        <v>107</v>
      </c>
      <c r="J1959">
        <f t="shared" ref="J1959" si="436">I1959-I1958</f>
        <v>-12</v>
      </c>
      <c r="K1959" t="str">
        <f t="shared" si="190"/>
        <v>L</v>
      </c>
      <c r="L1959" t="str">
        <f t="shared" si="252"/>
        <v>Jordan</v>
      </c>
      <c r="M1959" t="str">
        <f>VLOOKUP(L1959,References!$A$2:$B$16,2,FALSE)</f>
        <v>AKCOVA</v>
      </c>
      <c r="N1959" s="19" t="str">
        <f t="shared" ref="N1959" si="437">IF(M1959=M1958,"N","Y")</f>
        <v>N</v>
      </c>
      <c r="O1959">
        <f t="shared" ref="O1959" si="438">SUM(I1958:I1959)</f>
        <v>226</v>
      </c>
      <c r="P1959">
        <f t="shared" si="193"/>
        <v>119</v>
      </c>
    </row>
    <row r="1960" spans="1:16" hidden="1" x14ac:dyDescent="0.3">
      <c r="A1960" t="str">
        <f t="shared" si="185"/>
        <v>2025David5</v>
      </c>
      <c r="B1960">
        <f t="shared" si="186"/>
        <v>977</v>
      </c>
      <c r="C1960">
        <f t="shared" si="187"/>
        <v>678</v>
      </c>
      <c r="D1960" t="s">
        <v>29</v>
      </c>
      <c r="E1960" t="str">
        <f t="shared" ref="E1960" si="439">D1961</f>
        <v>Russell</v>
      </c>
      <c r="F1960">
        <v>2025</v>
      </c>
      <c r="G1960">
        <v>5</v>
      </c>
      <c r="H1960">
        <v>4.0999999999999996</v>
      </c>
      <c r="I1960">
        <v>100</v>
      </c>
      <c r="J1960">
        <f t="shared" ref="J1960" si="440">I1960-I1961</f>
        <v>2</v>
      </c>
      <c r="K1960" t="str">
        <f t="shared" si="190"/>
        <v>W</v>
      </c>
      <c r="L1960" t="str">
        <f t="shared" si="252"/>
        <v>David</v>
      </c>
      <c r="M1960" t="str">
        <f>VLOOKUP(L1960,References!$A$2:$B$16,2,FALSE)</f>
        <v>TEXAROK</v>
      </c>
      <c r="N1960" s="19" t="str">
        <f t="shared" ref="N1960" si="441">IF(M1960=M1961,"N","Y")</f>
        <v>N</v>
      </c>
      <c r="O1960">
        <f t="shared" ref="O1960" si="442">SUM(I1960:I1961)</f>
        <v>198</v>
      </c>
      <c r="P1960">
        <f t="shared" si="193"/>
        <v>98</v>
      </c>
    </row>
    <row r="1961" spans="1:16" hidden="1" x14ac:dyDescent="0.3">
      <c r="A1961" t="str">
        <f t="shared" si="185"/>
        <v>2025Russell5</v>
      </c>
      <c r="B1961">
        <f t="shared" si="186"/>
        <v>1090</v>
      </c>
      <c r="C1961">
        <f t="shared" si="187"/>
        <v>746</v>
      </c>
      <c r="D1961" t="s">
        <v>28</v>
      </c>
      <c r="E1961" t="str">
        <f t="shared" ref="E1961" si="443">D1960</f>
        <v>David</v>
      </c>
      <c r="F1961">
        <v>2025</v>
      </c>
      <c r="G1961">
        <v>5</v>
      </c>
      <c r="H1961">
        <v>4.2</v>
      </c>
      <c r="I1961">
        <v>98</v>
      </c>
      <c r="J1961">
        <f t="shared" ref="J1961" si="444">I1961-I1960</f>
        <v>-2</v>
      </c>
      <c r="K1961" t="str">
        <f t="shared" si="190"/>
        <v>L</v>
      </c>
      <c r="L1961" t="str">
        <f t="shared" si="252"/>
        <v>Russell</v>
      </c>
      <c r="M1961" t="str">
        <f>VLOOKUP(L1961,References!$A$2:$B$16,2,FALSE)</f>
        <v>TEXAROK</v>
      </c>
      <c r="N1961" s="19" t="str">
        <f t="shared" ref="N1961" si="445">IF(M1961=M1960,"N","Y")</f>
        <v>N</v>
      </c>
      <c r="O1961">
        <f t="shared" ref="O1961" si="446">SUM(I1960:I1961)</f>
        <v>198</v>
      </c>
      <c r="P1961">
        <f t="shared" si="193"/>
        <v>100</v>
      </c>
    </row>
    <row r="1962" spans="1:16" hidden="1" x14ac:dyDescent="0.3">
      <c r="A1962" t="str">
        <f t="shared" ref="A1962:A1981" si="447">F1962&amp;D1962&amp;G1962</f>
        <v>2025BR5</v>
      </c>
      <c r="B1962">
        <f t="shared" ref="B1962:B1981" si="448">RANK(J1962,diff)</f>
        <v>27</v>
      </c>
      <c r="C1962">
        <f t="shared" ref="C1962:C1981" si="449">RANK(I1962,points)</f>
        <v>39</v>
      </c>
      <c r="D1962" t="s">
        <v>25</v>
      </c>
      <c r="E1962" t="str">
        <f t="shared" ref="E1962" si="450">D1963</f>
        <v>Matt</v>
      </c>
      <c r="F1962">
        <v>2025</v>
      </c>
      <c r="G1962">
        <v>5</v>
      </c>
      <c r="H1962">
        <v>5.0999999999999996</v>
      </c>
      <c r="I1962">
        <v>144</v>
      </c>
      <c r="J1962">
        <f t="shared" ref="J1962" si="451">I1962-I1963</f>
        <v>67</v>
      </c>
      <c r="K1962" t="str">
        <f t="shared" ref="K1962:K1981" si="452">IF(J1962&gt;0,"W",IF(J1962&lt;0,"L","T"))</f>
        <v>W</v>
      </c>
      <c r="L1962" t="str">
        <f t="shared" si="252"/>
        <v>BR</v>
      </c>
      <c r="M1962" t="str">
        <f>VLOOKUP(L1962,References!$A$2:$B$16,2,FALSE)</f>
        <v>AKCOVA</v>
      </c>
      <c r="N1962" s="19" t="str">
        <f t="shared" ref="N1962" si="453">IF(M1962=M1963,"N","Y")</f>
        <v>Y</v>
      </c>
      <c r="O1962">
        <f t="shared" ref="O1962" si="454">SUM(I1962:I1963)</f>
        <v>221</v>
      </c>
      <c r="P1962">
        <f t="shared" ref="P1962:P1981" si="455">I1962-J1962</f>
        <v>77</v>
      </c>
    </row>
    <row r="1963" spans="1:16" hidden="1" x14ac:dyDescent="0.3">
      <c r="A1963" t="str">
        <f t="shared" si="447"/>
        <v>2025Matt5</v>
      </c>
      <c r="B1963">
        <f t="shared" si="448"/>
        <v>2063</v>
      </c>
      <c r="C1963">
        <f t="shared" si="449"/>
        <v>1512</v>
      </c>
      <c r="D1963" t="s">
        <v>30</v>
      </c>
      <c r="E1963" t="str">
        <f t="shared" ref="E1963" si="456">D1962</f>
        <v>BR</v>
      </c>
      <c r="F1963">
        <v>2025</v>
      </c>
      <c r="G1963">
        <v>5</v>
      </c>
      <c r="H1963">
        <v>5.2</v>
      </c>
      <c r="I1963">
        <v>77</v>
      </c>
      <c r="J1963">
        <f t="shared" ref="J1963" si="457">I1963-I1962</f>
        <v>-67</v>
      </c>
      <c r="K1963" t="str">
        <f t="shared" si="452"/>
        <v>L</v>
      </c>
      <c r="L1963" t="str">
        <f t="shared" si="252"/>
        <v>Matt</v>
      </c>
      <c r="M1963" t="str">
        <f>VLOOKUP(L1963,References!$A$2:$B$16,2,FALSE)</f>
        <v>TEXAROK</v>
      </c>
      <c r="N1963" s="19" t="str">
        <f t="shared" ref="N1963" si="458">IF(M1963=M1962,"N","Y")</f>
        <v>Y</v>
      </c>
      <c r="O1963">
        <f t="shared" ref="O1963" si="459">SUM(I1962:I1963)</f>
        <v>221</v>
      </c>
      <c r="P1963">
        <f t="shared" si="455"/>
        <v>144</v>
      </c>
    </row>
    <row r="1964" spans="1:16" hidden="1" x14ac:dyDescent="0.3">
      <c r="A1964" t="str">
        <f t="shared" si="447"/>
        <v>2025Grayson5</v>
      </c>
      <c r="B1964">
        <f t="shared" si="448"/>
        <v>410</v>
      </c>
      <c r="C1964">
        <f t="shared" si="449"/>
        <v>102</v>
      </c>
      <c r="D1964" t="s">
        <v>473</v>
      </c>
      <c r="E1964" t="str">
        <f t="shared" ref="E1964" si="460">D1965</f>
        <v>Brian</v>
      </c>
      <c r="F1964">
        <v>2025</v>
      </c>
      <c r="G1964">
        <v>5</v>
      </c>
      <c r="H1964">
        <v>6.1</v>
      </c>
      <c r="I1964">
        <v>131</v>
      </c>
      <c r="J1964">
        <f t="shared" ref="J1964" si="461">I1964-I1965</f>
        <v>25</v>
      </c>
      <c r="K1964" t="str">
        <f t="shared" si="452"/>
        <v>W</v>
      </c>
      <c r="L1964" t="str">
        <f t="shared" si="252"/>
        <v>Grayson</v>
      </c>
      <c r="M1964" t="str">
        <f>VLOOKUP(L1964,References!$A$2:$B$16,2,FALSE)</f>
        <v>TEXAROK</v>
      </c>
      <c r="N1964" s="19" t="str">
        <f t="shared" ref="N1964" si="462">IF(M1964=M1965,"N","Y")</f>
        <v>N</v>
      </c>
      <c r="O1964">
        <f t="shared" ref="O1964" si="463">SUM(I1964:I1965)</f>
        <v>237</v>
      </c>
      <c r="P1964">
        <f t="shared" si="455"/>
        <v>106</v>
      </c>
    </row>
    <row r="1965" spans="1:16" hidden="1" x14ac:dyDescent="0.3">
      <c r="A1965" t="str">
        <f t="shared" si="447"/>
        <v>2025Brian5</v>
      </c>
      <c r="B1965">
        <f t="shared" si="448"/>
        <v>1661</v>
      </c>
      <c r="C1965">
        <f t="shared" si="449"/>
        <v>509</v>
      </c>
      <c r="D1965" t="s">
        <v>26</v>
      </c>
      <c r="E1965" t="str">
        <f t="shared" ref="E1965" si="464">D1964</f>
        <v>Grayson</v>
      </c>
      <c r="F1965">
        <v>2025</v>
      </c>
      <c r="G1965">
        <v>5</v>
      </c>
      <c r="H1965">
        <v>6.2</v>
      </c>
      <c r="I1965">
        <v>106</v>
      </c>
      <c r="J1965">
        <f t="shared" ref="J1965" si="465">I1965-I1964</f>
        <v>-25</v>
      </c>
      <c r="K1965" t="str">
        <f t="shared" si="452"/>
        <v>L</v>
      </c>
      <c r="L1965" t="str">
        <f t="shared" si="252"/>
        <v>Brian</v>
      </c>
      <c r="M1965" t="str">
        <f>VLOOKUP(L1965,References!$A$2:$B$16,2,FALSE)</f>
        <v>TEXAROK</v>
      </c>
      <c r="N1965" s="19" t="str">
        <f t="shared" ref="N1965" si="466">IF(M1965=M1964,"N","Y")</f>
        <v>N</v>
      </c>
      <c r="O1965">
        <f t="shared" ref="O1965" si="467">SUM(I1964:I1965)</f>
        <v>237</v>
      </c>
      <c r="P1965">
        <f t="shared" si="455"/>
        <v>131</v>
      </c>
    </row>
    <row r="1966" spans="1:16" hidden="1" x14ac:dyDescent="0.3">
      <c r="A1966" t="str">
        <f t="shared" si="447"/>
        <v>2025Watty5</v>
      </c>
      <c r="B1966">
        <f t="shared" si="448"/>
        <v>1197</v>
      </c>
      <c r="C1966">
        <f t="shared" si="449"/>
        <v>509</v>
      </c>
      <c r="D1966" t="s">
        <v>24</v>
      </c>
      <c r="E1966" t="str">
        <f t="shared" ref="E1966" si="468">D1967</f>
        <v>Mark</v>
      </c>
      <c r="F1966">
        <v>2025</v>
      </c>
      <c r="G1966">
        <v>5</v>
      </c>
      <c r="H1966">
        <v>7.1</v>
      </c>
      <c r="I1966">
        <v>106</v>
      </c>
      <c r="J1966">
        <f t="shared" ref="J1966" si="469">I1966-I1967</f>
        <v>-6</v>
      </c>
      <c r="K1966" t="str">
        <f t="shared" si="452"/>
        <v>L</v>
      </c>
      <c r="L1966" t="str">
        <f t="shared" si="252"/>
        <v>Watty</v>
      </c>
      <c r="M1966" t="str">
        <f>VLOOKUP(L1966,References!$A$2:$B$16,2,FALSE)</f>
        <v>AKCOVA</v>
      </c>
      <c r="N1966" s="19" t="str">
        <f t="shared" ref="N1966" si="470">IF(M1966=M1967,"N","Y")</f>
        <v>N</v>
      </c>
      <c r="O1966">
        <f t="shared" ref="O1966" si="471">SUM(I1966:I1967)</f>
        <v>218</v>
      </c>
      <c r="P1966">
        <f t="shared" si="455"/>
        <v>112</v>
      </c>
    </row>
    <row r="1967" spans="1:16" hidden="1" x14ac:dyDescent="0.3">
      <c r="A1967" t="str">
        <f t="shared" si="447"/>
        <v>2025Mark5</v>
      </c>
      <c r="B1967">
        <f t="shared" si="448"/>
        <v>865</v>
      </c>
      <c r="C1967">
        <f t="shared" si="449"/>
        <v>364</v>
      </c>
      <c r="D1967" t="s">
        <v>22</v>
      </c>
      <c r="E1967" t="str">
        <f t="shared" ref="E1967" si="472">D1966</f>
        <v>Watty</v>
      </c>
      <c r="F1967">
        <v>2025</v>
      </c>
      <c r="G1967">
        <v>5</v>
      </c>
      <c r="H1967">
        <v>7.2</v>
      </c>
      <c r="I1967">
        <v>112</v>
      </c>
      <c r="J1967">
        <f t="shared" ref="J1967" si="473">I1967-I1966</f>
        <v>6</v>
      </c>
      <c r="K1967" t="str">
        <f t="shared" si="452"/>
        <v>W</v>
      </c>
      <c r="L1967" t="str">
        <f t="shared" si="252"/>
        <v>Mark</v>
      </c>
      <c r="M1967" t="str">
        <f>VLOOKUP(L1967,References!$A$2:$B$16,2,FALSE)</f>
        <v>AKCOVA</v>
      </c>
      <c r="N1967" s="19" t="str">
        <f t="shared" ref="N1967" si="474">IF(M1967=M1966,"N","Y")</f>
        <v>N</v>
      </c>
      <c r="O1967">
        <f t="shared" ref="O1967" si="475">SUM(I1966:I1967)</f>
        <v>218</v>
      </c>
      <c r="P1967">
        <f t="shared" si="455"/>
        <v>106</v>
      </c>
    </row>
    <row r="1968" spans="1:16" hidden="1" x14ac:dyDescent="0.3">
      <c r="A1968" t="str">
        <f t="shared" si="447"/>
        <v>2025Matt6</v>
      </c>
      <c r="B1968">
        <f t="shared" si="448"/>
        <v>803</v>
      </c>
      <c r="C1968">
        <f t="shared" si="449"/>
        <v>383</v>
      </c>
      <c r="D1968" t="s">
        <v>30</v>
      </c>
      <c r="E1968" t="str">
        <f t="shared" ref="E1968" si="476">D1969</f>
        <v>Michael</v>
      </c>
      <c r="F1968">
        <v>2025</v>
      </c>
      <c r="G1968">
        <v>6</v>
      </c>
      <c r="H1968">
        <v>1.1000000000000001</v>
      </c>
      <c r="I1968">
        <v>111</v>
      </c>
      <c r="J1968">
        <f t="shared" ref="J1968" si="477">I1968-I1969</f>
        <v>8</v>
      </c>
      <c r="K1968" t="str">
        <f t="shared" si="452"/>
        <v>W</v>
      </c>
      <c r="L1968" t="str">
        <f t="shared" si="252"/>
        <v>Matt</v>
      </c>
      <c r="M1968" t="str">
        <f>VLOOKUP(L1968,References!$A$2:$B$16,2,FALSE)</f>
        <v>TEXAROK</v>
      </c>
      <c r="N1968" s="19" t="str">
        <f t="shared" ref="N1968" si="478">IF(M1968=M1969,"N","Y")</f>
        <v>Y</v>
      </c>
      <c r="O1968">
        <f t="shared" ref="O1968" si="479">SUM(I1968:I1969)</f>
        <v>214</v>
      </c>
      <c r="P1968">
        <f t="shared" si="455"/>
        <v>103</v>
      </c>
    </row>
    <row r="1969" spans="1:16" hidden="1" x14ac:dyDescent="0.3">
      <c r="A1969" t="str">
        <f t="shared" si="447"/>
        <v>2025Michael6</v>
      </c>
      <c r="B1969">
        <f t="shared" si="448"/>
        <v>1258</v>
      </c>
      <c r="C1969">
        <f t="shared" si="449"/>
        <v>603</v>
      </c>
      <c r="D1969" t="s">
        <v>23</v>
      </c>
      <c r="E1969" t="str">
        <f t="shared" ref="E1969" si="480">D1968</f>
        <v>Matt</v>
      </c>
      <c r="F1969">
        <v>2025</v>
      </c>
      <c r="G1969">
        <v>6</v>
      </c>
      <c r="H1969">
        <v>1.2</v>
      </c>
      <c r="I1969">
        <v>103</v>
      </c>
      <c r="J1969">
        <f t="shared" ref="J1969" si="481">I1969-I1968</f>
        <v>-8</v>
      </c>
      <c r="K1969" t="str">
        <f t="shared" si="452"/>
        <v>L</v>
      </c>
      <c r="L1969" t="str">
        <f t="shared" si="252"/>
        <v>Michael</v>
      </c>
      <c r="M1969" t="str">
        <f>VLOOKUP(L1969,References!$A$2:$B$16,2,FALSE)</f>
        <v>AKCOVA</v>
      </c>
      <c r="N1969" s="19" t="str">
        <f t="shared" ref="N1969" si="482">IF(M1969=M1968,"N","Y")</f>
        <v>Y</v>
      </c>
      <c r="O1969">
        <f t="shared" ref="O1969" si="483">SUM(I1968:I1969)</f>
        <v>214</v>
      </c>
      <c r="P1969">
        <f t="shared" si="455"/>
        <v>111</v>
      </c>
    </row>
    <row r="1970" spans="1:16" hidden="1" x14ac:dyDescent="0.3">
      <c r="A1970" t="str">
        <f t="shared" si="447"/>
        <v>2025Mark6</v>
      </c>
      <c r="B1970">
        <f t="shared" si="448"/>
        <v>2005</v>
      </c>
      <c r="C1970">
        <f t="shared" si="449"/>
        <v>1027</v>
      </c>
      <c r="D1970" t="s">
        <v>22</v>
      </c>
      <c r="E1970" t="str">
        <f t="shared" ref="E1970" si="484">D1971</f>
        <v>Charles</v>
      </c>
      <c r="F1970">
        <v>2025</v>
      </c>
      <c r="G1970">
        <v>6</v>
      </c>
      <c r="H1970">
        <v>2.1</v>
      </c>
      <c r="I1970">
        <v>90</v>
      </c>
      <c r="J1970">
        <f t="shared" ref="J1970" si="485">I1970-I1971</f>
        <v>-54</v>
      </c>
      <c r="K1970" t="str">
        <f t="shared" si="452"/>
        <v>L</v>
      </c>
      <c r="L1970" t="str">
        <f t="shared" si="252"/>
        <v>Mark</v>
      </c>
      <c r="M1970" t="str">
        <f>VLOOKUP(L1970,References!$A$2:$B$16,2,FALSE)</f>
        <v>AKCOVA</v>
      </c>
      <c r="N1970" s="19" t="str">
        <f t="shared" ref="N1970" si="486">IF(M1970=M1971,"N","Y")</f>
        <v>N</v>
      </c>
      <c r="O1970">
        <f t="shared" ref="O1970" si="487">SUM(I1970:I1971)</f>
        <v>234</v>
      </c>
      <c r="P1970">
        <f t="shared" si="455"/>
        <v>144</v>
      </c>
    </row>
    <row r="1971" spans="1:16" hidden="1" x14ac:dyDescent="0.3">
      <c r="A1971" t="str">
        <f t="shared" si="447"/>
        <v>2025Charles6</v>
      </c>
      <c r="B1971">
        <f t="shared" si="448"/>
        <v>85</v>
      </c>
      <c r="C1971">
        <f t="shared" si="449"/>
        <v>39</v>
      </c>
      <c r="D1971" t="s">
        <v>48</v>
      </c>
      <c r="E1971" t="str">
        <f t="shared" ref="E1971" si="488">D1970</f>
        <v>Mark</v>
      </c>
      <c r="F1971">
        <v>2025</v>
      </c>
      <c r="G1971">
        <v>6</v>
      </c>
      <c r="H1971">
        <v>2.2000000000000002</v>
      </c>
      <c r="I1971">
        <v>144</v>
      </c>
      <c r="J1971">
        <f t="shared" ref="J1971" si="489">I1971-I1970</f>
        <v>54</v>
      </c>
      <c r="K1971" t="str">
        <f t="shared" si="452"/>
        <v>W</v>
      </c>
      <c r="L1971" t="str">
        <f t="shared" si="252"/>
        <v>Charles</v>
      </c>
      <c r="M1971" t="str">
        <f>VLOOKUP(L1971,References!$A$2:$B$16,2,FALSE)</f>
        <v>AKCOVA</v>
      </c>
      <c r="N1971" s="19" t="str">
        <f t="shared" ref="N1971" si="490">IF(M1971=M1970,"N","Y")</f>
        <v>N</v>
      </c>
      <c r="O1971">
        <f t="shared" ref="O1971" si="491">SUM(I1970:I1971)</f>
        <v>234</v>
      </c>
      <c r="P1971">
        <f t="shared" si="455"/>
        <v>90</v>
      </c>
    </row>
    <row r="1972" spans="1:16" hidden="1" x14ac:dyDescent="0.3">
      <c r="A1972" t="str">
        <f t="shared" si="447"/>
        <v>2025Jordan6</v>
      </c>
      <c r="B1972">
        <f t="shared" si="448"/>
        <v>1723</v>
      </c>
      <c r="C1972">
        <f t="shared" si="449"/>
        <v>857</v>
      </c>
      <c r="D1972" t="s">
        <v>472</v>
      </c>
      <c r="E1972" t="str">
        <f t="shared" ref="E1972" si="492">D1973</f>
        <v>Emily</v>
      </c>
      <c r="F1972">
        <v>2025</v>
      </c>
      <c r="G1972">
        <v>6</v>
      </c>
      <c r="H1972">
        <v>3.1</v>
      </c>
      <c r="I1972">
        <v>95</v>
      </c>
      <c r="J1972">
        <f t="shared" ref="J1972" si="493">I1972-I1973</f>
        <v>-28</v>
      </c>
      <c r="K1972" t="str">
        <f t="shared" si="452"/>
        <v>L</v>
      </c>
      <c r="L1972" t="str">
        <f t="shared" si="252"/>
        <v>Jordan</v>
      </c>
      <c r="M1972" t="str">
        <f>VLOOKUP(L1972,References!$A$2:$B$16,2,FALSE)</f>
        <v>AKCOVA</v>
      </c>
      <c r="N1972" s="19" t="str">
        <f t="shared" ref="N1972" si="494">IF(M1972=M1973,"N","Y")</f>
        <v>Y</v>
      </c>
      <c r="O1972">
        <f t="shared" ref="O1972" si="495">SUM(I1972:I1973)</f>
        <v>218</v>
      </c>
      <c r="P1972">
        <f t="shared" si="455"/>
        <v>123</v>
      </c>
    </row>
    <row r="1973" spans="1:16" hidden="1" x14ac:dyDescent="0.3">
      <c r="A1973" t="str">
        <f t="shared" si="447"/>
        <v>2025Emily6</v>
      </c>
      <c r="B1973">
        <f t="shared" si="448"/>
        <v>356</v>
      </c>
      <c r="C1973">
        <f t="shared" si="449"/>
        <v>186</v>
      </c>
      <c r="D1973" t="s">
        <v>43</v>
      </c>
      <c r="E1973" t="str">
        <f t="shared" ref="E1973" si="496">D1972</f>
        <v>Jordan</v>
      </c>
      <c r="F1973">
        <v>2025</v>
      </c>
      <c r="G1973">
        <v>6</v>
      </c>
      <c r="H1973">
        <v>3.2</v>
      </c>
      <c r="I1973">
        <v>123</v>
      </c>
      <c r="J1973">
        <f t="shared" ref="J1973" si="497">I1973-I1972</f>
        <v>28</v>
      </c>
      <c r="K1973" t="str">
        <f t="shared" si="452"/>
        <v>W</v>
      </c>
      <c r="L1973" t="str">
        <f t="shared" si="252"/>
        <v>Emily</v>
      </c>
      <c r="M1973" t="str">
        <f>VLOOKUP(L1973,References!$A$2:$B$16,2,FALSE)</f>
        <v>TEXAROK</v>
      </c>
      <c r="N1973" s="19" t="str">
        <f t="shared" ref="N1973" si="498">IF(M1973=M1972,"N","Y")</f>
        <v>Y</v>
      </c>
      <c r="O1973">
        <f t="shared" ref="O1973" si="499">SUM(I1972:I1973)</f>
        <v>218</v>
      </c>
      <c r="P1973">
        <f t="shared" si="455"/>
        <v>95</v>
      </c>
    </row>
    <row r="1974" spans="1:16" hidden="1" x14ac:dyDescent="0.3">
      <c r="A1974" t="str">
        <f t="shared" si="447"/>
        <v>2025Russell6</v>
      </c>
      <c r="B1974">
        <f t="shared" si="448"/>
        <v>70</v>
      </c>
      <c r="C1974">
        <f t="shared" si="449"/>
        <v>64</v>
      </c>
      <c r="D1974" t="s">
        <v>28</v>
      </c>
      <c r="E1974" t="str">
        <f t="shared" ref="E1974" si="500">D1975</f>
        <v>Arnold</v>
      </c>
      <c r="F1974">
        <v>2025</v>
      </c>
      <c r="G1974">
        <v>6</v>
      </c>
      <c r="H1974">
        <v>4.0999999999999996</v>
      </c>
      <c r="I1974">
        <v>138</v>
      </c>
      <c r="J1974">
        <f t="shared" ref="J1974" si="501">I1974-I1975</f>
        <v>57</v>
      </c>
      <c r="K1974" t="str">
        <f t="shared" si="452"/>
        <v>W</v>
      </c>
      <c r="L1974" t="str">
        <f t="shared" si="252"/>
        <v>Russell</v>
      </c>
      <c r="M1974" t="str">
        <f>VLOOKUP(L1974,References!$A$2:$B$16,2,FALSE)</f>
        <v>TEXAROK</v>
      </c>
      <c r="N1974" s="19" t="str">
        <f t="shared" ref="N1974" si="502">IF(M1974=M1975,"N","Y")</f>
        <v>Y</v>
      </c>
      <c r="O1974">
        <f t="shared" ref="O1974" si="503">SUM(I1974:I1975)</f>
        <v>219</v>
      </c>
      <c r="P1974">
        <f t="shared" si="455"/>
        <v>81</v>
      </c>
    </row>
    <row r="1975" spans="1:16" hidden="1" x14ac:dyDescent="0.3">
      <c r="A1975" t="str">
        <f t="shared" si="447"/>
        <v>2025Arnold6</v>
      </c>
      <c r="B1975">
        <f t="shared" si="448"/>
        <v>2018</v>
      </c>
      <c r="C1975">
        <f t="shared" si="449"/>
        <v>1365</v>
      </c>
      <c r="D1975" t="s">
        <v>227</v>
      </c>
      <c r="E1975" t="str">
        <f t="shared" ref="E1975" si="504">D1974</f>
        <v>Russell</v>
      </c>
      <c r="F1975">
        <v>2025</v>
      </c>
      <c r="G1975">
        <v>6</v>
      </c>
      <c r="H1975">
        <v>4.2</v>
      </c>
      <c r="I1975">
        <v>81</v>
      </c>
      <c r="J1975">
        <f t="shared" ref="J1975" si="505">I1975-I1974</f>
        <v>-57</v>
      </c>
      <c r="K1975" t="str">
        <f t="shared" si="452"/>
        <v>L</v>
      </c>
      <c r="L1975" t="str">
        <f t="shared" si="252"/>
        <v>Arnold</v>
      </c>
      <c r="M1975" t="str">
        <f>VLOOKUP(L1975,References!$A$2:$B$16,2,FALSE)</f>
        <v>AKCOVA</v>
      </c>
      <c r="N1975" s="19" t="str">
        <f t="shared" ref="N1975" si="506">IF(M1975=M1974,"N","Y")</f>
        <v>Y</v>
      </c>
      <c r="O1975">
        <f t="shared" ref="O1975" si="507">SUM(I1974:I1975)</f>
        <v>219</v>
      </c>
      <c r="P1975">
        <f t="shared" si="455"/>
        <v>138</v>
      </c>
    </row>
    <row r="1976" spans="1:16" hidden="1" x14ac:dyDescent="0.3">
      <c r="A1976" t="str">
        <f t="shared" si="447"/>
        <v>2025Brent6</v>
      </c>
      <c r="B1976">
        <f t="shared" si="448"/>
        <v>949</v>
      </c>
      <c r="C1976">
        <f t="shared" si="449"/>
        <v>211</v>
      </c>
      <c r="D1976" t="s">
        <v>47</v>
      </c>
      <c r="E1976" t="str">
        <f t="shared" ref="E1976:E1994" si="508">D1977</f>
        <v>David</v>
      </c>
      <c r="F1976">
        <v>2025</v>
      </c>
      <c r="G1976">
        <v>6</v>
      </c>
      <c r="H1976">
        <v>5.0999999999999996</v>
      </c>
      <c r="I1976">
        <v>121</v>
      </c>
      <c r="J1976">
        <f t="shared" ref="J1976" si="509">I1976-I1977</f>
        <v>3</v>
      </c>
      <c r="K1976" t="str">
        <f t="shared" si="452"/>
        <v>W</v>
      </c>
      <c r="L1976" t="str">
        <f t="shared" si="252"/>
        <v>Brent</v>
      </c>
      <c r="M1976" t="str">
        <f>VLOOKUP(L1976,References!$A$2:$B$16,2,FALSE)</f>
        <v>TEXAROK</v>
      </c>
      <c r="N1976" s="19" t="str">
        <f t="shared" ref="N1976" si="510">IF(M1976=M1977,"N","Y")</f>
        <v>N</v>
      </c>
      <c r="O1976">
        <f t="shared" ref="O1976" si="511">SUM(I1976:I1977)</f>
        <v>239</v>
      </c>
      <c r="P1976">
        <f t="shared" si="455"/>
        <v>118</v>
      </c>
    </row>
    <row r="1977" spans="1:16" hidden="1" x14ac:dyDescent="0.3">
      <c r="A1977" t="str">
        <f t="shared" si="447"/>
        <v>2025David6</v>
      </c>
      <c r="B1977">
        <f t="shared" si="448"/>
        <v>1117</v>
      </c>
      <c r="C1977">
        <f t="shared" si="449"/>
        <v>267</v>
      </c>
      <c r="D1977" t="s">
        <v>29</v>
      </c>
      <c r="E1977" t="str">
        <f t="shared" ref="E1977:E1995" si="512">D1976</f>
        <v>Brent</v>
      </c>
      <c r="F1977">
        <v>2025</v>
      </c>
      <c r="G1977">
        <v>6</v>
      </c>
      <c r="H1977">
        <v>5.2</v>
      </c>
      <c r="I1977">
        <v>118</v>
      </c>
      <c r="J1977">
        <f t="shared" ref="J1977" si="513">I1977-I1976</f>
        <v>-3</v>
      </c>
      <c r="K1977" t="str">
        <f t="shared" si="452"/>
        <v>L</v>
      </c>
      <c r="L1977" t="str">
        <f t="shared" ref="L1977:L2080" si="514">D1977</f>
        <v>David</v>
      </c>
      <c r="M1977" t="str">
        <f>VLOOKUP(L1977,References!$A$2:$B$16,2,FALSE)</f>
        <v>TEXAROK</v>
      </c>
      <c r="N1977" s="19" t="str">
        <f t="shared" ref="N1977" si="515">IF(M1977=M1976,"N","Y")</f>
        <v>N</v>
      </c>
      <c r="O1977">
        <f t="shared" ref="O1977" si="516">SUM(I1976:I1977)</f>
        <v>239</v>
      </c>
      <c r="P1977">
        <f t="shared" si="455"/>
        <v>121</v>
      </c>
    </row>
    <row r="1978" spans="1:16" hidden="1" x14ac:dyDescent="0.3">
      <c r="A1978" t="str">
        <f t="shared" si="447"/>
        <v>2025BR6</v>
      </c>
      <c r="B1978">
        <f t="shared" si="448"/>
        <v>1978</v>
      </c>
      <c r="C1978">
        <f t="shared" si="449"/>
        <v>1767</v>
      </c>
      <c r="D1978" t="s">
        <v>25</v>
      </c>
      <c r="E1978" t="str">
        <f t="shared" ref="E1978:E1990" si="517">D1979</f>
        <v>Grayson</v>
      </c>
      <c r="F1978">
        <v>2025</v>
      </c>
      <c r="G1978">
        <v>6</v>
      </c>
      <c r="H1978">
        <v>6.1</v>
      </c>
      <c r="I1978">
        <v>69</v>
      </c>
      <c r="J1978">
        <f t="shared" ref="J1978" si="518">I1978-I1979</f>
        <v>-50</v>
      </c>
      <c r="K1978" t="str">
        <f t="shared" si="452"/>
        <v>L</v>
      </c>
      <c r="L1978" t="str">
        <f t="shared" si="514"/>
        <v>BR</v>
      </c>
      <c r="M1978" t="str">
        <f>VLOOKUP(L1978,References!$A$2:$B$16,2,FALSE)</f>
        <v>AKCOVA</v>
      </c>
      <c r="N1978" s="19" t="str">
        <f t="shared" ref="N1978" si="519">IF(M1978=M1979,"N","Y")</f>
        <v>Y</v>
      </c>
      <c r="O1978">
        <f t="shared" ref="O1978" si="520">SUM(I1978:I1979)</f>
        <v>188</v>
      </c>
      <c r="P1978">
        <f t="shared" si="455"/>
        <v>119</v>
      </c>
    </row>
    <row r="1979" spans="1:16" hidden="1" x14ac:dyDescent="0.3">
      <c r="A1979" t="str">
        <f t="shared" si="447"/>
        <v>2025Grayson6</v>
      </c>
      <c r="B1979">
        <f t="shared" si="448"/>
        <v>107</v>
      </c>
      <c r="C1979">
        <f t="shared" si="449"/>
        <v>248</v>
      </c>
      <c r="D1979" t="s">
        <v>473</v>
      </c>
      <c r="E1979" t="str">
        <f t="shared" ref="E1979:E1991" si="521">D1978</f>
        <v>BR</v>
      </c>
      <c r="F1979">
        <v>2025</v>
      </c>
      <c r="G1979">
        <v>6</v>
      </c>
      <c r="H1979">
        <v>6.2</v>
      </c>
      <c r="I1979">
        <v>119</v>
      </c>
      <c r="J1979">
        <f t="shared" ref="J1979" si="522">I1979-I1978</f>
        <v>50</v>
      </c>
      <c r="K1979" t="str">
        <f t="shared" si="452"/>
        <v>W</v>
      </c>
      <c r="L1979" t="str">
        <f t="shared" si="514"/>
        <v>Grayson</v>
      </c>
      <c r="M1979" t="str">
        <f>VLOOKUP(L1979,References!$A$2:$B$16,2,FALSE)</f>
        <v>TEXAROK</v>
      </c>
      <c r="N1979" s="19" t="str">
        <f t="shared" ref="N1979" si="523">IF(M1979=M1978,"N","Y")</f>
        <v>Y</v>
      </c>
      <c r="O1979">
        <f t="shared" ref="O1979" si="524">SUM(I1978:I1979)</f>
        <v>188</v>
      </c>
      <c r="P1979">
        <f t="shared" si="455"/>
        <v>69</v>
      </c>
    </row>
    <row r="1980" spans="1:16" hidden="1" x14ac:dyDescent="0.3">
      <c r="A1980" t="str">
        <f t="shared" si="447"/>
        <v>2025Brian6</v>
      </c>
      <c r="B1980">
        <f t="shared" si="448"/>
        <v>124</v>
      </c>
      <c r="C1980">
        <f t="shared" si="449"/>
        <v>652</v>
      </c>
      <c r="D1980" t="s">
        <v>26</v>
      </c>
      <c r="E1980" t="str">
        <f t="shared" ref="E1980:E1992" si="525">D1981</f>
        <v>Watty</v>
      </c>
      <c r="F1980">
        <v>2025</v>
      </c>
      <c r="G1980">
        <v>6</v>
      </c>
      <c r="H1980">
        <v>7.1</v>
      </c>
      <c r="I1980">
        <v>101</v>
      </c>
      <c r="J1980">
        <f t="shared" ref="J1980" si="526">I1980-I1981</f>
        <v>47</v>
      </c>
      <c r="K1980" t="str">
        <f t="shared" si="452"/>
        <v>W</v>
      </c>
      <c r="L1980" t="str">
        <f t="shared" si="514"/>
        <v>Brian</v>
      </c>
      <c r="M1980" t="str">
        <f>VLOOKUP(L1980,References!$A$2:$B$16,2,FALSE)</f>
        <v>TEXAROK</v>
      </c>
      <c r="N1980" s="19" t="str">
        <f t="shared" ref="N1980" si="527">IF(M1980=M1981,"N","Y")</f>
        <v>Y</v>
      </c>
      <c r="O1980">
        <f t="shared" ref="O1980" si="528">SUM(I1980:I1981)</f>
        <v>155</v>
      </c>
      <c r="P1980">
        <f t="shared" si="455"/>
        <v>54</v>
      </c>
    </row>
    <row r="1981" spans="1:16" hidden="1" x14ac:dyDescent="0.3">
      <c r="A1981" t="str">
        <f t="shared" si="447"/>
        <v>2025Watty6</v>
      </c>
      <c r="B1981">
        <f t="shared" si="448"/>
        <v>1964</v>
      </c>
      <c r="C1981">
        <f t="shared" si="449"/>
        <v>2017</v>
      </c>
      <c r="D1981" t="s">
        <v>24</v>
      </c>
      <c r="E1981" t="str">
        <f t="shared" ref="E1981:E1993" si="529">D1980</f>
        <v>Brian</v>
      </c>
      <c r="F1981">
        <v>2025</v>
      </c>
      <c r="G1981">
        <v>6</v>
      </c>
      <c r="H1981">
        <v>7.2</v>
      </c>
      <c r="I1981">
        <v>54</v>
      </c>
      <c r="J1981">
        <f t="shared" ref="J1981" si="530">I1981-I1980</f>
        <v>-47</v>
      </c>
      <c r="K1981" t="str">
        <f t="shared" si="452"/>
        <v>L</v>
      </c>
      <c r="L1981" t="str">
        <f t="shared" si="514"/>
        <v>Watty</v>
      </c>
      <c r="M1981" t="str">
        <f>VLOOKUP(L1981,References!$A$2:$B$16,2,FALSE)</f>
        <v>AKCOVA</v>
      </c>
      <c r="N1981" s="19" t="str">
        <f t="shared" ref="N1981" si="531">IF(M1981=M1980,"N","Y")</f>
        <v>Y</v>
      </c>
      <c r="O1981">
        <f t="shared" ref="O1981" si="532">SUM(I1980:I1981)</f>
        <v>155</v>
      </c>
      <c r="P1981">
        <f t="shared" si="455"/>
        <v>101</v>
      </c>
    </row>
    <row r="1982" spans="1:16" x14ac:dyDescent="0.3">
      <c r="A1982" t="str">
        <f t="shared" ref="A1982:A1995" si="533">F1982&amp;D1982&amp;G1982</f>
        <v>2025Michael7</v>
      </c>
      <c r="B1982">
        <f t="shared" ref="B1982:B1995" si="534">RANK(J1982,diff)</f>
        <v>1975</v>
      </c>
      <c r="C1982">
        <f t="shared" ref="C1982:C1995" si="535">RANK(I1982,points)</f>
        <v>1210</v>
      </c>
      <c r="D1982" t="s">
        <v>23</v>
      </c>
      <c r="E1982" t="str">
        <f t="shared" si="508"/>
        <v>Russell</v>
      </c>
      <c r="F1982">
        <v>2025</v>
      </c>
      <c r="G1982">
        <v>7</v>
      </c>
      <c r="H1982">
        <v>1.1000000000000001</v>
      </c>
      <c r="I1982">
        <v>85</v>
      </c>
      <c r="J1982">
        <f t="shared" ref="J1982:J1994" si="536">I1982-I1983</f>
        <v>-49</v>
      </c>
      <c r="K1982" t="str">
        <f t="shared" ref="K1982:K1995" si="537">IF(J1982&gt;0,"W",IF(J1982&lt;0,"L","T"))</f>
        <v>L</v>
      </c>
      <c r="L1982" t="str">
        <f t="shared" si="514"/>
        <v>Michael</v>
      </c>
      <c r="M1982" t="str">
        <f>VLOOKUP(L1982,References!$A$2:$B$16,2,FALSE)</f>
        <v>AKCOVA</v>
      </c>
      <c r="N1982" s="19" t="str">
        <f t="shared" ref="N1982:N1994" si="538">IF(M1982=M1983,"N","Y")</f>
        <v>Y</v>
      </c>
      <c r="O1982">
        <f t="shared" ref="O1982" si="539">SUM(I1982:I1983)</f>
        <v>219</v>
      </c>
      <c r="P1982">
        <f t="shared" ref="P1982:P1995" si="540">I1982-J1982</f>
        <v>134</v>
      </c>
    </row>
    <row r="1983" spans="1:16" hidden="1" x14ac:dyDescent="0.3">
      <c r="A1983" t="str">
        <f t="shared" si="533"/>
        <v>2025Russell7</v>
      </c>
      <c r="B1983">
        <f t="shared" si="534"/>
        <v>116</v>
      </c>
      <c r="C1983">
        <f t="shared" si="535"/>
        <v>83</v>
      </c>
      <c r="D1983" t="s">
        <v>28</v>
      </c>
      <c r="E1983" t="str">
        <f t="shared" si="512"/>
        <v>Michael</v>
      </c>
      <c r="F1983">
        <v>2025</v>
      </c>
      <c r="G1983">
        <v>7</v>
      </c>
      <c r="H1983">
        <v>1.2</v>
      </c>
      <c r="I1983">
        <v>134</v>
      </c>
      <c r="J1983">
        <f t="shared" ref="J1983:J1995" si="541">I1983-I1982</f>
        <v>49</v>
      </c>
      <c r="K1983" t="str">
        <f t="shared" si="537"/>
        <v>W</v>
      </c>
      <c r="L1983" t="str">
        <f t="shared" si="514"/>
        <v>Russell</v>
      </c>
      <c r="M1983" t="str">
        <f>VLOOKUP(L1983,References!$A$2:$B$16,2,FALSE)</f>
        <v>TEXAROK</v>
      </c>
      <c r="N1983" s="19" t="str">
        <f t="shared" ref="N1983:N1995" si="542">IF(M1983=M1982,"N","Y")</f>
        <v>Y</v>
      </c>
      <c r="O1983">
        <f t="shared" ref="O1983" si="543">SUM(I1982:I1983)</f>
        <v>219</v>
      </c>
      <c r="P1983">
        <f t="shared" si="540"/>
        <v>85</v>
      </c>
    </row>
    <row r="1984" spans="1:16" hidden="1" x14ac:dyDescent="0.3">
      <c r="A1984" t="str">
        <f t="shared" si="533"/>
        <v>2025Emily7</v>
      </c>
      <c r="B1984">
        <f t="shared" si="534"/>
        <v>254</v>
      </c>
      <c r="C1984">
        <f t="shared" si="535"/>
        <v>83</v>
      </c>
      <c r="D1984" t="s">
        <v>43</v>
      </c>
      <c r="E1984" t="str">
        <f t="shared" si="517"/>
        <v>Mark</v>
      </c>
      <c r="F1984">
        <v>2025</v>
      </c>
      <c r="G1984">
        <v>7</v>
      </c>
      <c r="H1984">
        <v>2.1</v>
      </c>
      <c r="I1984">
        <v>134</v>
      </c>
      <c r="J1984">
        <f t="shared" ref="J1984:J1990" si="544">I1984-I1985</f>
        <v>35</v>
      </c>
      <c r="K1984" t="str">
        <f t="shared" si="537"/>
        <v>W</v>
      </c>
      <c r="L1984" t="str">
        <f t="shared" si="514"/>
        <v>Emily</v>
      </c>
      <c r="M1984" t="str">
        <f>VLOOKUP(L1984,References!$A$2:$B$16,2,FALSE)</f>
        <v>TEXAROK</v>
      </c>
      <c r="N1984" s="19" t="str">
        <f t="shared" ref="N1984:N1990" si="545">IF(M1984=M1985,"N","Y")</f>
        <v>Y</v>
      </c>
      <c r="O1984">
        <f t="shared" ref="O1984" si="546">SUM(I1984:I1985)</f>
        <v>233</v>
      </c>
      <c r="P1984">
        <f t="shared" si="540"/>
        <v>99</v>
      </c>
    </row>
    <row r="1985" spans="1:16" hidden="1" x14ac:dyDescent="0.3">
      <c r="A1985" t="str">
        <f t="shared" si="533"/>
        <v>2025Mark7</v>
      </c>
      <c r="B1985">
        <f t="shared" si="534"/>
        <v>1832</v>
      </c>
      <c r="C1985">
        <f t="shared" si="535"/>
        <v>714</v>
      </c>
      <c r="D1985" t="s">
        <v>22</v>
      </c>
      <c r="E1985" t="str">
        <f t="shared" si="521"/>
        <v>Emily</v>
      </c>
      <c r="F1985">
        <v>2025</v>
      </c>
      <c r="G1985">
        <v>7</v>
      </c>
      <c r="H1985">
        <v>2.2000000000000002</v>
      </c>
      <c r="I1985">
        <v>99</v>
      </c>
      <c r="J1985">
        <f t="shared" ref="J1985:J1991" si="547">I1985-I1984</f>
        <v>-35</v>
      </c>
      <c r="K1985" t="str">
        <f t="shared" si="537"/>
        <v>L</v>
      </c>
      <c r="L1985" t="str">
        <f t="shared" si="514"/>
        <v>Mark</v>
      </c>
      <c r="M1985" t="str">
        <f>VLOOKUP(L1985,References!$A$2:$B$16,2,FALSE)</f>
        <v>AKCOVA</v>
      </c>
      <c r="N1985" s="19" t="str">
        <f t="shared" ref="N1985:N1991" si="548">IF(M1985=M1984,"N","Y")</f>
        <v>Y</v>
      </c>
      <c r="O1985">
        <f t="shared" ref="O1985" si="549">SUM(I1984:I1985)</f>
        <v>233</v>
      </c>
      <c r="P1985">
        <f t="shared" si="540"/>
        <v>134</v>
      </c>
    </row>
    <row r="1986" spans="1:16" hidden="1" x14ac:dyDescent="0.3">
      <c r="A1986" t="str">
        <f t="shared" si="533"/>
        <v>2025Arnold7</v>
      </c>
      <c r="B1986">
        <f t="shared" si="534"/>
        <v>2042</v>
      </c>
      <c r="C1986">
        <f t="shared" si="535"/>
        <v>1738</v>
      </c>
      <c r="D1986" t="s">
        <v>227</v>
      </c>
      <c r="E1986" t="str">
        <f t="shared" si="525"/>
        <v>Brent</v>
      </c>
      <c r="F1986">
        <v>2025</v>
      </c>
      <c r="G1986">
        <v>7</v>
      </c>
      <c r="H1986">
        <v>3.1</v>
      </c>
      <c r="I1986">
        <v>70</v>
      </c>
      <c r="J1986">
        <f t="shared" ref="J1986:J1992" si="550">I1986-I1987</f>
        <v>-61</v>
      </c>
      <c r="K1986" t="str">
        <f t="shared" si="537"/>
        <v>L</v>
      </c>
      <c r="L1986" t="str">
        <f t="shared" si="514"/>
        <v>Arnold</v>
      </c>
      <c r="M1986" t="str">
        <f>VLOOKUP(L1986,References!$A$2:$B$16,2,FALSE)</f>
        <v>AKCOVA</v>
      </c>
      <c r="N1986" s="19" t="str">
        <f t="shared" ref="N1986:N1992" si="551">IF(M1986=M1987,"N","Y")</f>
        <v>Y</v>
      </c>
      <c r="O1986">
        <f t="shared" ref="O1986" si="552">SUM(I1986:I1987)</f>
        <v>201</v>
      </c>
      <c r="P1986">
        <f t="shared" si="540"/>
        <v>131</v>
      </c>
    </row>
    <row r="1987" spans="1:16" hidden="1" x14ac:dyDescent="0.3">
      <c r="A1987" t="str">
        <f t="shared" si="533"/>
        <v>2025Brent7</v>
      </c>
      <c r="B1987">
        <f t="shared" si="534"/>
        <v>49</v>
      </c>
      <c r="C1987">
        <f t="shared" si="535"/>
        <v>102</v>
      </c>
      <c r="D1987" t="s">
        <v>47</v>
      </c>
      <c r="E1987" t="str">
        <f t="shared" si="529"/>
        <v>Arnold</v>
      </c>
      <c r="F1987">
        <v>2025</v>
      </c>
      <c r="G1987">
        <v>7</v>
      </c>
      <c r="H1987">
        <v>3.2</v>
      </c>
      <c r="I1987">
        <v>131</v>
      </c>
      <c r="J1987">
        <f t="shared" ref="J1987:J1993" si="553">I1987-I1986</f>
        <v>61</v>
      </c>
      <c r="K1987" t="str">
        <f t="shared" si="537"/>
        <v>W</v>
      </c>
      <c r="L1987" t="str">
        <f t="shared" si="514"/>
        <v>Brent</v>
      </c>
      <c r="M1987" t="str">
        <f>VLOOKUP(L1987,References!$A$2:$B$16,2,FALSE)</f>
        <v>TEXAROK</v>
      </c>
      <c r="N1987" s="19" t="str">
        <f t="shared" ref="N1987:N1993" si="554">IF(M1987=M1986,"N","Y")</f>
        <v>Y</v>
      </c>
      <c r="O1987">
        <f t="shared" ref="O1987" si="555">SUM(I1986:I1987)</f>
        <v>201</v>
      </c>
      <c r="P1987">
        <f t="shared" si="540"/>
        <v>70</v>
      </c>
    </row>
    <row r="1988" spans="1:16" hidden="1" x14ac:dyDescent="0.3">
      <c r="A1988" t="str">
        <f t="shared" si="533"/>
        <v>2025David7</v>
      </c>
      <c r="B1988">
        <f t="shared" si="534"/>
        <v>1357</v>
      </c>
      <c r="C1988">
        <f t="shared" si="535"/>
        <v>412</v>
      </c>
      <c r="D1988" t="s">
        <v>29</v>
      </c>
      <c r="E1988" t="str">
        <f t="shared" si="508"/>
        <v>Jordan</v>
      </c>
      <c r="F1988">
        <v>2025</v>
      </c>
      <c r="G1988">
        <v>7</v>
      </c>
      <c r="H1988">
        <v>4.0999999999999996</v>
      </c>
      <c r="I1988">
        <v>110</v>
      </c>
      <c r="J1988">
        <f t="shared" si="536"/>
        <v>-12</v>
      </c>
      <c r="K1988" t="str">
        <f t="shared" si="537"/>
        <v>L</v>
      </c>
      <c r="L1988" t="str">
        <f t="shared" si="514"/>
        <v>David</v>
      </c>
      <c r="M1988" t="str">
        <f>VLOOKUP(L1988,References!$A$2:$B$16,2,FALSE)</f>
        <v>TEXAROK</v>
      </c>
      <c r="N1988" s="19" t="str">
        <f t="shared" si="538"/>
        <v>Y</v>
      </c>
      <c r="O1988">
        <f t="shared" ref="O1988" si="556">SUM(I1988:I1989)</f>
        <v>232</v>
      </c>
      <c r="P1988">
        <f t="shared" si="540"/>
        <v>122</v>
      </c>
    </row>
    <row r="1989" spans="1:16" hidden="1" x14ac:dyDescent="0.3">
      <c r="A1989" t="str">
        <f t="shared" si="533"/>
        <v>2025Jordan7</v>
      </c>
      <c r="B1989">
        <f t="shared" si="534"/>
        <v>713</v>
      </c>
      <c r="C1989">
        <f t="shared" si="535"/>
        <v>197</v>
      </c>
      <c r="D1989" t="s">
        <v>472</v>
      </c>
      <c r="E1989" t="str">
        <f t="shared" si="512"/>
        <v>David</v>
      </c>
      <c r="F1989">
        <v>2025</v>
      </c>
      <c r="G1989">
        <v>7</v>
      </c>
      <c r="H1989">
        <v>4.2</v>
      </c>
      <c r="I1989">
        <v>122</v>
      </c>
      <c r="J1989">
        <f t="shared" si="541"/>
        <v>12</v>
      </c>
      <c r="K1989" t="str">
        <f t="shared" si="537"/>
        <v>W</v>
      </c>
      <c r="L1989" t="str">
        <f t="shared" si="514"/>
        <v>Jordan</v>
      </c>
      <c r="M1989" t="str">
        <f>VLOOKUP(L1989,References!$A$2:$B$16,2,FALSE)</f>
        <v>AKCOVA</v>
      </c>
      <c r="N1989" s="19" t="str">
        <f t="shared" si="542"/>
        <v>Y</v>
      </c>
      <c r="O1989">
        <f t="shared" ref="O1989" si="557">SUM(I1988:I1989)</f>
        <v>232</v>
      </c>
      <c r="P1989">
        <f t="shared" si="540"/>
        <v>110</v>
      </c>
    </row>
    <row r="1990" spans="1:16" hidden="1" x14ac:dyDescent="0.3">
      <c r="A1990" t="str">
        <f t="shared" si="533"/>
        <v>2025Grayson7</v>
      </c>
      <c r="B1990">
        <f t="shared" si="534"/>
        <v>660</v>
      </c>
      <c r="C1990">
        <f t="shared" si="535"/>
        <v>383</v>
      </c>
      <c r="D1990" t="s">
        <v>473</v>
      </c>
      <c r="E1990" t="str">
        <f t="shared" si="517"/>
        <v>Matt</v>
      </c>
      <c r="F1990">
        <v>2025</v>
      </c>
      <c r="G1990">
        <v>7</v>
      </c>
      <c r="H1990">
        <v>5.0999999999999996</v>
      </c>
      <c r="I1990">
        <v>111</v>
      </c>
      <c r="J1990">
        <f t="shared" si="544"/>
        <v>14</v>
      </c>
      <c r="K1990" t="str">
        <f t="shared" si="537"/>
        <v>W</v>
      </c>
      <c r="L1990" t="str">
        <f t="shared" si="514"/>
        <v>Grayson</v>
      </c>
      <c r="M1990" t="str">
        <f>VLOOKUP(L1990,References!$A$2:$B$16,2,FALSE)</f>
        <v>TEXAROK</v>
      </c>
      <c r="N1990" s="19" t="str">
        <f t="shared" si="545"/>
        <v>N</v>
      </c>
      <c r="O1990">
        <f t="shared" ref="O1990" si="558">SUM(I1990:I1991)</f>
        <v>208</v>
      </c>
      <c r="P1990">
        <f t="shared" si="540"/>
        <v>97</v>
      </c>
    </row>
    <row r="1991" spans="1:16" hidden="1" x14ac:dyDescent="0.3">
      <c r="A1991" t="str">
        <f t="shared" si="533"/>
        <v>2025Matt7</v>
      </c>
      <c r="B1991">
        <f t="shared" si="534"/>
        <v>1409</v>
      </c>
      <c r="C1991">
        <f t="shared" si="535"/>
        <v>777</v>
      </c>
      <c r="D1991" t="s">
        <v>30</v>
      </c>
      <c r="E1991" t="str">
        <f t="shared" si="521"/>
        <v>Grayson</v>
      </c>
      <c r="F1991">
        <v>2025</v>
      </c>
      <c r="G1991">
        <v>7</v>
      </c>
      <c r="H1991">
        <v>5.2</v>
      </c>
      <c r="I1991">
        <v>97</v>
      </c>
      <c r="J1991">
        <f t="shared" si="547"/>
        <v>-14</v>
      </c>
      <c r="K1991" t="str">
        <f t="shared" si="537"/>
        <v>L</v>
      </c>
      <c r="L1991" t="str">
        <f t="shared" si="514"/>
        <v>Matt</v>
      </c>
      <c r="M1991" t="str">
        <f>VLOOKUP(L1991,References!$A$2:$B$16,2,FALSE)</f>
        <v>TEXAROK</v>
      </c>
      <c r="N1991" s="19" t="str">
        <f t="shared" si="548"/>
        <v>N</v>
      </c>
      <c r="O1991">
        <f t="shared" ref="O1991" si="559">SUM(I1990:I1991)</f>
        <v>208</v>
      </c>
      <c r="P1991">
        <f t="shared" si="540"/>
        <v>111</v>
      </c>
    </row>
    <row r="1992" spans="1:16" hidden="1" x14ac:dyDescent="0.3">
      <c r="A1992" t="str">
        <f t="shared" si="533"/>
        <v>2025Watty7</v>
      </c>
      <c r="B1992">
        <f t="shared" si="534"/>
        <v>356</v>
      </c>
      <c r="C1992">
        <f t="shared" si="535"/>
        <v>566</v>
      </c>
      <c r="D1992" t="s">
        <v>24</v>
      </c>
      <c r="E1992" t="str">
        <f t="shared" si="525"/>
        <v>BR</v>
      </c>
      <c r="F1992">
        <v>2025</v>
      </c>
      <c r="G1992">
        <v>7</v>
      </c>
      <c r="H1992">
        <v>6.1</v>
      </c>
      <c r="I1992">
        <v>104</v>
      </c>
      <c r="J1992">
        <f t="shared" si="550"/>
        <v>28</v>
      </c>
      <c r="K1992" t="str">
        <f t="shared" si="537"/>
        <v>W</v>
      </c>
      <c r="L1992" t="str">
        <f t="shared" si="514"/>
        <v>Watty</v>
      </c>
      <c r="M1992" t="str">
        <f>VLOOKUP(L1992,References!$A$2:$B$16,2,FALSE)</f>
        <v>AKCOVA</v>
      </c>
      <c r="N1992" s="19" t="str">
        <f t="shared" si="551"/>
        <v>N</v>
      </c>
      <c r="O1992">
        <f t="shared" ref="O1992" si="560">SUM(I1992:I1993)</f>
        <v>180</v>
      </c>
      <c r="P1992">
        <f t="shared" si="540"/>
        <v>76</v>
      </c>
    </row>
    <row r="1993" spans="1:16" hidden="1" x14ac:dyDescent="0.3">
      <c r="A1993" t="str">
        <f t="shared" si="533"/>
        <v>2025BR7</v>
      </c>
      <c r="B1993">
        <f t="shared" si="534"/>
        <v>1723</v>
      </c>
      <c r="C1993">
        <f t="shared" si="535"/>
        <v>1549</v>
      </c>
      <c r="D1993" t="s">
        <v>25</v>
      </c>
      <c r="E1993" t="str">
        <f t="shared" si="529"/>
        <v>Watty</v>
      </c>
      <c r="F1993">
        <v>2025</v>
      </c>
      <c r="G1993">
        <v>7</v>
      </c>
      <c r="H1993">
        <v>6.2</v>
      </c>
      <c r="I1993">
        <v>76</v>
      </c>
      <c r="J1993">
        <f t="shared" si="553"/>
        <v>-28</v>
      </c>
      <c r="K1993" t="str">
        <f t="shared" si="537"/>
        <v>L</v>
      </c>
      <c r="L1993" t="str">
        <f t="shared" si="514"/>
        <v>BR</v>
      </c>
      <c r="M1993" t="str">
        <f>VLOOKUP(L1993,References!$A$2:$B$16,2,FALSE)</f>
        <v>AKCOVA</v>
      </c>
      <c r="N1993" s="19" t="str">
        <f t="shared" si="554"/>
        <v>N</v>
      </c>
      <c r="O1993">
        <f t="shared" ref="O1993" si="561">SUM(I1992:I1993)</f>
        <v>180</v>
      </c>
      <c r="P1993">
        <f t="shared" si="540"/>
        <v>104</v>
      </c>
    </row>
    <row r="1994" spans="1:16" hidden="1" x14ac:dyDescent="0.3">
      <c r="A1994" t="str">
        <f t="shared" si="533"/>
        <v>2025Charles7</v>
      </c>
      <c r="B1994">
        <f t="shared" si="534"/>
        <v>1177</v>
      </c>
      <c r="C1994">
        <f t="shared" si="535"/>
        <v>102</v>
      </c>
      <c r="D1994" t="s">
        <v>48</v>
      </c>
      <c r="E1994" t="str">
        <f t="shared" si="508"/>
        <v>Brian</v>
      </c>
      <c r="F1994">
        <v>2025</v>
      </c>
      <c r="G1994">
        <v>7</v>
      </c>
      <c r="H1994">
        <v>7.1</v>
      </c>
      <c r="I1994">
        <v>131</v>
      </c>
      <c r="J1994">
        <f t="shared" si="536"/>
        <v>-5</v>
      </c>
      <c r="K1994" t="str">
        <f t="shared" si="537"/>
        <v>L</v>
      </c>
      <c r="L1994" t="str">
        <f t="shared" si="514"/>
        <v>Charles</v>
      </c>
      <c r="M1994" t="str">
        <f>VLOOKUP(L1994,References!$A$2:$B$16,2,FALSE)</f>
        <v>AKCOVA</v>
      </c>
      <c r="N1994" s="19" t="str">
        <f t="shared" si="538"/>
        <v>Y</v>
      </c>
      <c r="O1994">
        <f t="shared" ref="O1994" si="562">SUM(I1994:I1995)</f>
        <v>267</v>
      </c>
      <c r="P1994">
        <f t="shared" si="540"/>
        <v>136</v>
      </c>
    </row>
    <row r="1995" spans="1:16" hidden="1" x14ac:dyDescent="0.3">
      <c r="A1995" t="str">
        <f t="shared" si="533"/>
        <v>2025Brian7</v>
      </c>
      <c r="B1995">
        <f t="shared" si="534"/>
        <v>897</v>
      </c>
      <c r="C1995">
        <f t="shared" si="535"/>
        <v>73</v>
      </c>
      <c r="D1995" t="s">
        <v>26</v>
      </c>
      <c r="E1995" t="str">
        <f t="shared" si="512"/>
        <v>Charles</v>
      </c>
      <c r="F1995">
        <v>2025</v>
      </c>
      <c r="G1995">
        <v>7</v>
      </c>
      <c r="H1995">
        <v>7.2</v>
      </c>
      <c r="I1995">
        <v>136</v>
      </c>
      <c r="J1995">
        <f t="shared" si="541"/>
        <v>5</v>
      </c>
      <c r="K1995" t="str">
        <f t="shared" si="537"/>
        <v>W</v>
      </c>
      <c r="L1995" t="str">
        <f t="shared" si="514"/>
        <v>Brian</v>
      </c>
      <c r="M1995" t="str">
        <f>VLOOKUP(L1995,References!$A$2:$B$16,2,FALSE)</f>
        <v>TEXAROK</v>
      </c>
      <c r="N1995" s="19" t="str">
        <f t="shared" si="542"/>
        <v>Y</v>
      </c>
      <c r="O1995">
        <f t="shared" ref="O1995" si="563">SUM(I1994:I1995)</f>
        <v>267</v>
      </c>
      <c r="P1995">
        <f t="shared" si="540"/>
        <v>131</v>
      </c>
    </row>
    <row r="1996" spans="1:16" hidden="1" x14ac:dyDescent="0.3">
      <c r="A1996" t="str">
        <f t="shared" ref="A1996:A2051" si="564">F1996&amp;D1996&amp;G1996</f>
        <v>2025Grayson8</v>
      </c>
      <c r="B1996">
        <f t="shared" ref="B1996:B2051" si="565">RANK(J1996,diff)</f>
        <v>70</v>
      </c>
      <c r="C1996">
        <f t="shared" ref="C1996:C2051" si="566">RANK(I1996,points)</f>
        <v>186</v>
      </c>
      <c r="D1996" t="s">
        <v>473</v>
      </c>
      <c r="E1996" t="str">
        <f t="shared" ref="E1996:E2048" si="567">D1997</f>
        <v>Michael</v>
      </c>
      <c r="F1996">
        <v>2025</v>
      </c>
      <c r="G1996">
        <v>8</v>
      </c>
      <c r="H1996">
        <v>1.1000000000000001</v>
      </c>
      <c r="I1996">
        <v>123</v>
      </c>
      <c r="J1996">
        <f t="shared" ref="J1996" si="568">I1996-I1997</f>
        <v>57</v>
      </c>
      <c r="K1996" t="str">
        <f t="shared" ref="K1996:K2051" si="569">IF(J1996&gt;0,"W",IF(J1996&lt;0,"L","T"))</f>
        <v>W</v>
      </c>
      <c r="L1996" t="str">
        <f t="shared" si="514"/>
        <v>Grayson</v>
      </c>
      <c r="M1996" t="str">
        <f>VLOOKUP(L1996,References!$A$2:$B$16,2,FALSE)</f>
        <v>TEXAROK</v>
      </c>
      <c r="N1996" s="19" t="str">
        <f t="shared" ref="N1996" si="570">IF(M1996=M1997,"N","Y")</f>
        <v>Y</v>
      </c>
      <c r="O1996">
        <f t="shared" ref="O1996" si="571">SUM(I1996:I1997)</f>
        <v>189</v>
      </c>
      <c r="P1996">
        <f t="shared" ref="P1996:P2051" si="572">I1996-J1996</f>
        <v>66</v>
      </c>
    </row>
    <row r="1997" spans="1:16" hidden="1" x14ac:dyDescent="0.3">
      <c r="A1997" t="str">
        <f t="shared" si="564"/>
        <v>2025Michael8</v>
      </c>
      <c r="B1997">
        <f t="shared" si="565"/>
        <v>2018</v>
      </c>
      <c r="C1997">
        <f t="shared" si="566"/>
        <v>1833</v>
      </c>
      <c r="D1997" t="s">
        <v>23</v>
      </c>
      <c r="E1997" t="str">
        <f t="shared" ref="E1997:E2049" si="573">D1996</f>
        <v>Grayson</v>
      </c>
      <c r="F1997">
        <v>2025</v>
      </c>
      <c r="G1997">
        <v>8</v>
      </c>
      <c r="H1997">
        <v>1.2</v>
      </c>
      <c r="I1997">
        <v>66</v>
      </c>
      <c r="J1997">
        <f t="shared" ref="J1997" si="574">I1997-I1996</f>
        <v>-57</v>
      </c>
      <c r="K1997" t="str">
        <f t="shared" si="569"/>
        <v>L</v>
      </c>
      <c r="L1997" t="str">
        <f t="shared" si="514"/>
        <v>Michael</v>
      </c>
      <c r="M1997" t="str">
        <f>VLOOKUP(L1997,References!$A$2:$B$16,2,FALSE)</f>
        <v>AKCOVA</v>
      </c>
      <c r="N1997" s="19" t="str">
        <f t="shared" ref="N1997" si="575">IF(M1997=M1996,"N","Y")</f>
        <v>Y</v>
      </c>
      <c r="O1997">
        <f t="shared" ref="O1997" si="576">SUM(I1996:I1997)</f>
        <v>189</v>
      </c>
      <c r="P1997">
        <f t="shared" si="572"/>
        <v>123</v>
      </c>
    </row>
    <row r="1998" spans="1:16" hidden="1" x14ac:dyDescent="0.3">
      <c r="A1998" t="str">
        <f t="shared" si="564"/>
        <v>2025BR8</v>
      </c>
      <c r="B1998">
        <f t="shared" si="565"/>
        <v>917</v>
      </c>
      <c r="C1998">
        <f t="shared" si="566"/>
        <v>746</v>
      </c>
      <c r="D1998" t="s">
        <v>25</v>
      </c>
      <c r="E1998" t="str">
        <f t="shared" ref="E1998:E2058" si="577">D1999</f>
        <v>Charles</v>
      </c>
      <c r="F1998">
        <v>2025</v>
      </c>
      <c r="G1998">
        <v>8</v>
      </c>
      <c r="H1998">
        <v>2.1</v>
      </c>
      <c r="I1998">
        <v>98</v>
      </c>
      <c r="J1998">
        <f t="shared" ref="J1998" si="578">I1998-I1999</f>
        <v>4</v>
      </c>
      <c r="K1998" t="str">
        <f t="shared" si="569"/>
        <v>W</v>
      </c>
      <c r="L1998" t="str">
        <f t="shared" si="514"/>
        <v>BR</v>
      </c>
      <c r="M1998" t="str">
        <f>VLOOKUP(L1998,References!$A$2:$B$16,2,FALSE)</f>
        <v>AKCOVA</v>
      </c>
      <c r="N1998" s="19" t="str">
        <f t="shared" ref="N1998" si="579">IF(M1998=M1999,"N","Y")</f>
        <v>N</v>
      </c>
      <c r="O1998">
        <f t="shared" ref="O1998" si="580">SUM(I1998:I1999)</f>
        <v>192</v>
      </c>
      <c r="P1998">
        <f t="shared" si="572"/>
        <v>94</v>
      </c>
    </row>
    <row r="1999" spans="1:16" hidden="1" x14ac:dyDescent="0.3">
      <c r="A1999" t="str">
        <f t="shared" si="564"/>
        <v>2025Charles8</v>
      </c>
      <c r="B1999">
        <f t="shared" si="565"/>
        <v>1145</v>
      </c>
      <c r="C1999">
        <f t="shared" si="566"/>
        <v>893</v>
      </c>
      <c r="D1999" t="s">
        <v>48</v>
      </c>
      <c r="E1999" t="str">
        <f t="shared" ref="E1999:E2059" si="581">D1998</f>
        <v>BR</v>
      </c>
      <c r="F1999">
        <v>2025</v>
      </c>
      <c r="G1999">
        <v>8</v>
      </c>
      <c r="H1999">
        <v>2.2000000000000002</v>
      </c>
      <c r="I1999">
        <v>94</v>
      </c>
      <c r="J1999">
        <f t="shared" ref="J1999" si="582">I1999-I1998</f>
        <v>-4</v>
      </c>
      <c r="K1999" t="str">
        <f t="shared" si="569"/>
        <v>L</v>
      </c>
      <c r="L1999" t="str">
        <f t="shared" si="514"/>
        <v>Charles</v>
      </c>
      <c r="M1999" t="str">
        <f>VLOOKUP(L1999,References!$A$2:$B$16,2,FALSE)</f>
        <v>AKCOVA</v>
      </c>
      <c r="N1999" s="19" t="str">
        <f t="shared" ref="N1999" si="583">IF(M1999=M1998,"N","Y")</f>
        <v>N</v>
      </c>
      <c r="O1999">
        <f t="shared" ref="O1999" si="584">SUM(I1998:I1999)</f>
        <v>192</v>
      </c>
      <c r="P1999">
        <f t="shared" si="572"/>
        <v>98</v>
      </c>
    </row>
    <row r="2000" spans="1:16" hidden="1" x14ac:dyDescent="0.3">
      <c r="A2000" t="str">
        <f t="shared" si="564"/>
        <v>2025Jordan8</v>
      </c>
      <c r="B2000">
        <f t="shared" si="565"/>
        <v>1055</v>
      </c>
      <c r="C2000">
        <f t="shared" si="566"/>
        <v>486</v>
      </c>
      <c r="D2000" t="s">
        <v>472</v>
      </c>
      <c r="E2000" t="str">
        <f t="shared" si="567"/>
        <v>Arnold</v>
      </c>
      <c r="F2000">
        <v>2025</v>
      </c>
      <c r="G2000">
        <v>8</v>
      </c>
      <c r="H2000">
        <v>3.1</v>
      </c>
      <c r="I2000">
        <v>107</v>
      </c>
      <c r="J2000">
        <f t="shared" ref="J2000" si="585">I2000-I2001</f>
        <v>-1</v>
      </c>
      <c r="K2000" t="str">
        <f t="shared" si="569"/>
        <v>L</v>
      </c>
      <c r="L2000" t="str">
        <f t="shared" si="514"/>
        <v>Jordan</v>
      </c>
      <c r="M2000" t="str">
        <f>VLOOKUP(L2000,References!$A$2:$B$16,2,FALSE)</f>
        <v>AKCOVA</v>
      </c>
      <c r="N2000" s="19" t="str">
        <f t="shared" ref="N2000" si="586">IF(M2000=M2001,"N","Y")</f>
        <v>N</v>
      </c>
      <c r="O2000">
        <f t="shared" ref="O2000" si="587">SUM(I2000:I2001)</f>
        <v>215</v>
      </c>
      <c r="P2000">
        <f t="shared" si="572"/>
        <v>108</v>
      </c>
    </row>
    <row r="2001" spans="1:16" hidden="1" x14ac:dyDescent="0.3">
      <c r="A2001" t="str">
        <f t="shared" si="564"/>
        <v>2025Arnold8</v>
      </c>
      <c r="B2001">
        <f t="shared" si="565"/>
        <v>1004</v>
      </c>
      <c r="C2001">
        <f t="shared" si="566"/>
        <v>462</v>
      </c>
      <c r="D2001" t="s">
        <v>227</v>
      </c>
      <c r="E2001" t="str">
        <f t="shared" si="573"/>
        <v>Jordan</v>
      </c>
      <c r="F2001">
        <v>2025</v>
      </c>
      <c r="G2001">
        <v>8</v>
      </c>
      <c r="H2001">
        <v>3.2</v>
      </c>
      <c r="I2001">
        <v>108</v>
      </c>
      <c r="J2001">
        <f t="shared" ref="J2001" si="588">I2001-I2000</f>
        <v>1</v>
      </c>
      <c r="K2001" t="str">
        <f t="shared" si="569"/>
        <v>W</v>
      </c>
      <c r="L2001" t="str">
        <f t="shared" si="514"/>
        <v>Arnold</v>
      </c>
      <c r="M2001" t="str">
        <f>VLOOKUP(L2001,References!$A$2:$B$16,2,FALSE)</f>
        <v>AKCOVA</v>
      </c>
      <c r="N2001" s="19" t="str">
        <f t="shared" ref="N2001" si="589">IF(M2001=M2000,"N","Y")</f>
        <v>N</v>
      </c>
      <c r="O2001">
        <f t="shared" ref="O2001" si="590">SUM(I2000:I2001)</f>
        <v>215</v>
      </c>
      <c r="P2001">
        <f t="shared" si="572"/>
        <v>107</v>
      </c>
    </row>
    <row r="2002" spans="1:16" hidden="1" x14ac:dyDescent="0.3">
      <c r="A2002" t="str">
        <f t="shared" si="564"/>
        <v>2025Brian8</v>
      </c>
      <c r="B2002">
        <f t="shared" si="565"/>
        <v>571</v>
      </c>
      <c r="C2002">
        <f t="shared" si="566"/>
        <v>1241</v>
      </c>
      <c r="D2002" t="s">
        <v>26</v>
      </c>
      <c r="E2002" t="str">
        <f t="shared" si="577"/>
        <v>Emily</v>
      </c>
      <c r="F2002">
        <v>2025</v>
      </c>
      <c r="G2002">
        <v>8</v>
      </c>
      <c r="H2002">
        <v>4.0999999999999996</v>
      </c>
      <c r="I2002">
        <v>84</v>
      </c>
      <c r="J2002">
        <f t="shared" ref="J2002" si="591">I2002-I2003</f>
        <v>18</v>
      </c>
      <c r="K2002" t="str">
        <f t="shared" si="569"/>
        <v>W</v>
      </c>
      <c r="L2002" t="str">
        <f t="shared" si="514"/>
        <v>Brian</v>
      </c>
      <c r="M2002" t="str">
        <f>VLOOKUP(L2002,References!$A$2:$B$16,2,FALSE)</f>
        <v>TEXAROK</v>
      </c>
      <c r="N2002" s="19" t="str">
        <f t="shared" ref="N2002" si="592">IF(M2002=M2003,"N","Y")</f>
        <v>N</v>
      </c>
      <c r="O2002">
        <f t="shared" ref="O2002" si="593">SUM(I2002:I2003)</f>
        <v>150</v>
      </c>
      <c r="P2002">
        <f t="shared" si="572"/>
        <v>66</v>
      </c>
    </row>
    <row r="2003" spans="1:16" hidden="1" x14ac:dyDescent="0.3">
      <c r="A2003" t="str">
        <f t="shared" si="564"/>
        <v>2025Emily8</v>
      </c>
      <c r="B2003">
        <f t="shared" si="565"/>
        <v>1497</v>
      </c>
      <c r="C2003">
        <f t="shared" si="566"/>
        <v>1833</v>
      </c>
      <c r="D2003" t="s">
        <v>43</v>
      </c>
      <c r="E2003" t="str">
        <f t="shared" si="581"/>
        <v>Brian</v>
      </c>
      <c r="F2003">
        <v>2025</v>
      </c>
      <c r="G2003">
        <v>8</v>
      </c>
      <c r="H2003">
        <v>4.2</v>
      </c>
      <c r="I2003">
        <v>66</v>
      </c>
      <c r="J2003">
        <f t="shared" ref="J2003" si="594">I2003-I2002</f>
        <v>-18</v>
      </c>
      <c r="K2003" t="str">
        <f t="shared" si="569"/>
        <v>L</v>
      </c>
      <c r="L2003" t="str">
        <f t="shared" si="514"/>
        <v>Emily</v>
      </c>
      <c r="M2003" t="str">
        <f>VLOOKUP(L2003,References!$A$2:$B$16,2,FALSE)</f>
        <v>TEXAROK</v>
      </c>
      <c r="N2003" s="19" t="str">
        <f t="shared" ref="N2003" si="595">IF(M2003=M2002,"N","Y")</f>
        <v>N</v>
      </c>
      <c r="O2003">
        <f t="shared" ref="O2003" si="596">SUM(I2002:I2003)</f>
        <v>150</v>
      </c>
      <c r="P2003">
        <f t="shared" si="572"/>
        <v>84</v>
      </c>
    </row>
    <row r="2004" spans="1:16" hidden="1" x14ac:dyDescent="0.3">
      <c r="A2004" t="str">
        <f t="shared" si="564"/>
        <v>2025Mark8</v>
      </c>
      <c r="B2004">
        <f t="shared" si="565"/>
        <v>31</v>
      </c>
      <c r="C2004">
        <f t="shared" si="566"/>
        <v>5</v>
      </c>
      <c r="D2004" t="s">
        <v>22</v>
      </c>
      <c r="E2004" t="str">
        <f t="shared" si="567"/>
        <v>David</v>
      </c>
      <c r="F2004">
        <v>2025</v>
      </c>
      <c r="G2004">
        <v>8</v>
      </c>
      <c r="H2004">
        <v>5.0999999999999996</v>
      </c>
      <c r="I2004">
        <v>167</v>
      </c>
      <c r="J2004">
        <f t="shared" ref="J2004" si="597">I2004-I2005</f>
        <v>66</v>
      </c>
      <c r="K2004" t="str">
        <f t="shared" si="569"/>
        <v>W</v>
      </c>
      <c r="L2004" t="str">
        <f t="shared" si="514"/>
        <v>Mark</v>
      </c>
      <c r="M2004" t="str">
        <f>VLOOKUP(L2004,References!$A$2:$B$16,2,FALSE)</f>
        <v>AKCOVA</v>
      </c>
      <c r="N2004" s="19" t="str">
        <f t="shared" ref="N2004" si="598">IF(M2004=M2005,"N","Y")</f>
        <v>Y</v>
      </c>
      <c r="O2004">
        <f t="shared" ref="O2004" si="599">SUM(I2004:I2005)</f>
        <v>268</v>
      </c>
      <c r="P2004">
        <f t="shared" si="572"/>
        <v>101</v>
      </c>
    </row>
    <row r="2005" spans="1:16" hidden="1" x14ac:dyDescent="0.3">
      <c r="A2005" t="str">
        <f t="shared" si="564"/>
        <v>2025David8</v>
      </c>
      <c r="B2005">
        <f t="shared" si="565"/>
        <v>2059</v>
      </c>
      <c r="C2005">
        <f t="shared" si="566"/>
        <v>652</v>
      </c>
      <c r="D2005" t="s">
        <v>29</v>
      </c>
      <c r="E2005" t="str">
        <f t="shared" si="573"/>
        <v>Mark</v>
      </c>
      <c r="F2005">
        <v>2025</v>
      </c>
      <c r="G2005">
        <v>8</v>
      </c>
      <c r="H2005">
        <v>5.2</v>
      </c>
      <c r="I2005">
        <v>101</v>
      </c>
      <c r="J2005">
        <f t="shared" ref="J2005" si="600">I2005-I2004</f>
        <v>-66</v>
      </c>
      <c r="K2005" t="str">
        <f t="shared" si="569"/>
        <v>L</v>
      </c>
      <c r="L2005" t="str">
        <f t="shared" si="514"/>
        <v>David</v>
      </c>
      <c r="M2005" t="str">
        <f>VLOOKUP(L2005,References!$A$2:$B$16,2,FALSE)</f>
        <v>TEXAROK</v>
      </c>
      <c r="N2005" s="19" t="str">
        <f t="shared" ref="N2005" si="601">IF(M2005=M2004,"N","Y")</f>
        <v>Y</v>
      </c>
      <c r="O2005">
        <f t="shared" ref="O2005" si="602">SUM(I2004:I2005)</f>
        <v>268</v>
      </c>
      <c r="P2005">
        <f t="shared" si="572"/>
        <v>167</v>
      </c>
    </row>
    <row r="2006" spans="1:16" hidden="1" x14ac:dyDescent="0.3">
      <c r="A2006" t="str">
        <f t="shared" si="564"/>
        <v>2025Matt8</v>
      </c>
      <c r="B2006">
        <f t="shared" si="565"/>
        <v>865</v>
      </c>
      <c r="C2006">
        <f t="shared" si="566"/>
        <v>275</v>
      </c>
      <c r="D2006" t="s">
        <v>30</v>
      </c>
      <c r="E2006" t="str">
        <f t="shared" si="577"/>
        <v>Watty</v>
      </c>
      <c r="F2006">
        <v>2025</v>
      </c>
      <c r="G2006">
        <v>8</v>
      </c>
      <c r="H2006">
        <v>6.1</v>
      </c>
      <c r="I2006">
        <v>117</v>
      </c>
      <c r="J2006">
        <f t="shared" ref="J2006" si="603">I2006-I2007</f>
        <v>6</v>
      </c>
      <c r="K2006" t="str">
        <f t="shared" si="569"/>
        <v>W</v>
      </c>
      <c r="L2006" t="str">
        <f t="shared" si="514"/>
        <v>Matt</v>
      </c>
      <c r="M2006" t="str">
        <f>VLOOKUP(L2006,References!$A$2:$B$16,2,FALSE)</f>
        <v>TEXAROK</v>
      </c>
      <c r="N2006" s="19" t="str">
        <f t="shared" ref="N2006" si="604">IF(M2006=M2007,"N","Y")</f>
        <v>Y</v>
      </c>
      <c r="O2006">
        <f t="shared" ref="O2006" si="605">SUM(I2006:I2007)</f>
        <v>228</v>
      </c>
      <c r="P2006">
        <f t="shared" si="572"/>
        <v>111</v>
      </c>
    </row>
    <row r="2007" spans="1:16" hidden="1" x14ac:dyDescent="0.3">
      <c r="A2007" t="str">
        <f t="shared" si="564"/>
        <v>2025Watty8</v>
      </c>
      <c r="B2007">
        <f t="shared" si="565"/>
        <v>1197</v>
      </c>
      <c r="C2007">
        <f t="shared" si="566"/>
        <v>383</v>
      </c>
      <c r="D2007" t="s">
        <v>24</v>
      </c>
      <c r="E2007" t="str">
        <f t="shared" si="581"/>
        <v>Matt</v>
      </c>
      <c r="F2007">
        <v>2025</v>
      </c>
      <c r="G2007">
        <v>8</v>
      </c>
      <c r="H2007">
        <v>6.2</v>
      </c>
      <c r="I2007">
        <v>111</v>
      </c>
      <c r="J2007">
        <f t="shared" ref="J2007" si="606">I2007-I2006</f>
        <v>-6</v>
      </c>
      <c r="K2007" t="str">
        <f t="shared" si="569"/>
        <v>L</v>
      </c>
      <c r="L2007" t="str">
        <f t="shared" si="514"/>
        <v>Watty</v>
      </c>
      <c r="M2007" t="str">
        <f>VLOOKUP(L2007,References!$A$2:$B$16,2,FALSE)</f>
        <v>AKCOVA</v>
      </c>
      <c r="N2007" s="19" t="str">
        <f t="shared" ref="N2007" si="607">IF(M2007=M2006,"N","Y")</f>
        <v>Y</v>
      </c>
      <c r="O2007">
        <f t="shared" ref="O2007" si="608">SUM(I2006:I2007)</f>
        <v>228</v>
      </c>
      <c r="P2007">
        <f t="shared" si="572"/>
        <v>117</v>
      </c>
    </row>
    <row r="2008" spans="1:16" hidden="1" x14ac:dyDescent="0.3">
      <c r="A2008" t="str">
        <f t="shared" si="564"/>
        <v>2025Brent8</v>
      </c>
      <c r="B2008">
        <f t="shared" si="565"/>
        <v>1546</v>
      </c>
      <c r="C2008">
        <f t="shared" si="566"/>
        <v>652</v>
      </c>
      <c r="D2008" t="s">
        <v>47</v>
      </c>
      <c r="E2008" t="str">
        <f t="shared" si="567"/>
        <v>Russell</v>
      </c>
      <c r="F2008">
        <v>2025</v>
      </c>
      <c r="G2008">
        <v>8</v>
      </c>
      <c r="H2008">
        <v>7.1</v>
      </c>
      <c r="I2008">
        <v>101</v>
      </c>
      <c r="J2008">
        <f t="shared" ref="J2008" si="609">I2008-I2009</f>
        <v>-20</v>
      </c>
      <c r="K2008" t="str">
        <f t="shared" si="569"/>
        <v>L</v>
      </c>
      <c r="L2008" t="str">
        <f t="shared" si="514"/>
        <v>Brent</v>
      </c>
      <c r="M2008" t="str">
        <f>VLOOKUP(L2008,References!$A$2:$B$16,2,FALSE)</f>
        <v>TEXAROK</v>
      </c>
      <c r="N2008" s="19" t="str">
        <f t="shared" ref="N2008" si="610">IF(M2008=M2009,"N","Y")</f>
        <v>N</v>
      </c>
      <c r="O2008">
        <f t="shared" ref="O2008" si="611">SUM(I2008:I2009)</f>
        <v>222</v>
      </c>
      <c r="P2008">
        <f t="shared" si="572"/>
        <v>121</v>
      </c>
    </row>
    <row r="2009" spans="1:16" hidden="1" x14ac:dyDescent="0.3">
      <c r="A2009" t="str">
        <f t="shared" si="564"/>
        <v>2025Russell8</v>
      </c>
      <c r="B2009">
        <f t="shared" si="565"/>
        <v>517</v>
      </c>
      <c r="C2009">
        <f t="shared" si="566"/>
        <v>211</v>
      </c>
      <c r="D2009" t="s">
        <v>28</v>
      </c>
      <c r="E2009" t="str">
        <f t="shared" si="573"/>
        <v>Brent</v>
      </c>
      <c r="F2009">
        <v>2025</v>
      </c>
      <c r="G2009">
        <v>8</v>
      </c>
      <c r="H2009">
        <v>7.2</v>
      </c>
      <c r="I2009">
        <v>121</v>
      </c>
      <c r="J2009">
        <f t="shared" ref="J2009" si="612">I2009-I2008</f>
        <v>20</v>
      </c>
      <c r="K2009" t="str">
        <f t="shared" si="569"/>
        <v>W</v>
      </c>
      <c r="L2009" t="str">
        <f t="shared" si="514"/>
        <v>Russell</v>
      </c>
      <c r="M2009" t="str">
        <f>VLOOKUP(L2009,References!$A$2:$B$16,2,FALSE)</f>
        <v>TEXAROK</v>
      </c>
      <c r="N2009" s="19" t="str">
        <f t="shared" ref="N2009" si="613">IF(M2009=M2008,"N","Y")</f>
        <v>N</v>
      </c>
      <c r="O2009">
        <f t="shared" ref="O2009" si="614">SUM(I2008:I2009)</f>
        <v>222</v>
      </c>
      <c r="P2009">
        <f t="shared" si="572"/>
        <v>101</v>
      </c>
    </row>
    <row r="2010" spans="1:16" hidden="1" x14ac:dyDescent="0.3">
      <c r="A2010" t="str">
        <f t="shared" si="564"/>
        <v>2025Michael9</v>
      </c>
      <c r="B2010">
        <f t="shared" si="565"/>
        <v>341</v>
      </c>
      <c r="C2010">
        <f t="shared" si="566"/>
        <v>509</v>
      </c>
      <c r="D2010" t="s">
        <v>23</v>
      </c>
      <c r="E2010" t="str">
        <f t="shared" si="577"/>
        <v>Brent</v>
      </c>
      <c r="F2010">
        <v>2025</v>
      </c>
      <c r="G2010">
        <v>9</v>
      </c>
      <c r="H2010">
        <v>1.1000000000000001</v>
      </c>
      <c r="I2010">
        <v>106</v>
      </c>
      <c r="J2010">
        <f t="shared" ref="J2010" si="615">I2010-I2011</f>
        <v>29</v>
      </c>
      <c r="K2010" t="str">
        <f t="shared" si="569"/>
        <v>W</v>
      </c>
      <c r="L2010" t="str">
        <f t="shared" si="514"/>
        <v>Michael</v>
      </c>
      <c r="M2010" t="str">
        <f>VLOOKUP(L2010,References!$A$2:$B$16,2,FALSE)</f>
        <v>AKCOVA</v>
      </c>
      <c r="N2010" s="19" t="str">
        <f t="shared" ref="N2010" si="616">IF(M2010=M2011,"N","Y")</f>
        <v>Y</v>
      </c>
      <c r="O2010">
        <f t="shared" ref="O2010" si="617">SUM(I2010:I2011)</f>
        <v>183</v>
      </c>
      <c r="P2010">
        <f t="shared" si="572"/>
        <v>77</v>
      </c>
    </row>
    <row r="2011" spans="1:16" hidden="1" x14ac:dyDescent="0.3">
      <c r="A2011" t="str">
        <f t="shared" si="564"/>
        <v>2025Brent9</v>
      </c>
      <c r="B2011">
        <f t="shared" si="565"/>
        <v>1738</v>
      </c>
      <c r="C2011">
        <f t="shared" si="566"/>
        <v>1512</v>
      </c>
      <c r="D2011" t="s">
        <v>47</v>
      </c>
      <c r="E2011" t="str">
        <f t="shared" si="581"/>
        <v>Michael</v>
      </c>
      <c r="F2011">
        <v>2025</v>
      </c>
      <c r="G2011">
        <v>9</v>
      </c>
      <c r="H2011">
        <v>1.2</v>
      </c>
      <c r="I2011">
        <v>77</v>
      </c>
      <c r="J2011">
        <f t="shared" ref="J2011" si="618">I2011-I2010</f>
        <v>-29</v>
      </c>
      <c r="K2011" t="str">
        <f t="shared" si="569"/>
        <v>L</v>
      </c>
      <c r="L2011" t="str">
        <f t="shared" si="514"/>
        <v>Brent</v>
      </c>
      <c r="M2011" t="str">
        <f>VLOOKUP(L2011,References!$A$2:$B$16,2,FALSE)</f>
        <v>TEXAROK</v>
      </c>
      <c r="N2011" s="19" t="str">
        <f t="shared" ref="N2011" si="619">IF(M2011=M2010,"N","Y")</f>
        <v>Y</v>
      </c>
      <c r="O2011">
        <f t="shared" ref="O2011" si="620">SUM(I2010:I2011)</f>
        <v>183</v>
      </c>
      <c r="P2011">
        <f t="shared" si="572"/>
        <v>106</v>
      </c>
    </row>
    <row r="2012" spans="1:16" hidden="1" x14ac:dyDescent="0.3">
      <c r="A2012" t="str">
        <f t="shared" si="564"/>
        <v>2025Charles9</v>
      </c>
      <c r="B2012">
        <f t="shared" si="565"/>
        <v>1197</v>
      </c>
      <c r="C2012">
        <f t="shared" si="566"/>
        <v>227</v>
      </c>
      <c r="D2012" t="s">
        <v>48</v>
      </c>
      <c r="E2012" t="str">
        <f t="shared" si="567"/>
        <v>Matt</v>
      </c>
      <c r="F2012">
        <v>2025</v>
      </c>
      <c r="G2012">
        <v>9</v>
      </c>
      <c r="H2012">
        <v>2.1</v>
      </c>
      <c r="I2012">
        <v>120</v>
      </c>
      <c r="J2012">
        <f t="shared" ref="J2012" si="621">I2012-I2013</f>
        <v>-6</v>
      </c>
      <c r="K2012" t="str">
        <f t="shared" si="569"/>
        <v>L</v>
      </c>
      <c r="L2012" t="str">
        <f t="shared" si="514"/>
        <v>Charles</v>
      </c>
      <c r="M2012" t="str">
        <f>VLOOKUP(L2012,References!$A$2:$B$16,2,FALSE)</f>
        <v>AKCOVA</v>
      </c>
      <c r="N2012" s="19" t="str">
        <f t="shared" ref="N2012" si="622">IF(M2012=M2013,"N","Y")</f>
        <v>Y</v>
      </c>
      <c r="O2012">
        <f t="shared" ref="O2012" si="623">SUM(I2012:I2013)</f>
        <v>246</v>
      </c>
      <c r="P2012">
        <f t="shared" si="572"/>
        <v>126</v>
      </c>
    </row>
    <row r="2013" spans="1:16" hidden="1" x14ac:dyDescent="0.3">
      <c r="A2013" t="str">
        <f t="shared" si="564"/>
        <v>2025Matt9</v>
      </c>
      <c r="B2013">
        <f t="shared" si="565"/>
        <v>865</v>
      </c>
      <c r="C2013">
        <f t="shared" si="566"/>
        <v>150</v>
      </c>
      <c r="D2013" t="s">
        <v>30</v>
      </c>
      <c r="E2013" t="str">
        <f t="shared" si="573"/>
        <v>Charles</v>
      </c>
      <c r="F2013">
        <v>2025</v>
      </c>
      <c r="G2013">
        <v>9</v>
      </c>
      <c r="H2013">
        <v>2.2000000000000002</v>
      </c>
      <c r="I2013">
        <v>126</v>
      </c>
      <c r="J2013">
        <f t="shared" ref="J2013" si="624">I2013-I2012</f>
        <v>6</v>
      </c>
      <c r="K2013" t="str">
        <f t="shared" si="569"/>
        <v>W</v>
      </c>
      <c r="L2013" t="str">
        <f t="shared" si="514"/>
        <v>Matt</v>
      </c>
      <c r="M2013" t="str">
        <f>VLOOKUP(L2013,References!$A$2:$B$16,2,FALSE)</f>
        <v>TEXAROK</v>
      </c>
      <c r="N2013" s="19" t="str">
        <f t="shared" ref="N2013" si="625">IF(M2013=M2012,"N","Y")</f>
        <v>Y</v>
      </c>
      <c r="O2013">
        <f t="shared" ref="O2013" si="626">SUM(I2012:I2013)</f>
        <v>246</v>
      </c>
      <c r="P2013">
        <f t="shared" si="572"/>
        <v>120</v>
      </c>
    </row>
    <row r="2014" spans="1:16" hidden="1" x14ac:dyDescent="0.3">
      <c r="A2014" t="str">
        <f t="shared" si="564"/>
        <v>2025Arnold9</v>
      </c>
      <c r="B2014">
        <f t="shared" si="565"/>
        <v>1810</v>
      </c>
      <c r="C2014">
        <f t="shared" si="566"/>
        <v>678</v>
      </c>
      <c r="D2014" t="s">
        <v>227</v>
      </c>
      <c r="E2014" t="str">
        <f t="shared" si="577"/>
        <v>Mark</v>
      </c>
      <c r="F2014">
        <v>2025</v>
      </c>
      <c r="G2014">
        <v>9</v>
      </c>
      <c r="H2014">
        <v>3.1</v>
      </c>
      <c r="I2014">
        <v>100</v>
      </c>
      <c r="J2014">
        <f t="shared" ref="J2014" si="627">I2014-I2015</f>
        <v>-33</v>
      </c>
      <c r="K2014" t="str">
        <f t="shared" si="569"/>
        <v>L</v>
      </c>
      <c r="L2014" t="str">
        <f t="shared" si="514"/>
        <v>Arnold</v>
      </c>
      <c r="M2014" t="str">
        <f>VLOOKUP(L2014,References!$A$2:$B$16,2,FALSE)</f>
        <v>AKCOVA</v>
      </c>
      <c r="N2014" s="19" t="str">
        <f t="shared" ref="N2014" si="628">IF(M2014=M2015,"N","Y")</f>
        <v>N</v>
      </c>
      <c r="O2014">
        <f t="shared" ref="O2014" si="629">SUM(I2014:I2015)</f>
        <v>233</v>
      </c>
      <c r="P2014">
        <f t="shared" si="572"/>
        <v>133</v>
      </c>
    </row>
    <row r="2015" spans="1:16" hidden="1" x14ac:dyDescent="0.3">
      <c r="A2015" t="str">
        <f t="shared" si="564"/>
        <v>2025Mark9</v>
      </c>
      <c r="B2015">
        <f t="shared" si="565"/>
        <v>270</v>
      </c>
      <c r="C2015">
        <f t="shared" si="566"/>
        <v>89</v>
      </c>
      <c r="D2015" t="s">
        <v>22</v>
      </c>
      <c r="E2015" t="str">
        <f t="shared" si="581"/>
        <v>Arnold</v>
      </c>
      <c r="F2015">
        <v>2025</v>
      </c>
      <c r="G2015">
        <v>9</v>
      </c>
      <c r="H2015">
        <v>3.2</v>
      </c>
      <c r="I2015">
        <v>133</v>
      </c>
      <c r="J2015">
        <f t="shared" ref="J2015" si="630">I2015-I2014</f>
        <v>33</v>
      </c>
      <c r="K2015" t="str">
        <f t="shared" si="569"/>
        <v>W</v>
      </c>
      <c r="L2015" t="str">
        <f t="shared" si="514"/>
        <v>Mark</v>
      </c>
      <c r="M2015" t="str">
        <f>VLOOKUP(L2015,References!$A$2:$B$16,2,FALSE)</f>
        <v>AKCOVA</v>
      </c>
      <c r="N2015" s="19" t="str">
        <f t="shared" ref="N2015" si="631">IF(M2015=M2014,"N","Y")</f>
        <v>N</v>
      </c>
      <c r="O2015">
        <f t="shared" ref="O2015" si="632">SUM(I2014:I2015)</f>
        <v>233</v>
      </c>
      <c r="P2015">
        <f t="shared" si="572"/>
        <v>100</v>
      </c>
    </row>
    <row r="2016" spans="1:16" hidden="1" x14ac:dyDescent="0.3">
      <c r="A2016" t="str">
        <f t="shared" si="564"/>
        <v>2025Russell9</v>
      </c>
      <c r="B2016">
        <f t="shared" si="565"/>
        <v>977</v>
      </c>
      <c r="C2016">
        <f t="shared" si="566"/>
        <v>119</v>
      </c>
      <c r="D2016" t="s">
        <v>28</v>
      </c>
      <c r="E2016" t="str">
        <f t="shared" si="567"/>
        <v>Jordan</v>
      </c>
      <c r="F2016">
        <v>2025</v>
      </c>
      <c r="G2016">
        <v>9</v>
      </c>
      <c r="H2016">
        <v>4.0999999999999996</v>
      </c>
      <c r="I2016">
        <v>129</v>
      </c>
      <c r="J2016">
        <f t="shared" ref="J2016" si="633">I2016-I2017</f>
        <v>2</v>
      </c>
      <c r="K2016" t="str">
        <f t="shared" si="569"/>
        <v>W</v>
      </c>
      <c r="L2016" t="str">
        <f t="shared" si="514"/>
        <v>Russell</v>
      </c>
      <c r="M2016" t="str">
        <f>VLOOKUP(L2016,References!$A$2:$B$16,2,FALSE)</f>
        <v>TEXAROK</v>
      </c>
      <c r="N2016" s="19" t="str">
        <f t="shared" ref="N2016" si="634">IF(M2016=M2017,"N","Y")</f>
        <v>Y</v>
      </c>
      <c r="O2016">
        <f t="shared" ref="O2016" si="635">SUM(I2016:I2017)</f>
        <v>256</v>
      </c>
      <c r="P2016">
        <f t="shared" si="572"/>
        <v>127</v>
      </c>
    </row>
    <row r="2017" spans="1:16" hidden="1" x14ac:dyDescent="0.3">
      <c r="A2017" t="str">
        <f t="shared" si="564"/>
        <v>2025Jordan9</v>
      </c>
      <c r="B2017">
        <f t="shared" si="565"/>
        <v>1090</v>
      </c>
      <c r="C2017">
        <f t="shared" si="566"/>
        <v>136</v>
      </c>
      <c r="D2017" t="s">
        <v>472</v>
      </c>
      <c r="E2017" t="str">
        <f t="shared" si="573"/>
        <v>Russell</v>
      </c>
      <c r="F2017">
        <v>2025</v>
      </c>
      <c r="G2017">
        <v>9</v>
      </c>
      <c r="H2017">
        <v>4.2</v>
      </c>
      <c r="I2017">
        <v>127</v>
      </c>
      <c r="J2017">
        <f t="shared" ref="J2017" si="636">I2017-I2016</f>
        <v>-2</v>
      </c>
      <c r="K2017" t="str">
        <f t="shared" si="569"/>
        <v>L</v>
      </c>
      <c r="L2017" t="str">
        <f t="shared" si="514"/>
        <v>Jordan</v>
      </c>
      <c r="M2017" t="str">
        <f>VLOOKUP(L2017,References!$A$2:$B$16,2,FALSE)</f>
        <v>AKCOVA</v>
      </c>
      <c r="N2017" s="19" t="str">
        <f t="shared" ref="N2017" si="637">IF(M2017=M2016,"N","Y")</f>
        <v>Y</v>
      </c>
      <c r="O2017">
        <f t="shared" ref="O2017" si="638">SUM(I2016:I2017)</f>
        <v>256</v>
      </c>
      <c r="P2017">
        <f t="shared" si="572"/>
        <v>129</v>
      </c>
    </row>
    <row r="2018" spans="1:16" hidden="1" x14ac:dyDescent="0.3">
      <c r="A2018" t="str">
        <f t="shared" si="564"/>
        <v>2025David9</v>
      </c>
      <c r="B2018">
        <f t="shared" si="565"/>
        <v>297</v>
      </c>
      <c r="C2018">
        <f t="shared" si="566"/>
        <v>509</v>
      </c>
      <c r="D2018" t="s">
        <v>29</v>
      </c>
      <c r="E2018" t="str">
        <f t="shared" si="577"/>
        <v>Brian</v>
      </c>
      <c r="F2018">
        <v>2025</v>
      </c>
      <c r="G2018">
        <v>9</v>
      </c>
      <c r="H2018">
        <v>5.0999999999999996</v>
      </c>
      <c r="I2018">
        <v>106</v>
      </c>
      <c r="J2018">
        <f t="shared" ref="J2018" si="639">I2018-I2019</f>
        <v>31</v>
      </c>
      <c r="K2018" t="str">
        <f t="shared" si="569"/>
        <v>W</v>
      </c>
      <c r="L2018" t="str">
        <f t="shared" si="514"/>
        <v>David</v>
      </c>
      <c r="M2018" t="str">
        <f>VLOOKUP(L2018,References!$A$2:$B$16,2,FALSE)</f>
        <v>TEXAROK</v>
      </c>
      <c r="N2018" s="19" t="str">
        <f t="shared" ref="N2018" si="640">IF(M2018=M2019,"N","Y")</f>
        <v>N</v>
      </c>
      <c r="O2018">
        <f t="shared" ref="O2018" si="641">SUM(I2018:I2019)</f>
        <v>181</v>
      </c>
      <c r="P2018">
        <f t="shared" si="572"/>
        <v>75</v>
      </c>
    </row>
    <row r="2019" spans="1:16" hidden="1" x14ac:dyDescent="0.3">
      <c r="A2019" t="str">
        <f t="shared" si="564"/>
        <v>2025Brian9</v>
      </c>
      <c r="B2019">
        <f t="shared" si="565"/>
        <v>1775</v>
      </c>
      <c r="C2019">
        <f t="shared" si="566"/>
        <v>1595</v>
      </c>
      <c r="D2019" t="s">
        <v>26</v>
      </c>
      <c r="E2019" t="str">
        <f t="shared" si="581"/>
        <v>David</v>
      </c>
      <c r="F2019">
        <v>2025</v>
      </c>
      <c r="G2019">
        <v>9</v>
      </c>
      <c r="H2019">
        <v>5.2</v>
      </c>
      <c r="I2019">
        <v>75</v>
      </c>
      <c r="J2019">
        <f t="shared" ref="J2019" si="642">I2019-I2018</f>
        <v>-31</v>
      </c>
      <c r="K2019" t="str">
        <f t="shared" si="569"/>
        <v>L</v>
      </c>
      <c r="L2019" t="str">
        <f t="shared" si="514"/>
        <v>Brian</v>
      </c>
      <c r="M2019" t="str">
        <f>VLOOKUP(L2019,References!$A$2:$B$16,2,FALSE)</f>
        <v>TEXAROK</v>
      </c>
      <c r="N2019" s="19" t="str">
        <f t="shared" ref="N2019" si="643">IF(M2019=M2018,"N","Y")</f>
        <v>N</v>
      </c>
      <c r="O2019">
        <f t="shared" ref="O2019" si="644">SUM(I2018:I2019)</f>
        <v>181</v>
      </c>
      <c r="P2019">
        <f t="shared" si="572"/>
        <v>106</v>
      </c>
    </row>
    <row r="2020" spans="1:16" hidden="1" x14ac:dyDescent="0.3">
      <c r="A2020" t="str">
        <f t="shared" si="564"/>
        <v>2025Emily9</v>
      </c>
      <c r="B2020">
        <f t="shared" si="565"/>
        <v>2045</v>
      </c>
      <c r="C2020">
        <f t="shared" si="566"/>
        <v>1738</v>
      </c>
      <c r="D2020" t="s">
        <v>43</v>
      </c>
      <c r="E2020" t="str">
        <f t="shared" si="567"/>
        <v>BR</v>
      </c>
      <c r="F2020">
        <v>2025</v>
      </c>
      <c r="G2020">
        <v>9</v>
      </c>
      <c r="H2020">
        <v>6.1</v>
      </c>
      <c r="I2020">
        <v>70</v>
      </c>
      <c r="J2020">
        <f t="shared" ref="J2020" si="645">I2020-I2021</f>
        <v>-62</v>
      </c>
      <c r="K2020" t="str">
        <f t="shared" si="569"/>
        <v>L</v>
      </c>
      <c r="L2020" t="str">
        <f t="shared" si="514"/>
        <v>Emily</v>
      </c>
      <c r="M2020" t="str">
        <f>VLOOKUP(L2020,References!$A$2:$B$16,2,FALSE)</f>
        <v>TEXAROK</v>
      </c>
      <c r="N2020" s="19" t="str">
        <f t="shared" ref="N2020" si="646">IF(M2020=M2021,"N","Y")</f>
        <v>Y</v>
      </c>
      <c r="O2020">
        <f t="shared" ref="O2020" si="647">SUM(I2020:I2021)</f>
        <v>202</v>
      </c>
      <c r="P2020">
        <f t="shared" si="572"/>
        <v>132</v>
      </c>
    </row>
    <row r="2021" spans="1:16" hidden="1" x14ac:dyDescent="0.3">
      <c r="A2021" t="str">
        <f t="shared" si="564"/>
        <v>2025BR9</v>
      </c>
      <c r="B2021">
        <f t="shared" si="565"/>
        <v>45</v>
      </c>
      <c r="C2021">
        <f t="shared" si="566"/>
        <v>96</v>
      </c>
      <c r="D2021" t="s">
        <v>25</v>
      </c>
      <c r="E2021" t="str">
        <f t="shared" si="573"/>
        <v>Emily</v>
      </c>
      <c r="F2021">
        <v>2025</v>
      </c>
      <c r="G2021">
        <v>9</v>
      </c>
      <c r="H2021">
        <v>6.2</v>
      </c>
      <c r="I2021">
        <v>132</v>
      </c>
      <c r="J2021">
        <f t="shared" ref="J2021" si="648">I2021-I2020</f>
        <v>62</v>
      </c>
      <c r="K2021" t="str">
        <f t="shared" si="569"/>
        <v>W</v>
      </c>
      <c r="L2021" t="str">
        <f t="shared" si="514"/>
        <v>BR</v>
      </c>
      <c r="M2021" t="str">
        <f>VLOOKUP(L2021,References!$A$2:$B$16,2,FALSE)</f>
        <v>AKCOVA</v>
      </c>
      <c r="N2021" s="19" t="str">
        <f t="shared" ref="N2021" si="649">IF(M2021=M2020,"N","Y")</f>
        <v>Y</v>
      </c>
      <c r="O2021">
        <f t="shared" ref="O2021" si="650">SUM(I2020:I2021)</f>
        <v>202</v>
      </c>
      <c r="P2021">
        <f t="shared" si="572"/>
        <v>70</v>
      </c>
    </row>
    <row r="2022" spans="1:16" hidden="1" x14ac:dyDescent="0.3">
      <c r="A2022" t="str">
        <f t="shared" si="564"/>
        <v>2025Watty9</v>
      </c>
      <c r="B2022">
        <f t="shared" si="565"/>
        <v>917</v>
      </c>
      <c r="C2022">
        <f t="shared" si="566"/>
        <v>136</v>
      </c>
      <c r="D2022" t="s">
        <v>24</v>
      </c>
      <c r="E2022" t="str">
        <f t="shared" si="577"/>
        <v>Grayson</v>
      </c>
      <c r="F2022">
        <v>2025</v>
      </c>
      <c r="G2022">
        <v>9</v>
      </c>
      <c r="H2022">
        <v>7.1</v>
      </c>
      <c r="I2022">
        <v>127</v>
      </c>
      <c r="J2022">
        <f t="shared" ref="J2022" si="651">I2022-I2023</f>
        <v>4</v>
      </c>
      <c r="K2022" t="str">
        <f t="shared" si="569"/>
        <v>W</v>
      </c>
      <c r="L2022" t="str">
        <f t="shared" si="514"/>
        <v>Watty</v>
      </c>
      <c r="M2022" t="str">
        <f>VLOOKUP(L2022,References!$A$2:$B$16,2,FALSE)</f>
        <v>AKCOVA</v>
      </c>
      <c r="N2022" s="19" t="str">
        <f t="shared" ref="N2022" si="652">IF(M2022=M2023,"N","Y")</f>
        <v>Y</v>
      </c>
      <c r="O2022">
        <f t="shared" ref="O2022" si="653">SUM(I2022:I2023)</f>
        <v>250</v>
      </c>
      <c r="P2022">
        <f t="shared" si="572"/>
        <v>123</v>
      </c>
    </row>
    <row r="2023" spans="1:16" hidden="1" x14ac:dyDescent="0.3">
      <c r="A2023" t="str">
        <f t="shared" si="564"/>
        <v>2025Grayson9</v>
      </c>
      <c r="B2023">
        <f t="shared" si="565"/>
        <v>1145</v>
      </c>
      <c r="C2023">
        <f t="shared" si="566"/>
        <v>186</v>
      </c>
      <c r="D2023" t="s">
        <v>473</v>
      </c>
      <c r="E2023" t="str">
        <f t="shared" si="581"/>
        <v>Watty</v>
      </c>
      <c r="F2023">
        <v>2025</v>
      </c>
      <c r="G2023">
        <v>9</v>
      </c>
      <c r="H2023">
        <v>7.2</v>
      </c>
      <c r="I2023">
        <v>123</v>
      </c>
      <c r="J2023">
        <f t="shared" ref="J2023" si="654">I2023-I2022</f>
        <v>-4</v>
      </c>
      <c r="K2023" t="str">
        <f t="shared" si="569"/>
        <v>L</v>
      </c>
      <c r="L2023" t="str">
        <f t="shared" si="514"/>
        <v>Grayson</v>
      </c>
      <c r="M2023" t="str">
        <f>VLOOKUP(L2023,References!$A$2:$B$16,2,FALSE)</f>
        <v>TEXAROK</v>
      </c>
      <c r="N2023" s="19" t="str">
        <f t="shared" ref="N2023" si="655">IF(M2023=M2022,"N","Y")</f>
        <v>Y</v>
      </c>
      <c r="O2023">
        <f t="shared" ref="O2023" si="656">SUM(I2022:I2023)</f>
        <v>250</v>
      </c>
      <c r="P2023">
        <f t="shared" si="572"/>
        <v>127</v>
      </c>
    </row>
    <row r="2024" spans="1:16" hidden="1" x14ac:dyDescent="0.3">
      <c r="A2024" t="str">
        <f t="shared" si="564"/>
        <v>2025Watty10</v>
      </c>
      <c r="B2024">
        <f t="shared" si="565"/>
        <v>1933</v>
      </c>
      <c r="C2024">
        <f t="shared" si="566"/>
        <v>2014</v>
      </c>
      <c r="D2024" t="s">
        <v>24</v>
      </c>
      <c r="E2024" t="str">
        <f t="shared" si="567"/>
        <v>Michael</v>
      </c>
      <c r="F2024">
        <v>2025</v>
      </c>
      <c r="G2024">
        <v>10</v>
      </c>
      <c r="H2024">
        <v>1.1000000000000001</v>
      </c>
      <c r="I2024">
        <v>55</v>
      </c>
      <c r="J2024">
        <f t="shared" ref="J2024" si="657">I2024-I2025</f>
        <v>-44</v>
      </c>
      <c r="K2024" t="str">
        <f t="shared" si="569"/>
        <v>L</v>
      </c>
      <c r="L2024" t="str">
        <f t="shared" si="514"/>
        <v>Watty</v>
      </c>
      <c r="M2024" t="str">
        <f>VLOOKUP(L2024,References!$A$2:$B$16,2,FALSE)</f>
        <v>AKCOVA</v>
      </c>
      <c r="N2024" s="19" t="str">
        <f t="shared" ref="N2024" si="658">IF(M2024=M2025,"N","Y")</f>
        <v>N</v>
      </c>
      <c r="O2024">
        <f t="shared" ref="O2024" si="659">SUM(I2024:I2025)</f>
        <v>154</v>
      </c>
      <c r="P2024">
        <f t="shared" si="572"/>
        <v>99</v>
      </c>
    </row>
    <row r="2025" spans="1:16" hidden="1" x14ac:dyDescent="0.3">
      <c r="A2025" t="str">
        <f t="shared" si="564"/>
        <v>2025Michael10</v>
      </c>
      <c r="B2025">
        <f t="shared" si="565"/>
        <v>150</v>
      </c>
      <c r="C2025">
        <f t="shared" si="566"/>
        <v>714</v>
      </c>
      <c r="D2025" t="s">
        <v>23</v>
      </c>
      <c r="E2025" t="str">
        <f t="shared" si="573"/>
        <v>Watty</v>
      </c>
      <c r="F2025">
        <v>2025</v>
      </c>
      <c r="G2025">
        <v>10</v>
      </c>
      <c r="H2025">
        <v>1.2</v>
      </c>
      <c r="I2025">
        <v>99</v>
      </c>
      <c r="J2025">
        <f t="shared" ref="J2025" si="660">I2025-I2024</f>
        <v>44</v>
      </c>
      <c r="K2025" t="str">
        <f t="shared" si="569"/>
        <v>W</v>
      </c>
      <c r="L2025" t="str">
        <f t="shared" si="514"/>
        <v>Michael</v>
      </c>
      <c r="M2025" t="str">
        <f>VLOOKUP(L2025,References!$A$2:$B$16,2,FALSE)</f>
        <v>AKCOVA</v>
      </c>
      <c r="N2025" s="19" t="str">
        <f t="shared" ref="N2025" si="661">IF(M2025=M2024,"N","Y")</f>
        <v>N</v>
      </c>
      <c r="O2025">
        <f t="shared" ref="O2025" si="662">SUM(I2024:I2025)</f>
        <v>154</v>
      </c>
      <c r="P2025">
        <f t="shared" si="572"/>
        <v>55</v>
      </c>
    </row>
    <row r="2026" spans="1:16" hidden="1" x14ac:dyDescent="0.3">
      <c r="A2026" t="str">
        <f t="shared" si="564"/>
        <v>2025Matt10</v>
      </c>
      <c r="B2026">
        <f t="shared" si="565"/>
        <v>1661</v>
      </c>
      <c r="C2026">
        <f t="shared" si="566"/>
        <v>958</v>
      </c>
      <c r="D2026" t="s">
        <v>30</v>
      </c>
      <c r="E2026" t="str">
        <f t="shared" si="577"/>
        <v>Emily</v>
      </c>
      <c r="F2026">
        <v>2025</v>
      </c>
      <c r="G2026">
        <v>10</v>
      </c>
      <c r="H2026">
        <v>2.1</v>
      </c>
      <c r="I2026">
        <v>92</v>
      </c>
      <c r="J2026">
        <f t="shared" ref="J2026" si="663">I2026-I2027</f>
        <v>-25</v>
      </c>
      <c r="K2026" t="str">
        <f t="shared" si="569"/>
        <v>L</v>
      </c>
      <c r="L2026" t="str">
        <f t="shared" si="514"/>
        <v>Matt</v>
      </c>
      <c r="M2026" t="str">
        <f>VLOOKUP(L2026,References!$A$2:$B$16,2,FALSE)</f>
        <v>TEXAROK</v>
      </c>
      <c r="N2026" s="19" t="str">
        <f t="shared" ref="N2026" si="664">IF(M2026=M2027,"N","Y")</f>
        <v>N</v>
      </c>
      <c r="O2026">
        <f t="shared" ref="O2026" si="665">SUM(I2026:I2027)</f>
        <v>209</v>
      </c>
      <c r="P2026">
        <f t="shared" si="572"/>
        <v>117</v>
      </c>
    </row>
    <row r="2027" spans="1:16" hidden="1" x14ac:dyDescent="0.3">
      <c r="A2027" t="str">
        <f t="shared" si="564"/>
        <v>2025Emily10</v>
      </c>
      <c r="B2027">
        <f t="shared" si="565"/>
        <v>410</v>
      </c>
      <c r="C2027">
        <f t="shared" si="566"/>
        <v>275</v>
      </c>
      <c r="D2027" t="s">
        <v>43</v>
      </c>
      <c r="E2027" t="str">
        <f t="shared" si="581"/>
        <v>Matt</v>
      </c>
      <c r="F2027">
        <v>2025</v>
      </c>
      <c r="G2027">
        <v>10</v>
      </c>
      <c r="H2027">
        <v>2.2000000000000002</v>
      </c>
      <c r="I2027">
        <v>117</v>
      </c>
      <c r="J2027">
        <f t="shared" ref="J2027" si="666">I2027-I2026</f>
        <v>25</v>
      </c>
      <c r="K2027" t="str">
        <f t="shared" si="569"/>
        <v>W</v>
      </c>
      <c r="L2027" t="str">
        <f t="shared" si="514"/>
        <v>Emily</v>
      </c>
      <c r="M2027" t="str">
        <f>VLOOKUP(L2027,References!$A$2:$B$16,2,FALSE)</f>
        <v>TEXAROK</v>
      </c>
      <c r="N2027" s="19" t="str">
        <f t="shared" ref="N2027" si="667">IF(M2027=M2026,"N","Y")</f>
        <v>N</v>
      </c>
      <c r="O2027">
        <f t="shared" ref="O2027" si="668">SUM(I2026:I2027)</f>
        <v>209</v>
      </c>
      <c r="P2027">
        <f t="shared" si="572"/>
        <v>92</v>
      </c>
    </row>
    <row r="2028" spans="1:16" hidden="1" x14ac:dyDescent="0.3">
      <c r="A2028" t="str">
        <f t="shared" si="564"/>
        <v>2025Jordan10</v>
      </c>
      <c r="B2028">
        <f t="shared" si="565"/>
        <v>392</v>
      </c>
      <c r="C2028">
        <f t="shared" si="566"/>
        <v>777</v>
      </c>
      <c r="D2028" t="s">
        <v>472</v>
      </c>
      <c r="E2028" t="str">
        <f t="shared" si="567"/>
        <v>Brent</v>
      </c>
      <c r="F2028">
        <v>2025</v>
      </c>
      <c r="G2028">
        <v>10</v>
      </c>
      <c r="H2028">
        <v>3.1</v>
      </c>
      <c r="I2028">
        <v>97</v>
      </c>
      <c r="J2028">
        <f t="shared" ref="J2028" si="669">I2028-I2029</f>
        <v>26</v>
      </c>
      <c r="K2028" t="str">
        <f t="shared" si="569"/>
        <v>W</v>
      </c>
      <c r="L2028" t="str">
        <f t="shared" si="514"/>
        <v>Jordan</v>
      </c>
      <c r="M2028" t="str">
        <f>VLOOKUP(L2028,References!$A$2:$B$16,2,FALSE)</f>
        <v>AKCOVA</v>
      </c>
      <c r="N2028" s="19" t="str">
        <f t="shared" ref="N2028" si="670">IF(M2028=M2029,"N","Y")</f>
        <v>Y</v>
      </c>
      <c r="O2028">
        <f t="shared" ref="O2028" si="671">SUM(I2028:I2029)</f>
        <v>168</v>
      </c>
      <c r="P2028">
        <f t="shared" si="572"/>
        <v>71</v>
      </c>
    </row>
    <row r="2029" spans="1:16" hidden="1" x14ac:dyDescent="0.3">
      <c r="A2029" t="str">
        <f t="shared" si="564"/>
        <v>2025Brent10</v>
      </c>
      <c r="B2029">
        <f t="shared" si="565"/>
        <v>1684</v>
      </c>
      <c r="C2029">
        <f t="shared" si="566"/>
        <v>1717</v>
      </c>
      <c r="D2029" t="s">
        <v>47</v>
      </c>
      <c r="E2029" t="str">
        <f t="shared" si="573"/>
        <v>Jordan</v>
      </c>
      <c r="F2029">
        <v>2025</v>
      </c>
      <c r="G2029">
        <v>10</v>
      </c>
      <c r="H2029">
        <v>3.2</v>
      </c>
      <c r="I2029">
        <v>71</v>
      </c>
      <c r="J2029">
        <f t="shared" ref="J2029" si="672">I2029-I2028</f>
        <v>-26</v>
      </c>
      <c r="K2029" t="str">
        <f t="shared" si="569"/>
        <v>L</v>
      </c>
      <c r="L2029" t="str">
        <f t="shared" si="514"/>
        <v>Brent</v>
      </c>
      <c r="M2029" t="str">
        <f>VLOOKUP(L2029,References!$A$2:$B$16,2,FALSE)</f>
        <v>TEXAROK</v>
      </c>
      <c r="N2029" s="19" t="str">
        <f t="shared" ref="N2029" si="673">IF(M2029=M2028,"N","Y")</f>
        <v>Y</v>
      </c>
      <c r="O2029">
        <f t="shared" ref="O2029" si="674">SUM(I2028:I2029)</f>
        <v>168</v>
      </c>
      <c r="P2029">
        <f t="shared" si="572"/>
        <v>97</v>
      </c>
    </row>
    <row r="2030" spans="1:16" hidden="1" x14ac:dyDescent="0.3">
      <c r="A2030" t="str">
        <f t="shared" si="564"/>
        <v>2025Mark10</v>
      </c>
      <c r="B2030">
        <f t="shared" si="565"/>
        <v>1291</v>
      </c>
      <c r="C2030">
        <f t="shared" si="566"/>
        <v>992</v>
      </c>
      <c r="D2030" t="s">
        <v>22</v>
      </c>
      <c r="E2030" t="str">
        <f t="shared" si="577"/>
        <v>Russell</v>
      </c>
      <c r="F2030">
        <v>2025</v>
      </c>
      <c r="G2030">
        <v>10</v>
      </c>
      <c r="H2030">
        <v>4.0999999999999996</v>
      </c>
      <c r="I2030">
        <v>91</v>
      </c>
      <c r="J2030">
        <f t="shared" ref="J2030" si="675">I2030-I2031</f>
        <v>-9</v>
      </c>
      <c r="K2030" t="str">
        <f t="shared" si="569"/>
        <v>L</v>
      </c>
      <c r="L2030" t="str">
        <f t="shared" si="514"/>
        <v>Mark</v>
      </c>
      <c r="M2030" t="str">
        <f>VLOOKUP(L2030,References!$A$2:$B$16,2,FALSE)</f>
        <v>AKCOVA</v>
      </c>
      <c r="N2030" s="19" t="str">
        <f t="shared" ref="N2030" si="676">IF(M2030=M2031,"N","Y")</f>
        <v>Y</v>
      </c>
      <c r="O2030">
        <f t="shared" ref="O2030" si="677">SUM(I2030:I2031)</f>
        <v>191</v>
      </c>
      <c r="P2030">
        <f t="shared" si="572"/>
        <v>100</v>
      </c>
    </row>
    <row r="2031" spans="1:16" hidden="1" x14ac:dyDescent="0.3">
      <c r="A2031" t="str">
        <f t="shared" si="564"/>
        <v>2025Russell10</v>
      </c>
      <c r="B2031">
        <f t="shared" si="565"/>
        <v>782</v>
      </c>
      <c r="C2031">
        <f t="shared" si="566"/>
        <v>678</v>
      </c>
      <c r="D2031" t="s">
        <v>28</v>
      </c>
      <c r="E2031" t="str">
        <f t="shared" si="581"/>
        <v>Mark</v>
      </c>
      <c r="F2031">
        <v>2025</v>
      </c>
      <c r="G2031">
        <v>10</v>
      </c>
      <c r="H2031">
        <v>4.2</v>
      </c>
      <c r="I2031">
        <v>100</v>
      </c>
      <c r="J2031">
        <f t="shared" ref="J2031" si="678">I2031-I2030</f>
        <v>9</v>
      </c>
      <c r="K2031" t="str">
        <f t="shared" si="569"/>
        <v>W</v>
      </c>
      <c r="L2031" t="str">
        <f t="shared" si="514"/>
        <v>Russell</v>
      </c>
      <c r="M2031" t="str">
        <f>VLOOKUP(L2031,References!$A$2:$B$16,2,FALSE)</f>
        <v>TEXAROK</v>
      </c>
      <c r="N2031" s="19" t="str">
        <f t="shared" ref="N2031" si="679">IF(M2031=M2030,"N","Y")</f>
        <v>Y</v>
      </c>
      <c r="O2031">
        <f t="shared" ref="O2031" si="680">SUM(I2030:I2031)</f>
        <v>191</v>
      </c>
      <c r="P2031">
        <f t="shared" si="572"/>
        <v>91</v>
      </c>
    </row>
    <row r="2032" spans="1:16" hidden="1" x14ac:dyDescent="0.3">
      <c r="A2032" t="str">
        <f t="shared" si="564"/>
        <v>2025Brian10</v>
      </c>
      <c r="B2032">
        <f t="shared" si="565"/>
        <v>836</v>
      </c>
      <c r="C2032">
        <f t="shared" si="566"/>
        <v>136</v>
      </c>
      <c r="D2032" t="s">
        <v>26</v>
      </c>
      <c r="E2032" t="str">
        <f t="shared" si="567"/>
        <v>Arnold</v>
      </c>
      <c r="F2032">
        <v>2025</v>
      </c>
      <c r="G2032">
        <v>10</v>
      </c>
      <c r="H2032">
        <v>5.0999999999999996</v>
      </c>
      <c r="I2032">
        <v>127</v>
      </c>
      <c r="J2032">
        <f t="shared" ref="J2032" si="681">I2032-I2033</f>
        <v>7</v>
      </c>
      <c r="K2032" t="str">
        <f t="shared" si="569"/>
        <v>W</v>
      </c>
      <c r="L2032" t="str">
        <f t="shared" si="514"/>
        <v>Brian</v>
      </c>
      <c r="M2032" t="str">
        <f>VLOOKUP(L2032,References!$A$2:$B$16,2,FALSE)</f>
        <v>TEXAROK</v>
      </c>
      <c r="N2032" s="19" t="str">
        <f t="shared" ref="N2032" si="682">IF(M2032=M2033,"N","Y")</f>
        <v>Y</v>
      </c>
      <c r="O2032">
        <f t="shared" ref="O2032" si="683">SUM(I2032:I2033)</f>
        <v>247</v>
      </c>
      <c r="P2032">
        <f t="shared" si="572"/>
        <v>120</v>
      </c>
    </row>
    <row r="2033" spans="1:16" hidden="1" x14ac:dyDescent="0.3">
      <c r="A2033" t="str">
        <f t="shared" si="564"/>
        <v>2025Arnold10</v>
      </c>
      <c r="B2033">
        <f t="shared" si="565"/>
        <v>1229</v>
      </c>
      <c r="C2033">
        <f t="shared" si="566"/>
        <v>227</v>
      </c>
      <c r="D2033" t="s">
        <v>227</v>
      </c>
      <c r="E2033" t="str">
        <f t="shared" si="573"/>
        <v>Brian</v>
      </c>
      <c r="F2033">
        <v>2025</v>
      </c>
      <c r="G2033">
        <v>10</v>
      </c>
      <c r="H2033">
        <v>5.2</v>
      </c>
      <c r="I2033">
        <v>120</v>
      </c>
      <c r="J2033">
        <f t="shared" ref="J2033" si="684">I2033-I2032</f>
        <v>-7</v>
      </c>
      <c r="K2033" t="str">
        <f t="shared" si="569"/>
        <v>L</v>
      </c>
      <c r="L2033" t="str">
        <f t="shared" si="514"/>
        <v>Arnold</v>
      </c>
      <c r="M2033" t="str">
        <f>VLOOKUP(L2033,References!$A$2:$B$16,2,FALSE)</f>
        <v>AKCOVA</v>
      </c>
      <c r="N2033" s="19" t="str">
        <f t="shared" ref="N2033" si="685">IF(M2033=M2032,"N","Y")</f>
        <v>Y</v>
      </c>
      <c r="O2033">
        <f t="shared" ref="O2033" si="686">SUM(I2032:I2033)</f>
        <v>247</v>
      </c>
      <c r="P2033">
        <f t="shared" si="572"/>
        <v>127</v>
      </c>
    </row>
    <row r="2034" spans="1:16" hidden="1" x14ac:dyDescent="0.3">
      <c r="A2034" t="str">
        <f t="shared" si="564"/>
        <v>2025BR10</v>
      </c>
      <c r="B2034">
        <f t="shared" si="565"/>
        <v>1497</v>
      </c>
      <c r="C2034">
        <f t="shared" si="566"/>
        <v>111</v>
      </c>
      <c r="D2034" t="s">
        <v>25</v>
      </c>
      <c r="E2034" t="str">
        <f t="shared" si="577"/>
        <v>David</v>
      </c>
      <c r="F2034">
        <v>2025</v>
      </c>
      <c r="G2034">
        <v>10</v>
      </c>
      <c r="H2034">
        <v>6.1</v>
      </c>
      <c r="I2034">
        <v>130</v>
      </c>
      <c r="J2034">
        <f t="shared" ref="J2034" si="687">I2034-I2035</f>
        <v>-18</v>
      </c>
      <c r="K2034" t="str">
        <f t="shared" si="569"/>
        <v>L</v>
      </c>
      <c r="L2034" t="str">
        <f t="shared" si="514"/>
        <v>BR</v>
      </c>
      <c r="M2034" t="str">
        <f>VLOOKUP(L2034,References!$A$2:$B$16,2,FALSE)</f>
        <v>AKCOVA</v>
      </c>
      <c r="N2034" s="19" t="str">
        <f t="shared" ref="N2034" si="688">IF(M2034=M2035,"N","Y")</f>
        <v>Y</v>
      </c>
      <c r="O2034">
        <f t="shared" ref="O2034" si="689">SUM(I2034:I2035)</f>
        <v>278</v>
      </c>
      <c r="P2034">
        <f t="shared" si="572"/>
        <v>148</v>
      </c>
    </row>
    <row r="2035" spans="1:16" hidden="1" x14ac:dyDescent="0.3">
      <c r="A2035" t="str">
        <f t="shared" si="564"/>
        <v>2025David10</v>
      </c>
      <c r="B2035">
        <f t="shared" si="565"/>
        <v>571</v>
      </c>
      <c r="C2035">
        <f t="shared" si="566"/>
        <v>31</v>
      </c>
      <c r="D2035" t="s">
        <v>29</v>
      </c>
      <c r="E2035" t="str">
        <f t="shared" si="581"/>
        <v>BR</v>
      </c>
      <c r="F2035">
        <v>2025</v>
      </c>
      <c r="G2035">
        <v>10</v>
      </c>
      <c r="H2035">
        <v>6.2</v>
      </c>
      <c r="I2035">
        <v>148</v>
      </c>
      <c r="J2035">
        <f t="shared" ref="J2035" si="690">I2035-I2034</f>
        <v>18</v>
      </c>
      <c r="K2035" t="str">
        <f t="shared" si="569"/>
        <v>W</v>
      </c>
      <c r="L2035" t="str">
        <f t="shared" si="514"/>
        <v>David</v>
      </c>
      <c r="M2035" t="str">
        <f>VLOOKUP(L2035,References!$A$2:$B$16,2,FALSE)</f>
        <v>TEXAROK</v>
      </c>
      <c r="N2035" s="19" t="str">
        <f t="shared" ref="N2035" si="691">IF(M2035=M2034,"N","Y")</f>
        <v>Y</v>
      </c>
      <c r="O2035">
        <f t="shared" ref="O2035" si="692">SUM(I2034:I2035)</f>
        <v>278</v>
      </c>
      <c r="P2035">
        <f t="shared" si="572"/>
        <v>130</v>
      </c>
    </row>
    <row r="2036" spans="1:16" hidden="1" x14ac:dyDescent="0.3">
      <c r="A2036" t="str">
        <f t="shared" si="564"/>
        <v>2025Grayson10</v>
      </c>
      <c r="B2036">
        <f t="shared" si="565"/>
        <v>1869</v>
      </c>
      <c r="C2036">
        <f t="shared" si="566"/>
        <v>321</v>
      </c>
      <c r="D2036" t="s">
        <v>473</v>
      </c>
      <c r="E2036" t="str">
        <f t="shared" si="567"/>
        <v>Charles</v>
      </c>
      <c r="F2036">
        <v>2025</v>
      </c>
      <c r="G2036">
        <v>10</v>
      </c>
      <c r="H2036">
        <v>7.1</v>
      </c>
      <c r="I2036">
        <v>114</v>
      </c>
      <c r="J2036">
        <f t="shared" ref="J2036" si="693">I2036-I2037</f>
        <v>-38</v>
      </c>
      <c r="K2036" t="str">
        <f t="shared" si="569"/>
        <v>L</v>
      </c>
      <c r="L2036" t="str">
        <f t="shared" si="514"/>
        <v>Grayson</v>
      </c>
      <c r="M2036" t="str">
        <f>VLOOKUP(L2036,References!$A$2:$B$16,2,FALSE)</f>
        <v>TEXAROK</v>
      </c>
      <c r="N2036" s="19" t="str">
        <f t="shared" ref="N2036" si="694">IF(M2036=M2037,"N","Y")</f>
        <v>Y</v>
      </c>
      <c r="O2036">
        <f t="shared" ref="O2036" si="695">SUM(I2036:I2037)</f>
        <v>266</v>
      </c>
      <c r="P2036">
        <f t="shared" si="572"/>
        <v>152</v>
      </c>
    </row>
    <row r="2037" spans="1:16" hidden="1" x14ac:dyDescent="0.3">
      <c r="A2037" t="str">
        <f t="shared" si="564"/>
        <v>2025Charles10</v>
      </c>
      <c r="B2037">
        <f t="shared" si="565"/>
        <v>210</v>
      </c>
      <c r="C2037">
        <f t="shared" si="566"/>
        <v>21</v>
      </c>
      <c r="D2037" t="s">
        <v>48</v>
      </c>
      <c r="E2037" t="str">
        <f t="shared" si="573"/>
        <v>Grayson</v>
      </c>
      <c r="F2037">
        <v>2025</v>
      </c>
      <c r="G2037">
        <v>10</v>
      </c>
      <c r="H2037">
        <v>7.2</v>
      </c>
      <c r="I2037">
        <v>152</v>
      </c>
      <c r="J2037">
        <f t="shared" ref="J2037" si="696">I2037-I2036</f>
        <v>38</v>
      </c>
      <c r="K2037" t="str">
        <f t="shared" si="569"/>
        <v>W</v>
      </c>
      <c r="L2037" t="str">
        <f t="shared" si="514"/>
        <v>Charles</v>
      </c>
      <c r="M2037" t="str">
        <f>VLOOKUP(L2037,References!$A$2:$B$16,2,FALSE)</f>
        <v>AKCOVA</v>
      </c>
      <c r="N2037" s="19" t="str">
        <f t="shared" ref="N2037" si="697">IF(M2037=M2036,"N","Y")</f>
        <v>Y</v>
      </c>
      <c r="O2037">
        <f t="shared" ref="O2037" si="698">SUM(I2036:I2037)</f>
        <v>266</v>
      </c>
      <c r="P2037">
        <f t="shared" si="572"/>
        <v>114</v>
      </c>
    </row>
    <row r="2038" spans="1:16" hidden="1" x14ac:dyDescent="0.3">
      <c r="A2038" t="str">
        <f t="shared" si="564"/>
        <v>2025Michael11</v>
      </c>
      <c r="B2038">
        <f t="shared" si="565"/>
        <v>1832</v>
      </c>
      <c r="C2038">
        <f t="shared" si="566"/>
        <v>777</v>
      </c>
      <c r="D2038" t="s">
        <v>23</v>
      </c>
      <c r="E2038" t="str">
        <f t="shared" si="577"/>
        <v>Jordan</v>
      </c>
      <c r="F2038">
        <v>2025</v>
      </c>
      <c r="G2038">
        <v>11</v>
      </c>
      <c r="H2038">
        <v>1.1000000000000001</v>
      </c>
      <c r="I2038">
        <v>97</v>
      </c>
      <c r="J2038">
        <f t="shared" ref="J2038" si="699">I2038-I2039</f>
        <v>-35</v>
      </c>
      <c r="K2038" t="str">
        <f t="shared" si="569"/>
        <v>L</v>
      </c>
      <c r="L2038" t="str">
        <f t="shared" si="514"/>
        <v>Michael</v>
      </c>
      <c r="M2038" t="str">
        <f>VLOOKUP(L2038,References!$A$2:$B$16,2,FALSE)</f>
        <v>AKCOVA</v>
      </c>
      <c r="N2038" s="19" t="str">
        <f t="shared" ref="N2038" si="700">IF(M2038=M2039,"N","Y")</f>
        <v>N</v>
      </c>
      <c r="O2038">
        <f t="shared" ref="O2038" si="701">SUM(I2038:I2039)</f>
        <v>229</v>
      </c>
      <c r="P2038">
        <f t="shared" si="572"/>
        <v>132</v>
      </c>
    </row>
    <row r="2039" spans="1:16" hidden="1" x14ac:dyDescent="0.3">
      <c r="A2039" t="str">
        <f t="shared" si="564"/>
        <v>2025Jordan11</v>
      </c>
      <c r="B2039">
        <f t="shared" si="565"/>
        <v>254</v>
      </c>
      <c r="C2039">
        <f t="shared" si="566"/>
        <v>96</v>
      </c>
      <c r="D2039" t="s">
        <v>472</v>
      </c>
      <c r="E2039" t="str">
        <f t="shared" si="581"/>
        <v>Michael</v>
      </c>
      <c r="F2039">
        <v>2025</v>
      </c>
      <c r="G2039">
        <v>11</v>
      </c>
      <c r="H2039">
        <v>1.2</v>
      </c>
      <c r="I2039">
        <v>132</v>
      </c>
      <c r="J2039">
        <f t="shared" ref="J2039" si="702">I2039-I2038</f>
        <v>35</v>
      </c>
      <c r="K2039" t="str">
        <f t="shared" si="569"/>
        <v>W</v>
      </c>
      <c r="L2039" t="str">
        <f t="shared" si="514"/>
        <v>Jordan</v>
      </c>
      <c r="M2039" t="str">
        <f>VLOOKUP(L2039,References!$A$2:$B$16,2,FALSE)</f>
        <v>AKCOVA</v>
      </c>
      <c r="N2039" s="19" t="str">
        <f t="shared" ref="N2039" si="703">IF(M2039=M2038,"N","Y")</f>
        <v>N</v>
      </c>
      <c r="O2039">
        <f t="shared" ref="O2039" si="704">SUM(I2038:I2039)</f>
        <v>229</v>
      </c>
      <c r="P2039">
        <f t="shared" si="572"/>
        <v>97</v>
      </c>
    </row>
    <row r="2040" spans="1:16" hidden="1" x14ac:dyDescent="0.3">
      <c r="A2040" t="str">
        <f t="shared" si="564"/>
        <v>2025Arnold11</v>
      </c>
      <c r="B2040">
        <f t="shared" si="565"/>
        <v>410</v>
      </c>
      <c r="C2040">
        <f t="shared" si="566"/>
        <v>383</v>
      </c>
      <c r="D2040" t="s">
        <v>227</v>
      </c>
      <c r="E2040" t="str">
        <f t="shared" si="567"/>
        <v>BR</v>
      </c>
      <c r="F2040">
        <v>2025</v>
      </c>
      <c r="G2040">
        <v>11</v>
      </c>
      <c r="H2040">
        <v>2.1</v>
      </c>
      <c r="I2040">
        <v>111</v>
      </c>
      <c r="J2040">
        <f t="shared" ref="J2040" si="705">I2040-I2041</f>
        <v>25</v>
      </c>
      <c r="K2040" t="str">
        <f t="shared" si="569"/>
        <v>W</v>
      </c>
      <c r="L2040" t="str">
        <f t="shared" si="514"/>
        <v>Arnold</v>
      </c>
      <c r="M2040" t="str">
        <f>VLOOKUP(L2040,References!$A$2:$B$16,2,FALSE)</f>
        <v>AKCOVA</v>
      </c>
      <c r="N2040" s="19" t="str">
        <f t="shared" ref="N2040" si="706">IF(M2040=M2041,"N","Y")</f>
        <v>N</v>
      </c>
      <c r="O2040">
        <f t="shared" ref="O2040" si="707">SUM(I2040:I2041)</f>
        <v>197</v>
      </c>
      <c r="P2040">
        <f t="shared" si="572"/>
        <v>86</v>
      </c>
    </row>
    <row r="2041" spans="1:16" hidden="1" x14ac:dyDescent="0.3">
      <c r="A2041" t="str">
        <f t="shared" si="564"/>
        <v>2025BR11</v>
      </c>
      <c r="B2041">
        <f t="shared" si="565"/>
        <v>1661</v>
      </c>
      <c r="C2041">
        <f t="shared" si="566"/>
        <v>1173</v>
      </c>
      <c r="D2041" t="s">
        <v>25</v>
      </c>
      <c r="E2041" t="str">
        <f t="shared" si="573"/>
        <v>Arnold</v>
      </c>
      <c r="F2041">
        <v>2025</v>
      </c>
      <c r="G2041">
        <v>11</v>
      </c>
      <c r="H2041">
        <v>2.2000000000000002</v>
      </c>
      <c r="I2041">
        <v>86</v>
      </c>
      <c r="J2041">
        <f t="shared" ref="J2041" si="708">I2041-I2040</f>
        <v>-25</v>
      </c>
      <c r="K2041" t="str">
        <f t="shared" si="569"/>
        <v>L</v>
      </c>
      <c r="L2041" t="str">
        <f t="shared" si="514"/>
        <v>BR</v>
      </c>
      <c r="M2041" t="str">
        <f>VLOOKUP(L2041,References!$A$2:$B$16,2,FALSE)</f>
        <v>AKCOVA</v>
      </c>
      <c r="N2041" s="19" t="str">
        <f t="shared" ref="N2041" si="709">IF(M2041=M2040,"N","Y")</f>
        <v>N</v>
      </c>
      <c r="O2041">
        <f t="shared" ref="O2041" si="710">SUM(I2040:I2041)</f>
        <v>197</v>
      </c>
      <c r="P2041">
        <f t="shared" si="572"/>
        <v>111</v>
      </c>
    </row>
    <row r="2042" spans="1:16" hidden="1" x14ac:dyDescent="0.3">
      <c r="A2042" t="str">
        <f t="shared" si="564"/>
        <v>2025Russell11</v>
      </c>
      <c r="B2042">
        <f t="shared" si="565"/>
        <v>238</v>
      </c>
      <c r="C2042">
        <f t="shared" si="566"/>
        <v>150</v>
      </c>
      <c r="D2042" t="s">
        <v>28</v>
      </c>
      <c r="E2042" t="str">
        <f t="shared" si="577"/>
        <v>Brian</v>
      </c>
      <c r="F2042">
        <v>2025</v>
      </c>
      <c r="G2042">
        <v>11</v>
      </c>
      <c r="H2042">
        <v>3.1</v>
      </c>
      <c r="I2042">
        <v>126</v>
      </c>
      <c r="J2042">
        <f t="shared" ref="J2042" si="711">I2042-I2043</f>
        <v>36</v>
      </c>
      <c r="K2042" t="str">
        <f t="shared" si="569"/>
        <v>W</v>
      </c>
      <c r="L2042" t="str">
        <f t="shared" si="514"/>
        <v>Russell</v>
      </c>
      <c r="M2042" t="str">
        <f>VLOOKUP(L2042,References!$A$2:$B$16,2,FALSE)</f>
        <v>TEXAROK</v>
      </c>
      <c r="N2042" s="19" t="str">
        <f t="shared" ref="N2042" si="712">IF(M2042=M2043,"N","Y")</f>
        <v>N</v>
      </c>
      <c r="O2042">
        <f t="shared" ref="O2042" si="713">SUM(I2042:I2043)</f>
        <v>216</v>
      </c>
      <c r="P2042">
        <f t="shared" si="572"/>
        <v>90</v>
      </c>
    </row>
    <row r="2043" spans="1:16" hidden="1" x14ac:dyDescent="0.3">
      <c r="A2043" t="str">
        <f t="shared" si="564"/>
        <v>2025Brian11</v>
      </c>
      <c r="B2043">
        <f t="shared" si="565"/>
        <v>1840</v>
      </c>
      <c r="C2043">
        <f t="shared" si="566"/>
        <v>1027</v>
      </c>
      <c r="D2043" t="s">
        <v>26</v>
      </c>
      <c r="E2043" t="str">
        <f t="shared" si="581"/>
        <v>Russell</v>
      </c>
      <c r="F2043">
        <v>2025</v>
      </c>
      <c r="G2043">
        <v>11</v>
      </c>
      <c r="H2043">
        <v>3.2</v>
      </c>
      <c r="I2043">
        <v>90</v>
      </c>
      <c r="J2043">
        <f t="shared" ref="J2043" si="714">I2043-I2042</f>
        <v>-36</v>
      </c>
      <c r="K2043" t="str">
        <f t="shared" si="569"/>
        <v>L</v>
      </c>
      <c r="L2043" t="str">
        <f t="shared" si="514"/>
        <v>Brian</v>
      </c>
      <c r="M2043" t="str">
        <f>VLOOKUP(L2043,References!$A$2:$B$16,2,FALSE)</f>
        <v>TEXAROK</v>
      </c>
      <c r="N2043" s="19" t="str">
        <f t="shared" ref="N2043" si="715">IF(M2043=M2042,"N","Y")</f>
        <v>N</v>
      </c>
      <c r="O2043">
        <f t="shared" ref="O2043" si="716">SUM(I2042:I2043)</f>
        <v>216</v>
      </c>
      <c r="P2043">
        <f t="shared" si="572"/>
        <v>126</v>
      </c>
    </row>
    <row r="2044" spans="1:16" hidden="1" x14ac:dyDescent="0.3">
      <c r="A2044" t="str">
        <f t="shared" si="564"/>
        <v>2025David11</v>
      </c>
      <c r="B2044">
        <f t="shared" si="565"/>
        <v>2067</v>
      </c>
      <c r="C2044">
        <f t="shared" si="566"/>
        <v>1951</v>
      </c>
      <c r="D2044" t="s">
        <v>29</v>
      </c>
      <c r="E2044" t="str">
        <f t="shared" si="567"/>
        <v>Matt</v>
      </c>
      <c r="F2044">
        <v>2025</v>
      </c>
      <c r="G2044">
        <v>11</v>
      </c>
      <c r="H2044">
        <v>4.0999999999999996</v>
      </c>
      <c r="I2044">
        <v>59</v>
      </c>
      <c r="J2044">
        <f t="shared" ref="J2044" si="717">I2044-I2045</f>
        <v>-68</v>
      </c>
      <c r="K2044" t="str">
        <f t="shared" si="569"/>
        <v>L</v>
      </c>
      <c r="L2044" t="str">
        <f t="shared" si="514"/>
        <v>David</v>
      </c>
      <c r="M2044" t="str">
        <f>VLOOKUP(L2044,References!$A$2:$B$16,2,FALSE)</f>
        <v>TEXAROK</v>
      </c>
      <c r="N2044" s="19" t="str">
        <f t="shared" ref="N2044" si="718">IF(M2044=M2045,"N","Y")</f>
        <v>N</v>
      </c>
      <c r="O2044">
        <f t="shared" ref="O2044" si="719">SUM(I2044:I2045)</f>
        <v>186</v>
      </c>
      <c r="P2044">
        <f t="shared" si="572"/>
        <v>127</v>
      </c>
    </row>
    <row r="2045" spans="1:16" hidden="1" x14ac:dyDescent="0.3">
      <c r="A2045" t="str">
        <f t="shared" si="564"/>
        <v>2025Matt11</v>
      </c>
      <c r="B2045">
        <f t="shared" si="565"/>
        <v>24</v>
      </c>
      <c r="C2045">
        <f t="shared" si="566"/>
        <v>136</v>
      </c>
      <c r="D2045" t="s">
        <v>30</v>
      </c>
      <c r="E2045" t="str">
        <f t="shared" si="573"/>
        <v>David</v>
      </c>
      <c r="F2045">
        <v>2025</v>
      </c>
      <c r="G2045">
        <v>11</v>
      </c>
      <c r="H2045">
        <v>4.2</v>
      </c>
      <c r="I2045">
        <v>127</v>
      </c>
      <c r="J2045">
        <f t="shared" ref="J2045" si="720">I2045-I2044</f>
        <v>68</v>
      </c>
      <c r="K2045" t="str">
        <f t="shared" si="569"/>
        <v>W</v>
      </c>
      <c r="L2045" t="str">
        <f t="shared" si="514"/>
        <v>Matt</v>
      </c>
      <c r="M2045" t="str">
        <f>VLOOKUP(L2045,References!$A$2:$B$16,2,FALSE)</f>
        <v>TEXAROK</v>
      </c>
      <c r="N2045" s="19" t="str">
        <f t="shared" ref="N2045" si="721">IF(M2045=M2044,"N","Y")</f>
        <v>N</v>
      </c>
      <c r="O2045">
        <f t="shared" ref="O2045" si="722">SUM(I2044:I2045)</f>
        <v>186</v>
      </c>
      <c r="P2045">
        <f t="shared" si="572"/>
        <v>59</v>
      </c>
    </row>
    <row r="2046" spans="1:16" hidden="1" x14ac:dyDescent="0.3">
      <c r="A2046" t="str">
        <f t="shared" si="564"/>
        <v>2025Charles11</v>
      </c>
      <c r="B2046">
        <f t="shared" si="565"/>
        <v>18</v>
      </c>
      <c r="C2046">
        <f t="shared" si="566"/>
        <v>70</v>
      </c>
      <c r="D2046" t="s">
        <v>48</v>
      </c>
      <c r="E2046" t="str">
        <f t="shared" si="577"/>
        <v>Watty</v>
      </c>
      <c r="F2046">
        <v>2025</v>
      </c>
      <c r="G2046">
        <v>11</v>
      </c>
      <c r="H2046">
        <v>5.0999999999999996</v>
      </c>
      <c r="I2046">
        <v>137</v>
      </c>
      <c r="J2046">
        <f t="shared" ref="J2046" si="723">I2046-I2047</f>
        <v>72</v>
      </c>
      <c r="K2046" t="str">
        <f t="shared" si="569"/>
        <v>W</v>
      </c>
      <c r="L2046" t="str">
        <f t="shared" si="514"/>
        <v>Charles</v>
      </c>
      <c r="M2046" t="str">
        <f>VLOOKUP(L2046,References!$A$2:$B$16,2,FALSE)</f>
        <v>AKCOVA</v>
      </c>
      <c r="N2046" s="19" t="str">
        <f t="shared" ref="N2046" si="724">IF(M2046=M2047,"N","Y")</f>
        <v>N</v>
      </c>
      <c r="O2046">
        <f t="shared" ref="O2046" si="725">SUM(I2046:I2047)</f>
        <v>202</v>
      </c>
      <c r="P2046">
        <f t="shared" si="572"/>
        <v>65</v>
      </c>
    </row>
    <row r="2047" spans="1:16" hidden="1" x14ac:dyDescent="0.3">
      <c r="A2047" t="str">
        <f t="shared" si="564"/>
        <v>2025Watty11</v>
      </c>
      <c r="B2047">
        <f t="shared" si="565"/>
        <v>2072</v>
      </c>
      <c r="C2047">
        <f t="shared" si="566"/>
        <v>1853</v>
      </c>
      <c r="D2047" t="s">
        <v>24</v>
      </c>
      <c r="E2047" t="str">
        <f t="shared" si="581"/>
        <v>Charles</v>
      </c>
      <c r="F2047">
        <v>2025</v>
      </c>
      <c r="G2047">
        <v>11</v>
      </c>
      <c r="H2047">
        <v>5.2</v>
      </c>
      <c r="I2047">
        <v>65</v>
      </c>
      <c r="J2047">
        <f t="shared" ref="J2047" si="726">I2047-I2046</f>
        <v>-72</v>
      </c>
      <c r="K2047" t="str">
        <f t="shared" si="569"/>
        <v>L</v>
      </c>
      <c r="L2047" t="str">
        <f t="shared" si="514"/>
        <v>Watty</v>
      </c>
      <c r="M2047" t="str">
        <f>VLOOKUP(L2047,References!$A$2:$B$16,2,FALSE)</f>
        <v>AKCOVA</v>
      </c>
      <c r="N2047" s="19" t="str">
        <f t="shared" ref="N2047" si="727">IF(M2047=M2046,"N","Y")</f>
        <v>N</v>
      </c>
      <c r="O2047">
        <f t="shared" ref="O2047" si="728">SUM(I2046:I2047)</f>
        <v>202</v>
      </c>
      <c r="P2047">
        <f t="shared" si="572"/>
        <v>137</v>
      </c>
    </row>
    <row r="2048" spans="1:16" hidden="1" x14ac:dyDescent="0.3">
      <c r="A2048" t="str">
        <f t="shared" si="564"/>
        <v>2025Brent11</v>
      </c>
      <c r="B2048">
        <f t="shared" si="565"/>
        <v>660</v>
      </c>
      <c r="C2048">
        <f t="shared" si="566"/>
        <v>136</v>
      </c>
      <c r="D2048" t="s">
        <v>47</v>
      </c>
      <c r="E2048" t="str">
        <f t="shared" si="567"/>
        <v>Mark</v>
      </c>
      <c r="F2048">
        <v>2025</v>
      </c>
      <c r="G2048">
        <v>11</v>
      </c>
      <c r="H2048">
        <v>6.1</v>
      </c>
      <c r="I2048">
        <v>127</v>
      </c>
      <c r="J2048">
        <f t="shared" ref="J2048" si="729">I2048-I2049</f>
        <v>14</v>
      </c>
      <c r="K2048" t="str">
        <f t="shared" si="569"/>
        <v>W</v>
      </c>
      <c r="L2048" t="str">
        <f t="shared" si="514"/>
        <v>Brent</v>
      </c>
      <c r="M2048" t="str">
        <f>VLOOKUP(L2048,References!$A$2:$B$16,2,FALSE)</f>
        <v>TEXAROK</v>
      </c>
      <c r="N2048" s="19" t="str">
        <f t="shared" ref="N2048" si="730">IF(M2048=M2049,"N","Y")</f>
        <v>Y</v>
      </c>
      <c r="O2048">
        <f t="shared" ref="O2048" si="731">SUM(I2048:I2049)</f>
        <v>240</v>
      </c>
      <c r="P2048">
        <f t="shared" si="572"/>
        <v>113</v>
      </c>
    </row>
    <row r="2049" spans="1:16" hidden="1" x14ac:dyDescent="0.3">
      <c r="A2049" t="str">
        <f t="shared" si="564"/>
        <v>2025Mark11</v>
      </c>
      <c r="B2049">
        <f t="shared" si="565"/>
        <v>1409</v>
      </c>
      <c r="C2049">
        <f t="shared" si="566"/>
        <v>339</v>
      </c>
      <c r="D2049" t="s">
        <v>22</v>
      </c>
      <c r="E2049" t="str">
        <f t="shared" si="573"/>
        <v>Brent</v>
      </c>
      <c r="F2049">
        <v>2025</v>
      </c>
      <c r="G2049">
        <v>11</v>
      </c>
      <c r="H2049">
        <v>6.2</v>
      </c>
      <c r="I2049">
        <v>113</v>
      </c>
      <c r="J2049">
        <f t="shared" ref="J2049" si="732">I2049-I2048</f>
        <v>-14</v>
      </c>
      <c r="K2049" t="str">
        <f t="shared" si="569"/>
        <v>L</v>
      </c>
      <c r="L2049" t="str">
        <f t="shared" si="514"/>
        <v>Mark</v>
      </c>
      <c r="M2049" t="str">
        <f>VLOOKUP(L2049,References!$A$2:$B$16,2,FALSE)</f>
        <v>AKCOVA</v>
      </c>
      <c r="N2049" s="19" t="str">
        <f t="shared" ref="N2049" si="733">IF(M2049=M2048,"N","Y")</f>
        <v>Y</v>
      </c>
      <c r="O2049">
        <f t="shared" ref="O2049" si="734">SUM(I2048:I2049)</f>
        <v>240</v>
      </c>
      <c r="P2049">
        <f t="shared" si="572"/>
        <v>127</v>
      </c>
    </row>
    <row r="2050" spans="1:16" hidden="1" x14ac:dyDescent="0.3">
      <c r="A2050" t="str">
        <f t="shared" si="564"/>
        <v>2025Emily11</v>
      </c>
      <c r="B2050">
        <f t="shared" si="565"/>
        <v>949</v>
      </c>
      <c r="C2050">
        <f t="shared" si="566"/>
        <v>1241</v>
      </c>
      <c r="D2050" t="s">
        <v>43</v>
      </c>
      <c r="E2050" t="str">
        <f t="shared" si="577"/>
        <v>Grayson</v>
      </c>
      <c r="F2050">
        <v>2025</v>
      </c>
      <c r="G2050">
        <v>11</v>
      </c>
      <c r="H2050">
        <v>7.1</v>
      </c>
      <c r="I2050">
        <v>84</v>
      </c>
      <c r="J2050">
        <f t="shared" ref="J2050" si="735">I2050-I2051</f>
        <v>3</v>
      </c>
      <c r="K2050" t="str">
        <f t="shared" si="569"/>
        <v>W</v>
      </c>
      <c r="L2050" t="str">
        <f t="shared" si="514"/>
        <v>Emily</v>
      </c>
      <c r="M2050" t="str">
        <f>VLOOKUP(L2050,References!$A$2:$B$16,2,FALSE)</f>
        <v>TEXAROK</v>
      </c>
      <c r="N2050" s="19" t="str">
        <f t="shared" ref="N2050" si="736">IF(M2050=M2051,"N","Y")</f>
        <v>N</v>
      </c>
      <c r="O2050">
        <f t="shared" ref="O2050" si="737">SUM(I2050:I2051)</f>
        <v>165</v>
      </c>
      <c r="P2050">
        <f t="shared" si="572"/>
        <v>81</v>
      </c>
    </row>
    <row r="2051" spans="1:16" hidden="1" x14ac:dyDescent="0.3">
      <c r="A2051" t="str">
        <f t="shared" si="564"/>
        <v>2025Grayson11</v>
      </c>
      <c r="B2051">
        <f t="shared" si="565"/>
        <v>1117</v>
      </c>
      <c r="C2051">
        <f t="shared" si="566"/>
        <v>1365</v>
      </c>
      <c r="D2051" t="s">
        <v>473</v>
      </c>
      <c r="E2051" t="str">
        <f t="shared" si="581"/>
        <v>Emily</v>
      </c>
      <c r="F2051">
        <v>2025</v>
      </c>
      <c r="G2051">
        <v>11</v>
      </c>
      <c r="H2051">
        <v>7.2</v>
      </c>
      <c r="I2051">
        <v>81</v>
      </c>
      <c r="J2051">
        <f t="shared" ref="J2051" si="738">I2051-I2050</f>
        <v>-3</v>
      </c>
      <c r="K2051" t="str">
        <f t="shared" si="569"/>
        <v>L</v>
      </c>
      <c r="L2051" t="str">
        <f t="shared" si="514"/>
        <v>Grayson</v>
      </c>
      <c r="M2051" t="str">
        <f>VLOOKUP(L2051,References!$A$2:$B$16,2,FALSE)</f>
        <v>TEXAROK</v>
      </c>
      <c r="N2051" s="19" t="str">
        <f t="shared" ref="N2051" si="739">IF(M2051=M2050,"N","Y")</f>
        <v>N</v>
      </c>
      <c r="O2051">
        <f t="shared" ref="O2051" si="740">SUM(I2050:I2051)</f>
        <v>165</v>
      </c>
      <c r="P2051">
        <f t="shared" si="572"/>
        <v>84</v>
      </c>
    </row>
    <row r="2052" spans="1:16" hidden="1" x14ac:dyDescent="0.3">
      <c r="A2052" t="str">
        <f t="shared" ref="A2052:A2065" si="741">F2052&amp;D2052&amp;G2052</f>
        <v>2025Charles12</v>
      </c>
      <c r="B2052">
        <f t="shared" ref="B2052:B2065" si="742">RANK(J2052,diff)</f>
        <v>142</v>
      </c>
      <c r="C2052">
        <f t="shared" ref="C2052:C2065" si="743">RANK(I2052,points)</f>
        <v>186</v>
      </c>
      <c r="D2052" t="s">
        <v>48</v>
      </c>
      <c r="E2052" t="str">
        <f t="shared" si="577"/>
        <v>Michael</v>
      </c>
      <c r="F2052">
        <v>2025</v>
      </c>
      <c r="G2052">
        <v>12</v>
      </c>
      <c r="H2052">
        <v>1.1000000000000001</v>
      </c>
      <c r="I2052">
        <v>123</v>
      </c>
      <c r="J2052">
        <f t="shared" ref="J2052" si="744">I2052-I2053</f>
        <v>45</v>
      </c>
      <c r="K2052" t="str">
        <f t="shared" ref="K2052:K2065" si="745">IF(J2052&gt;0,"W",IF(J2052&lt;0,"L","T"))</f>
        <v>W</v>
      </c>
      <c r="L2052" t="str">
        <f t="shared" si="514"/>
        <v>Charles</v>
      </c>
      <c r="M2052" t="str">
        <f>VLOOKUP(L2052,References!$A$2:$B$16,2,FALSE)</f>
        <v>AKCOVA</v>
      </c>
      <c r="N2052" s="19" t="str">
        <f t="shared" ref="N2052" si="746">IF(M2052=M2053,"N","Y")</f>
        <v>N</v>
      </c>
      <c r="O2052">
        <f t="shared" ref="O2052" si="747">SUM(I2052:I2053)</f>
        <v>201</v>
      </c>
      <c r="P2052">
        <f t="shared" ref="P2052:P2065" si="748">I2052-J2052</f>
        <v>78</v>
      </c>
    </row>
    <row r="2053" spans="1:16" hidden="1" x14ac:dyDescent="0.3">
      <c r="A2053" t="str">
        <f t="shared" si="741"/>
        <v>2025Michael12</v>
      </c>
      <c r="B2053">
        <f t="shared" si="742"/>
        <v>1944</v>
      </c>
      <c r="C2053">
        <f t="shared" si="743"/>
        <v>1468</v>
      </c>
      <c r="D2053" t="s">
        <v>23</v>
      </c>
      <c r="E2053" t="str">
        <f t="shared" si="581"/>
        <v>Charles</v>
      </c>
      <c r="F2053">
        <v>2025</v>
      </c>
      <c r="G2053">
        <v>12</v>
      </c>
      <c r="H2053">
        <v>1.2</v>
      </c>
      <c r="I2053">
        <v>78</v>
      </c>
      <c r="J2053">
        <f t="shared" ref="J2053" si="749">I2053-I2052</f>
        <v>-45</v>
      </c>
      <c r="K2053" t="str">
        <f t="shared" si="745"/>
        <v>L</v>
      </c>
      <c r="L2053" t="str">
        <f t="shared" si="514"/>
        <v>Michael</v>
      </c>
      <c r="M2053" t="str">
        <f>VLOOKUP(L2053,References!$A$2:$B$16,2,FALSE)</f>
        <v>AKCOVA</v>
      </c>
      <c r="N2053" s="19" t="str">
        <f t="shared" ref="N2053" si="750">IF(M2053=M2052,"N","Y")</f>
        <v>N</v>
      </c>
      <c r="O2053">
        <f t="shared" ref="O2053" si="751">SUM(I2052:I2053)</f>
        <v>201</v>
      </c>
      <c r="P2053">
        <f t="shared" si="748"/>
        <v>123</v>
      </c>
    </row>
    <row r="2054" spans="1:16" hidden="1" x14ac:dyDescent="0.3">
      <c r="A2054" t="str">
        <f t="shared" si="741"/>
        <v>2025Brian12</v>
      </c>
      <c r="B2054">
        <f t="shared" si="742"/>
        <v>85</v>
      </c>
      <c r="C2054">
        <f t="shared" si="743"/>
        <v>26</v>
      </c>
      <c r="D2054" t="s">
        <v>26</v>
      </c>
      <c r="E2054" t="str">
        <f t="shared" ref="E2054:E2060" si="752">D2055</f>
        <v>Brent</v>
      </c>
      <c r="F2054">
        <v>2025</v>
      </c>
      <c r="G2054">
        <v>12</v>
      </c>
      <c r="H2054">
        <v>2.1</v>
      </c>
      <c r="I2054">
        <v>150</v>
      </c>
      <c r="J2054">
        <f t="shared" ref="J2054" si="753">I2054-I2055</f>
        <v>54</v>
      </c>
      <c r="K2054" t="str">
        <f t="shared" si="745"/>
        <v>W</v>
      </c>
      <c r="L2054" t="str">
        <f t="shared" si="514"/>
        <v>Brian</v>
      </c>
      <c r="M2054" t="str">
        <f>VLOOKUP(L2054,References!$A$2:$B$16,2,FALSE)</f>
        <v>TEXAROK</v>
      </c>
      <c r="N2054" s="19" t="str">
        <f t="shared" ref="N2054" si="754">IF(M2054=M2055,"N","Y")</f>
        <v>N</v>
      </c>
      <c r="O2054">
        <f t="shared" ref="O2054" si="755">SUM(I2054:I2055)</f>
        <v>246</v>
      </c>
      <c r="P2054">
        <f t="shared" si="748"/>
        <v>96</v>
      </c>
    </row>
    <row r="2055" spans="1:16" hidden="1" x14ac:dyDescent="0.3">
      <c r="A2055" t="str">
        <f t="shared" si="741"/>
        <v>2025Brent12</v>
      </c>
      <c r="B2055">
        <f t="shared" si="742"/>
        <v>2005</v>
      </c>
      <c r="C2055">
        <f t="shared" si="743"/>
        <v>822</v>
      </c>
      <c r="D2055" t="s">
        <v>47</v>
      </c>
      <c r="E2055" t="str">
        <f t="shared" ref="E2055:E2061" si="756">D2054</f>
        <v>Brian</v>
      </c>
      <c r="F2055">
        <v>2025</v>
      </c>
      <c r="G2055">
        <v>12</v>
      </c>
      <c r="H2055">
        <v>2.2000000000000002</v>
      </c>
      <c r="I2055">
        <v>96</v>
      </c>
      <c r="J2055">
        <f t="shared" ref="J2055" si="757">I2055-I2054</f>
        <v>-54</v>
      </c>
      <c r="K2055" t="str">
        <f t="shared" si="745"/>
        <v>L</v>
      </c>
      <c r="L2055" t="str">
        <f t="shared" si="514"/>
        <v>Brent</v>
      </c>
      <c r="M2055" t="str">
        <f>VLOOKUP(L2055,References!$A$2:$B$16,2,FALSE)</f>
        <v>TEXAROK</v>
      </c>
      <c r="N2055" s="19" t="str">
        <f t="shared" ref="N2055" si="758">IF(M2055=M2054,"N","Y")</f>
        <v>N</v>
      </c>
      <c r="O2055">
        <f t="shared" ref="O2055" si="759">SUM(I2054:I2055)</f>
        <v>246</v>
      </c>
      <c r="P2055">
        <f t="shared" si="748"/>
        <v>150</v>
      </c>
    </row>
    <row r="2056" spans="1:16" hidden="1" x14ac:dyDescent="0.3">
      <c r="A2056" t="str">
        <f t="shared" si="741"/>
        <v>2025Grayson12</v>
      </c>
      <c r="B2056">
        <f t="shared" si="742"/>
        <v>1978</v>
      </c>
      <c r="C2056">
        <f t="shared" si="743"/>
        <v>1618</v>
      </c>
      <c r="D2056" t="s">
        <v>473</v>
      </c>
      <c r="E2056" t="str">
        <f t="shared" si="577"/>
        <v>David</v>
      </c>
      <c r="F2056">
        <v>2025</v>
      </c>
      <c r="G2056">
        <v>12</v>
      </c>
      <c r="H2056">
        <v>3.1</v>
      </c>
      <c r="I2056">
        <v>74</v>
      </c>
      <c r="J2056">
        <f t="shared" ref="J2056" si="760">I2056-I2057</f>
        <v>-50</v>
      </c>
      <c r="K2056" t="str">
        <f t="shared" si="745"/>
        <v>L</v>
      </c>
      <c r="L2056" t="str">
        <f t="shared" si="514"/>
        <v>Grayson</v>
      </c>
      <c r="M2056" t="str">
        <f>VLOOKUP(L2056,References!$A$2:$B$16,2,FALSE)</f>
        <v>TEXAROK</v>
      </c>
      <c r="N2056" s="19" t="str">
        <f t="shared" ref="N2056" si="761">IF(M2056=M2057,"N","Y")</f>
        <v>N</v>
      </c>
      <c r="O2056">
        <f t="shared" ref="O2056" si="762">SUM(I2056:I2057)</f>
        <v>198</v>
      </c>
      <c r="P2056">
        <f t="shared" si="748"/>
        <v>124</v>
      </c>
    </row>
    <row r="2057" spans="1:16" hidden="1" x14ac:dyDescent="0.3">
      <c r="A2057" t="str">
        <f t="shared" si="741"/>
        <v>2025David12</v>
      </c>
      <c r="B2057">
        <f t="shared" si="742"/>
        <v>107</v>
      </c>
      <c r="C2057">
        <f t="shared" si="743"/>
        <v>173</v>
      </c>
      <c r="D2057" t="s">
        <v>29</v>
      </c>
      <c r="E2057" t="str">
        <f t="shared" si="581"/>
        <v>Grayson</v>
      </c>
      <c r="F2057">
        <v>2025</v>
      </c>
      <c r="G2057">
        <v>12</v>
      </c>
      <c r="H2057">
        <v>3.2</v>
      </c>
      <c r="I2057">
        <v>124</v>
      </c>
      <c r="J2057">
        <f t="shared" ref="J2057" si="763">I2057-I2056</f>
        <v>50</v>
      </c>
      <c r="K2057" t="str">
        <f t="shared" si="745"/>
        <v>W</v>
      </c>
      <c r="L2057" t="str">
        <f t="shared" si="514"/>
        <v>David</v>
      </c>
      <c r="M2057" t="str">
        <f>VLOOKUP(L2057,References!$A$2:$B$16,2,FALSE)</f>
        <v>TEXAROK</v>
      </c>
      <c r="N2057" s="19" t="str">
        <f t="shared" ref="N2057" si="764">IF(M2057=M2056,"N","Y")</f>
        <v>N</v>
      </c>
      <c r="O2057">
        <f t="shared" ref="O2057" si="765">SUM(I2056:I2057)</f>
        <v>198</v>
      </c>
      <c r="P2057">
        <f t="shared" si="748"/>
        <v>74</v>
      </c>
    </row>
    <row r="2058" spans="1:16" hidden="1" x14ac:dyDescent="0.3">
      <c r="A2058" t="str">
        <f t="shared" si="741"/>
        <v>2025BR12</v>
      </c>
      <c r="B2058">
        <f t="shared" si="742"/>
        <v>1832</v>
      </c>
      <c r="C2058">
        <f t="shared" si="743"/>
        <v>652</v>
      </c>
      <c r="D2058" t="s">
        <v>25</v>
      </c>
      <c r="E2058" t="str">
        <f t="shared" si="577"/>
        <v>Russell</v>
      </c>
      <c r="F2058">
        <v>2025</v>
      </c>
      <c r="G2058">
        <v>12</v>
      </c>
      <c r="H2058">
        <v>4.0999999999999996</v>
      </c>
      <c r="I2058">
        <v>101</v>
      </c>
      <c r="J2058">
        <f t="shared" ref="J2058" si="766">I2058-I2059</f>
        <v>-35</v>
      </c>
      <c r="K2058" t="str">
        <f t="shared" si="745"/>
        <v>L</v>
      </c>
      <c r="L2058" t="str">
        <f t="shared" si="514"/>
        <v>BR</v>
      </c>
      <c r="M2058" t="str">
        <f>VLOOKUP(L2058,References!$A$2:$B$16,2,FALSE)</f>
        <v>AKCOVA</v>
      </c>
      <c r="N2058" s="19" t="str">
        <f t="shared" ref="N2058" si="767">IF(M2058=M2059,"N","Y")</f>
        <v>Y</v>
      </c>
      <c r="O2058">
        <f t="shared" ref="O2058" si="768">SUM(I2058:I2059)</f>
        <v>237</v>
      </c>
      <c r="P2058">
        <f t="shared" si="748"/>
        <v>136</v>
      </c>
    </row>
    <row r="2059" spans="1:16" hidden="1" x14ac:dyDescent="0.3">
      <c r="A2059" t="str">
        <f t="shared" si="741"/>
        <v>2025Russell12</v>
      </c>
      <c r="B2059">
        <f t="shared" si="742"/>
        <v>254</v>
      </c>
      <c r="C2059">
        <f t="shared" si="743"/>
        <v>73</v>
      </c>
      <c r="D2059" t="s">
        <v>28</v>
      </c>
      <c r="E2059" t="str">
        <f t="shared" si="581"/>
        <v>BR</v>
      </c>
      <c r="F2059">
        <v>2025</v>
      </c>
      <c r="G2059">
        <v>12</v>
      </c>
      <c r="H2059">
        <v>4.2</v>
      </c>
      <c r="I2059">
        <v>136</v>
      </c>
      <c r="J2059">
        <f t="shared" ref="J2059" si="769">I2059-I2058</f>
        <v>35</v>
      </c>
      <c r="K2059" t="str">
        <f t="shared" si="745"/>
        <v>W</v>
      </c>
      <c r="L2059" t="str">
        <f t="shared" si="514"/>
        <v>Russell</v>
      </c>
      <c r="M2059" t="str">
        <f>VLOOKUP(L2059,References!$A$2:$B$16,2,FALSE)</f>
        <v>TEXAROK</v>
      </c>
      <c r="N2059" s="19" t="str">
        <f t="shared" ref="N2059" si="770">IF(M2059=M2058,"N","Y")</f>
        <v>Y</v>
      </c>
      <c r="O2059">
        <f t="shared" ref="O2059" si="771">SUM(I2058:I2059)</f>
        <v>237</v>
      </c>
      <c r="P2059">
        <f t="shared" si="748"/>
        <v>101</v>
      </c>
    </row>
    <row r="2060" spans="1:16" hidden="1" x14ac:dyDescent="0.3">
      <c r="A2060" t="str">
        <f t="shared" si="741"/>
        <v>2025Watty12</v>
      </c>
      <c r="B2060">
        <f t="shared" si="742"/>
        <v>469</v>
      </c>
      <c r="C2060">
        <f t="shared" si="743"/>
        <v>128</v>
      </c>
      <c r="D2060" t="s">
        <v>24</v>
      </c>
      <c r="E2060" t="str">
        <f t="shared" si="752"/>
        <v>Emily</v>
      </c>
      <c r="F2060">
        <v>2025</v>
      </c>
      <c r="G2060">
        <v>12</v>
      </c>
      <c r="H2060">
        <v>5.0999999999999996</v>
      </c>
      <c r="I2060">
        <v>128</v>
      </c>
      <c r="J2060">
        <f t="shared" ref="J2060" si="772">I2060-I2061</f>
        <v>22</v>
      </c>
      <c r="K2060" t="str">
        <f t="shared" si="745"/>
        <v>W</v>
      </c>
      <c r="L2060" t="str">
        <f t="shared" si="514"/>
        <v>Watty</v>
      </c>
      <c r="M2060" t="str">
        <f>VLOOKUP(L2060,References!$A$2:$B$16,2,FALSE)</f>
        <v>AKCOVA</v>
      </c>
      <c r="N2060" s="19" t="str">
        <f t="shared" ref="N2060" si="773">IF(M2060=M2061,"N","Y")</f>
        <v>Y</v>
      </c>
      <c r="O2060">
        <f t="shared" ref="O2060" si="774">SUM(I2060:I2061)</f>
        <v>234</v>
      </c>
      <c r="P2060">
        <f t="shared" si="748"/>
        <v>106</v>
      </c>
    </row>
    <row r="2061" spans="1:16" hidden="1" x14ac:dyDescent="0.3">
      <c r="A2061" t="str">
        <f t="shared" si="741"/>
        <v>2025Emily12</v>
      </c>
      <c r="B2061">
        <f t="shared" si="742"/>
        <v>1605</v>
      </c>
      <c r="C2061">
        <f t="shared" si="743"/>
        <v>509</v>
      </c>
      <c r="D2061" t="s">
        <v>43</v>
      </c>
      <c r="E2061" t="str">
        <f t="shared" si="756"/>
        <v>Watty</v>
      </c>
      <c r="F2061">
        <v>2025</v>
      </c>
      <c r="G2061">
        <v>12</v>
      </c>
      <c r="H2061">
        <v>5.2</v>
      </c>
      <c r="I2061">
        <v>106</v>
      </c>
      <c r="J2061">
        <f t="shared" ref="J2061" si="775">I2061-I2060</f>
        <v>-22</v>
      </c>
      <c r="K2061" t="str">
        <f t="shared" si="745"/>
        <v>L</v>
      </c>
      <c r="L2061" t="str">
        <f t="shared" si="514"/>
        <v>Emily</v>
      </c>
      <c r="M2061" t="str">
        <f>VLOOKUP(L2061,References!$A$2:$B$16,2,FALSE)</f>
        <v>TEXAROK</v>
      </c>
      <c r="N2061" s="19" t="str">
        <f t="shared" ref="N2061" si="776">IF(M2061=M2060,"N","Y")</f>
        <v>Y</v>
      </c>
      <c r="O2061">
        <f t="shared" ref="O2061" si="777">SUM(I2060:I2061)</f>
        <v>234</v>
      </c>
      <c r="P2061">
        <f t="shared" si="748"/>
        <v>128</v>
      </c>
    </row>
    <row r="2062" spans="1:16" hidden="1" x14ac:dyDescent="0.3">
      <c r="A2062" t="str">
        <f t="shared" si="741"/>
        <v>2025Matt12</v>
      </c>
      <c r="B2062">
        <f t="shared" si="742"/>
        <v>1145</v>
      </c>
      <c r="C2062">
        <f t="shared" si="743"/>
        <v>509</v>
      </c>
      <c r="D2062" t="s">
        <v>30</v>
      </c>
      <c r="E2062" t="str">
        <f t="shared" ref="E2062:E2064" si="778">D2063</f>
        <v>Arnold</v>
      </c>
      <c r="F2062">
        <v>2025</v>
      </c>
      <c r="G2062">
        <v>12</v>
      </c>
      <c r="H2062">
        <v>6.1</v>
      </c>
      <c r="I2062">
        <v>106</v>
      </c>
      <c r="J2062">
        <f t="shared" ref="J2062" si="779">I2062-I2063</f>
        <v>-4</v>
      </c>
      <c r="K2062" t="str">
        <f t="shared" si="745"/>
        <v>L</v>
      </c>
      <c r="L2062" t="str">
        <f t="shared" si="514"/>
        <v>Matt</v>
      </c>
      <c r="M2062" t="str">
        <f>VLOOKUP(L2062,References!$A$2:$B$16,2,FALSE)</f>
        <v>TEXAROK</v>
      </c>
      <c r="N2062" s="19" t="str">
        <f t="shared" ref="N2062" si="780">IF(M2062=M2063,"N","Y")</f>
        <v>Y</v>
      </c>
      <c r="O2062">
        <f t="shared" ref="O2062" si="781">SUM(I2062:I2063)</f>
        <v>216</v>
      </c>
      <c r="P2062">
        <f t="shared" si="748"/>
        <v>110</v>
      </c>
    </row>
    <row r="2063" spans="1:16" hidden="1" x14ac:dyDescent="0.3">
      <c r="A2063" t="str">
        <f t="shared" si="741"/>
        <v>2025Arnold12</v>
      </c>
      <c r="B2063">
        <f t="shared" si="742"/>
        <v>917</v>
      </c>
      <c r="C2063">
        <f t="shared" si="743"/>
        <v>412</v>
      </c>
      <c r="D2063" t="s">
        <v>227</v>
      </c>
      <c r="E2063" t="str">
        <f t="shared" ref="E2063:E2065" si="782">D2062</f>
        <v>Matt</v>
      </c>
      <c r="F2063">
        <v>2025</v>
      </c>
      <c r="G2063">
        <v>12</v>
      </c>
      <c r="H2063">
        <v>6.2</v>
      </c>
      <c r="I2063">
        <v>110</v>
      </c>
      <c r="J2063">
        <f t="shared" ref="J2063" si="783">I2063-I2062</f>
        <v>4</v>
      </c>
      <c r="K2063" t="str">
        <f t="shared" si="745"/>
        <v>W</v>
      </c>
      <c r="L2063" t="str">
        <f t="shared" si="514"/>
        <v>Arnold</v>
      </c>
      <c r="M2063" t="str">
        <f>VLOOKUP(L2063,References!$A$2:$B$16,2,FALSE)</f>
        <v>AKCOVA</v>
      </c>
      <c r="N2063" s="19" t="str">
        <f t="shared" ref="N2063" si="784">IF(M2063=M2062,"N","Y")</f>
        <v>Y</v>
      </c>
      <c r="O2063">
        <f t="shared" ref="O2063" si="785">SUM(I2062:I2063)</f>
        <v>216</v>
      </c>
      <c r="P2063">
        <f t="shared" si="748"/>
        <v>106</v>
      </c>
    </row>
    <row r="2064" spans="1:16" hidden="1" x14ac:dyDescent="0.3">
      <c r="A2064" t="str">
        <f t="shared" si="741"/>
        <v>2025Mark12</v>
      </c>
      <c r="B2064">
        <f t="shared" si="742"/>
        <v>1055</v>
      </c>
      <c r="C2064">
        <f t="shared" si="743"/>
        <v>248</v>
      </c>
      <c r="D2064" t="s">
        <v>22</v>
      </c>
      <c r="E2064" t="str">
        <f t="shared" si="778"/>
        <v>Jordan</v>
      </c>
      <c r="F2064">
        <v>2025</v>
      </c>
      <c r="G2064">
        <v>12</v>
      </c>
      <c r="H2064">
        <v>7.1</v>
      </c>
      <c r="I2064">
        <v>119</v>
      </c>
      <c r="J2064">
        <f t="shared" ref="J2064" si="786">I2064-I2065</f>
        <v>-1</v>
      </c>
      <c r="K2064" t="str">
        <f t="shared" si="745"/>
        <v>L</v>
      </c>
      <c r="L2064" t="str">
        <f t="shared" si="514"/>
        <v>Mark</v>
      </c>
      <c r="M2064" t="str">
        <f>VLOOKUP(L2064,References!$A$2:$B$16,2,FALSE)</f>
        <v>AKCOVA</v>
      </c>
      <c r="N2064" s="19" t="str">
        <f t="shared" ref="N2064" si="787">IF(M2064=M2065,"N","Y")</f>
        <v>N</v>
      </c>
      <c r="O2064">
        <f t="shared" ref="O2064" si="788">SUM(I2064:I2065)</f>
        <v>239</v>
      </c>
      <c r="P2064">
        <f t="shared" si="748"/>
        <v>120</v>
      </c>
    </row>
    <row r="2065" spans="1:16" hidden="1" x14ac:dyDescent="0.3">
      <c r="A2065" t="str">
        <f t="shared" si="741"/>
        <v>2025Jordan12</v>
      </c>
      <c r="B2065">
        <f t="shared" si="742"/>
        <v>1004</v>
      </c>
      <c r="C2065">
        <f t="shared" si="743"/>
        <v>227</v>
      </c>
      <c r="D2065" t="s">
        <v>472</v>
      </c>
      <c r="E2065" t="str">
        <f t="shared" si="782"/>
        <v>Mark</v>
      </c>
      <c r="F2065">
        <v>2025</v>
      </c>
      <c r="G2065">
        <v>12</v>
      </c>
      <c r="H2065">
        <v>7.2</v>
      </c>
      <c r="I2065">
        <v>120</v>
      </c>
      <c r="J2065">
        <f t="shared" ref="J2065" si="789">I2065-I2064</f>
        <v>1</v>
      </c>
      <c r="K2065" t="str">
        <f t="shared" si="745"/>
        <v>W</v>
      </c>
      <c r="L2065" t="str">
        <f t="shared" si="514"/>
        <v>Jordan</v>
      </c>
      <c r="M2065" t="str">
        <f>VLOOKUP(L2065,References!$A$2:$B$16,2,FALSE)</f>
        <v>AKCOVA</v>
      </c>
      <c r="N2065" s="19" t="str">
        <f t="shared" ref="N2065:N2066" si="790">IF(M2065=M2064,"N","Y")</f>
        <v>N</v>
      </c>
      <c r="O2065">
        <f t="shared" ref="O2065:O2066" si="791">SUM(I2064:I2065)</f>
        <v>239</v>
      </c>
      <c r="P2065">
        <f t="shared" si="748"/>
        <v>119</v>
      </c>
    </row>
    <row r="2066" spans="1:16" hidden="1" x14ac:dyDescent="0.3">
      <c r="A2066" t="str">
        <f t="shared" ref="A2066:A2093" si="792">F2066&amp;D2066&amp;G2066</f>
        <v>2025Michael13</v>
      </c>
      <c r="B2066">
        <f t="shared" ref="B2066:B2093" si="793">RANK(J2066,diff)</f>
        <v>548</v>
      </c>
      <c r="C2066">
        <f t="shared" ref="C2066:C2093" si="794">RANK(I2066,points)</f>
        <v>486</v>
      </c>
      <c r="D2066" t="s">
        <v>23</v>
      </c>
      <c r="E2066" t="str">
        <f t="shared" ref="E2066" si="795">D2067</f>
        <v>Mark</v>
      </c>
      <c r="F2066">
        <v>2025</v>
      </c>
      <c r="G2066">
        <v>13</v>
      </c>
      <c r="H2066">
        <v>1.1000000000000001</v>
      </c>
      <c r="I2066">
        <v>107</v>
      </c>
      <c r="J2066">
        <f t="shared" ref="J2066" si="796">I2066-I2067</f>
        <v>19</v>
      </c>
      <c r="K2066" t="str">
        <f t="shared" ref="K2066:K2093" si="797">IF(J2066&gt;0,"W",IF(J2066&lt;0,"L","T"))</f>
        <v>W</v>
      </c>
      <c r="L2066" t="str">
        <f t="shared" si="514"/>
        <v>Michael</v>
      </c>
      <c r="M2066" t="str">
        <f>VLOOKUP(L2066,References!$A$2:$B$16,2,FALSE)</f>
        <v>AKCOVA</v>
      </c>
      <c r="N2066" s="19" t="str">
        <f t="shared" si="790"/>
        <v>N</v>
      </c>
      <c r="O2066">
        <f t="shared" si="791"/>
        <v>227</v>
      </c>
      <c r="P2066">
        <f t="shared" ref="P2066:P2093" si="798">I2066-J2066</f>
        <v>88</v>
      </c>
    </row>
    <row r="2067" spans="1:16" hidden="1" x14ac:dyDescent="0.3">
      <c r="A2067" t="str">
        <f t="shared" si="792"/>
        <v>2025Mark13</v>
      </c>
      <c r="B2067">
        <f t="shared" si="793"/>
        <v>1523</v>
      </c>
      <c r="C2067">
        <f t="shared" si="794"/>
        <v>1100</v>
      </c>
      <c r="D2067" t="s">
        <v>22</v>
      </c>
      <c r="E2067" t="str">
        <f t="shared" ref="E2067" si="799">D2066</f>
        <v>Michael</v>
      </c>
      <c r="F2067">
        <v>2025</v>
      </c>
      <c r="G2067">
        <v>13</v>
      </c>
      <c r="H2067">
        <v>1.2</v>
      </c>
      <c r="I2067">
        <v>88</v>
      </c>
      <c r="J2067">
        <f t="shared" ref="J2067" si="800">I2067-I2066</f>
        <v>-19</v>
      </c>
      <c r="K2067" t="str">
        <f t="shared" si="797"/>
        <v>L</v>
      </c>
      <c r="L2067" t="str">
        <f t="shared" si="514"/>
        <v>Mark</v>
      </c>
      <c r="M2067" t="str">
        <f>VLOOKUP(L2067,References!$A$2:$B$16,2,FALSE)</f>
        <v>AKCOVA</v>
      </c>
      <c r="N2067" s="19" t="str">
        <f t="shared" ref="N2067" si="801">IF(M2067=M2068,"N","Y")</f>
        <v>Y</v>
      </c>
      <c r="O2067">
        <f t="shared" ref="O2067" si="802">SUM(I2067:I2068)</f>
        <v>197</v>
      </c>
      <c r="P2067">
        <f t="shared" si="798"/>
        <v>107</v>
      </c>
    </row>
    <row r="2068" spans="1:16" hidden="1" x14ac:dyDescent="0.3">
      <c r="A2068" t="str">
        <f t="shared" si="792"/>
        <v>2025Brent13</v>
      </c>
      <c r="B2068">
        <f t="shared" si="793"/>
        <v>1090</v>
      </c>
      <c r="C2068">
        <f t="shared" si="794"/>
        <v>435</v>
      </c>
      <c r="D2068" t="s">
        <v>47</v>
      </c>
      <c r="E2068" t="str">
        <f t="shared" ref="E2068" si="803">D2069</f>
        <v>BR</v>
      </c>
      <c r="F2068">
        <v>2025</v>
      </c>
      <c r="G2068">
        <v>13</v>
      </c>
      <c r="H2068">
        <v>2.1</v>
      </c>
      <c r="I2068">
        <v>109</v>
      </c>
      <c r="J2068">
        <f t="shared" ref="J2068" si="804">I2068-I2069</f>
        <v>-2</v>
      </c>
      <c r="K2068" t="str">
        <f t="shared" si="797"/>
        <v>L</v>
      </c>
      <c r="L2068" t="str">
        <f t="shared" si="514"/>
        <v>Brent</v>
      </c>
      <c r="M2068" t="str">
        <f>VLOOKUP(L2068,References!$A$2:$B$16,2,FALSE)</f>
        <v>TEXAROK</v>
      </c>
      <c r="N2068" s="19" t="str">
        <f t="shared" ref="N2068" si="805">IF(M2068=M2067,"N","Y")</f>
        <v>Y</v>
      </c>
      <c r="O2068">
        <f t="shared" ref="O2068" si="806">SUM(I2067:I2068)</f>
        <v>197</v>
      </c>
      <c r="P2068">
        <f t="shared" si="798"/>
        <v>111</v>
      </c>
    </row>
    <row r="2069" spans="1:16" hidden="1" x14ac:dyDescent="0.3">
      <c r="A2069" t="str">
        <f t="shared" si="792"/>
        <v>2025BR13</v>
      </c>
      <c r="B2069">
        <f t="shared" si="793"/>
        <v>977</v>
      </c>
      <c r="C2069">
        <f t="shared" si="794"/>
        <v>383</v>
      </c>
      <c r="D2069" t="s">
        <v>25</v>
      </c>
      <c r="E2069" t="str">
        <f t="shared" ref="E2069" si="807">D2068</f>
        <v>Brent</v>
      </c>
      <c r="F2069">
        <v>2025</v>
      </c>
      <c r="G2069">
        <v>13</v>
      </c>
      <c r="H2069">
        <v>2.2000000000000002</v>
      </c>
      <c r="I2069">
        <v>111</v>
      </c>
      <c r="J2069">
        <f t="shared" ref="J2069" si="808">I2069-I2068</f>
        <v>2</v>
      </c>
      <c r="K2069" t="str">
        <f t="shared" si="797"/>
        <v>W</v>
      </c>
      <c r="L2069" t="str">
        <f t="shared" si="514"/>
        <v>BR</v>
      </c>
      <c r="M2069" t="str">
        <f>VLOOKUP(L2069,References!$A$2:$B$16,2,FALSE)</f>
        <v>AKCOVA</v>
      </c>
      <c r="N2069" s="19" t="str">
        <f t="shared" ref="N2069" si="809">IF(M2069=M2070,"N","Y")</f>
        <v>Y</v>
      </c>
      <c r="O2069">
        <f t="shared" ref="O2069" si="810">SUM(I2069:I2070)</f>
        <v>260</v>
      </c>
      <c r="P2069">
        <f t="shared" si="798"/>
        <v>109</v>
      </c>
    </row>
    <row r="2070" spans="1:16" hidden="1" x14ac:dyDescent="0.3">
      <c r="A2070" t="str">
        <f t="shared" si="792"/>
        <v>2025Emily13</v>
      </c>
      <c r="B2070">
        <f t="shared" si="793"/>
        <v>660</v>
      </c>
      <c r="C2070">
        <f t="shared" si="794"/>
        <v>28</v>
      </c>
      <c r="D2070" t="s">
        <v>43</v>
      </c>
      <c r="E2070" t="str">
        <f t="shared" ref="E2070" si="811">D2071</f>
        <v>Charles</v>
      </c>
      <c r="F2070">
        <v>2025</v>
      </c>
      <c r="G2070">
        <v>13</v>
      </c>
      <c r="H2070">
        <v>3.1</v>
      </c>
      <c r="I2070">
        <v>149</v>
      </c>
      <c r="J2070">
        <f t="shared" ref="J2070" si="812">I2070-I2071</f>
        <v>14</v>
      </c>
      <c r="K2070" t="str">
        <f t="shared" si="797"/>
        <v>W</v>
      </c>
      <c r="L2070" t="str">
        <f t="shared" si="514"/>
        <v>Emily</v>
      </c>
      <c r="M2070" t="str">
        <f>VLOOKUP(L2070,References!$A$2:$B$16,2,FALSE)</f>
        <v>TEXAROK</v>
      </c>
      <c r="N2070" s="19" t="str">
        <f t="shared" ref="N2070:N2071" si="813">IF(M2070=M2069,"N","Y")</f>
        <v>Y</v>
      </c>
      <c r="O2070">
        <f t="shared" ref="O2070:O2071" si="814">SUM(I2069:I2070)</f>
        <v>260</v>
      </c>
      <c r="P2070">
        <f t="shared" si="798"/>
        <v>135</v>
      </c>
    </row>
    <row r="2071" spans="1:16" hidden="1" x14ac:dyDescent="0.3">
      <c r="A2071" t="str">
        <f t="shared" si="792"/>
        <v>2025Charles13</v>
      </c>
      <c r="B2071">
        <f t="shared" si="793"/>
        <v>1409</v>
      </c>
      <c r="C2071">
        <f t="shared" si="794"/>
        <v>78</v>
      </c>
      <c r="D2071" t="s">
        <v>48</v>
      </c>
      <c r="E2071" t="str">
        <f t="shared" ref="E2071" si="815">D2070</f>
        <v>Emily</v>
      </c>
      <c r="F2071">
        <v>2025</v>
      </c>
      <c r="G2071">
        <v>13</v>
      </c>
      <c r="H2071">
        <v>3.2</v>
      </c>
      <c r="I2071">
        <v>135</v>
      </c>
      <c r="J2071">
        <f t="shared" ref="J2071" si="816">I2071-I2070</f>
        <v>-14</v>
      </c>
      <c r="K2071" t="str">
        <f t="shared" si="797"/>
        <v>L</v>
      </c>
      <c r="L2071" t="str">
        <f t="shared" si="514"/>
        <v>Charles</v>
      </c>
      <c r="M2071" t="str">
        <f>VLOOKUP(L2071,References!$A$2:$B$16,2,FALSE)</f>
        <v>AKCOVA</v>
      </c>
      <c r="N2071" s="19" t="str">
        <f t="shared" si="813"/>
        <v>Y</v>
      </c>
      <c r="O2071">
        <f t="shared" si="814"/>
        <v>284</v>
      </c>
      <c r="P2071">
        <f t="shared" si="798"/>
        <v>149</v>
      </c>
    </row>
    <row r="2072" spans="1:16" hidden="1" x14ac:dyDescent="0.3">
      <c r="A2072" t="str">
        <f t="shared" si="792"/>
        <v>2025Russell13</v>
      </c>
      <c r="B2072">
        <f t="shared" si="793"/>
        <v>1702</v>
      </c>
      <c r="C2072">
        <f t="shared" si="794"/>
        <v>1318</v>
      </c>
      <c r="D2072" t="s">
        <v>28</v>
      </c>
      <c r="E2072" t="str">
        <f t="shared" ref="E2072" si="817">D2073</f>
        <v>Matt</v>
      </c>
      <c r="F2072">
        <v>2025</v>
      </c>
      <c r="G2072">
        <v>13</v>
      </c>
      <c r="H2072">
        <v>4.0999999999999996</v>
      </c>
      <c r="I2072">
        <v>82</v>
      </c>
      <c r="J2072">
        <f t="shared" ref="J2072" si="818">I2072-I2073</f>
        <v>-27</v>
      </c>
      <c r="K2072" t="str">
        <f t="shared" si="797"/>
        <v>L</v>
      </c>
      <c r="L2072" t="str">
        <f t="shared" si="514"/>
        <v>Russell</v>
      </c>
      <c r="M2072" t="str">
        <f>VLOOKUP(L2072,References!$A$2:$B$16,2,FALSE)</f>
        <v>TEXAROK</v>
      </c>
      <c r="N2072" s="19" t="str">
        <f t="shared" ref="N2072" si="819">IF(M2072=M2073,"N","Y")</f>
        <v>N</v>
      </c>
      <c r="O2072">
        <f t="shared" ref="O2072" si="820">SUM(I2072:I2073)</f>
        <v>191</v>
      </c>
      <c r="P2072">
        <f t="shared" si="798"/>
        <v>109</v>
      </c>
    </row>
    <row r="2073" spans="1:16" hidden="1" x14ac:dyDescent="0.3">
      <c r="A2073" t="str">
        <f t="shared" si="792"/>
        <v>2025Matt13</v>
      </c>
      <c r="B2073">
        <f t="shared" si="793"/>
        <v>371</v>
      </c>
      <c r="C2073">
        <f t="shared" si="794"/>
        <v>435</v>
      </c>
      <c r="D2073" t="s">
        <v>30</v>
      </c>
      <c r="E2073" t="str">
        <f t="shared" ref="E2073" si="821">D2072</f>
        <v>Russell</v>
      </c>
      <c r="F2073">
        <v>2025</v>
      </c>
      <c r="G2073">
        <v>13</v>
      </c>
      <c r="H2073">
        <v>4.2</v>
      </c>
      <c r="I2073">
        <v>109</v>
      </c>
      <c r="J2073">
        <f t="shared" ref="J2073" si="822">I2073-I2072</f>
        <v>27</v>
      </c>
      <c r="K2073" t="str">
        <f t="shared" si="797"/>
        <v>W</v>
      </c>
      <c r="L2073" t="str">
        <f t="shared" si="514"/>
        <v>Matt</v>
      </c>
      <c r="M2073" t="str">
        <f>VLOOKUP(L2073,References!$A$2:$B$16,2,FALSE)</f>
        <v>TEXAROK</v>
      </c>
      <c r="N2073" s="19" t="str">
        <f t="shared" ref="N2073" si="823">IF(M2073=M2072,"N","Y")</f>
        <v>N</v>
      </c>
      <c r="O2073">
        <f t="shared" ref="O2073" si="824">SUM(I2072:I2073)</f>
        <v>191</v>
      </c>
      <c r="P2073">
        <f t="shared" si="798"/>
        <v>82</v>
      </c>
    </row>
    <row r="2074" spans="1:16" hidden="1" x14ac:dyDescent="0.3">
      <c r="A2074" t="str">
        <f t="shared" si="792"/>
        <v>2025David13</v>
      </c>
      <c r="B2074">
        <f t="shared" si="793"/>
        <v>1840</v>
      </c>
      <c r="C2074">
        <f t="shared" si="794"/>
        <v>1365</v>
      </c>
      <c r="D2074" t="s">
        <v>29</v>
      </c>
      <c r="E2074" t="str">
        <f t="shared" ref="E2074" si="825">D2075</f>
        <v>Watty</v>
      </c>
      <c r="F2074">
        <v>2025</v>
      </c>
      <c r="G2074">
        <v>13</v>
      </c>
      <c r="H2074">
        <v>5.0999999999999996</v>
      </c>
      <c r="I2074">
        <v>81</v>
      </c>
      <c r="J2074">
        <f t="shared" ref="J2074" si="826">I2074-I2075</f>
        <v>-36</v>
      </c>
      <c r="K2074" t="str">
        <f t="shared" si="797"/>
        <v>L</v>
      </c>
      <c r="L2074" t="str">
        <f t="shared" si="514"/>
        <v>David</v>
      </c>
      <c r="M2074" t="str">
        <f>VLOOKUP(L2074,References!$A$2:$B$16,2,FALSE)</f>
        <v>TEXAROK</v>
      </c>
      <c r="N2074" s="19" t="str">
        <f t="shared" ref="N2074" si="827">IF(M2074=M2075,"N","Y")</f>
        <v>Y</v>
      </c>
      <c r="O2074">
        <f t="shared" ref="O2074" si="828">SUM(I2074:I2075)</f>
        <v>198</v>
      </c>
      <c r="P2074">
        <f t="shared" si="798"/>
        <v>117</v>
      </c>
    </row>
    <row r="2075" spans="1:16" hidden="1" x14ac:dyDescent="0.3">
      <c r="A2075" t="str">
        <f t="shared" si="792"/>
        <v>2025Watty13</v>
      </c>
      <c r="B2075">
        <f t="shared" si="793"/>
        <v>238</v>
      </c>
      <c r="C2075">
        <f t="shared" si="794"/>
        <v>275</v>
      </c>
      <c r="D2075" t="s">
        <v>24</v>
      </c>
      <c r="E2075" t="str">
        <f t="shared" ref="E2075" si="829">D2074</f>
        <v>David</v>
      </c>
      <c r="F2075">
        <v>2025</v>
      </c>
      <c r="G2075">
        <v>13</v>
      </c>
      <c r="H2075">
        <v>5.2</v>
      </c>
      <c r="I2075">
        <v>117</v>
      </c>
      <c r="J2075">
        <f t="shared" ref="J2075" si="830">I2075-I2074</f>
        <v>36</v>
      </c>
      <c r="K2075" t="str">
        <f t="shared" si="797"/>
        <v>W</v>
      </c>
      <c r="L2075" t="str">
        <f t="shared" si="514"/>
        <v>Watty</v>
      </c>
      <c r="M2075" t="str">
        <f>VLOOKUP(L2075,References!$A$2:$B$16,2,FALSE)</f>
        <v>AKCOVA</v>
      </c>
      <c r="N2075" s="19" t="str">
        <f t="shared" ref="N2075:N2076" si="831">IF(M2075=M2074,"N","Y")</f>
        <v>Y</v>
      </c>
      <c r="O2075">
        <f t="shared" ref="O2075:O2076" si="832">SUM(I2074:I2075)</f>
        <v>198</v>
      </c>
      <c r="P2075">
        <f t="shared" si="798"/>
        <v>81</v>
      </c>
    </row>
    <row r="2076" spans="1:16" hidden="1" x14ac:dyDescent="0.3">
      <c r="A2076" t="str">
        <f t="shared" si="792"/>
        <v>2025Jordan13</v>
      </c>
      <c r="B2076">
        <f t="shared" si="793"/>
        <v>949</v>
      </c>
      <c r="C2076">
        <f t="shared" si="794"/>
        <v>1210</v>
      </c>
      <c r="D2076" t="s">
        <v>472</v>
      </c>
      <c r="E2076" t="str">
        <f t="shared" ref="E2076" si="833">D2077</f>
        <v>Brian</v>
      </c>
      <c r="F2076">
        <v>2025</v>
      </c>
      <c r="G2076">
        <v>13</v>
      </c>
      <c r="H2076">
        <v>6.1</v>
      </c>
      <c r="I2076">
        <v>85</v>
      </c>
      <c r="J2076">
        <f t="shared" ref="J2076" si="834">I2076-I2077</f>
        <v>3</v>
      </c>
      <c r="K2076" t="str">
        <f t="shared" si="797"/>
        <v>W</v>
      </c>
      <c r="L2076" t="str">
        <f t="shared" si="514"/>
        <v>Jordan</v>
      </c>
      <c r="M2076" t="str">
        <f>VLOOKUP(L2076,References!$A$2:$B$16,2,FALSE)</f>
        <v>AKCOVA</v>
      </c>
      <c r="N2076" s="19" t="str">
        <f t="shared" si="831"/>
        <v>N</v>
      </c>
      <c r="O2076">
        <f t="shared" si="832"/>
        <v>202</v>
      </c>
      <c r="P2076">
        <f t="shared" si="798"/>
        <v>82</v>
      </c>
    </row>
    <row r="2077" spans="1:16" hidden="1" x14ac:dyDescent="0.3">
      <c r="A2077" t="str">
        <f t="shared" si="792"/>
        <v>2025Brian13</v>
      </c>
      <c r="B2077">
        <f t="shared" si="793"/>
        <v>1117</v>
      </c>
      <c r="C2077">
        <f t="shared" si="794"/>
        <v>1318</v>
      </c>
      <c r="D2077" t="s">
        <v>26</v>
      </c>
      <c r="E2077" t="str">
        <f t="shared" ref="E2077" si="835">D2076</f>
        <v>Jordan</v>
      </c>
      <c r="F2077">
        <v>2025</v>
      </c>
      <c r="G2077">
        <v>13</v>
      </c>
      <c r="H2077">
        <v>6.2</v>
      </c>
      <c r="I2077">
        <v>82</v>
      </c>
      <c r="J2077">
        <f t="shared" ref="J2077" si="836">I2077-I2076</f>
        <v>-3</v>
      </c>
      <c r="K2077" t="str">
        <f t="shared" si="797"/>
        <v>L</v>
      </c>
      <c r="L2077" t="str">
        <f t="shared" si="514"/>
        <v>Brian</v>
      </c>
      <c r="M2077" t="str">
        <f>VLOOKUP(L2077,References!$A$2:$B$16,2,FALSE)</f>
        <v>TEXAROK</v>
      </c>
      <c r="N2077" s="19" t="str">
        <f t="shared" ref="N2077" si="837">IF(M2077=M2078,"N","Y")</f>
        <v>Y</v>
      </c>
      <c r="O2077">
        <f t="shared" ref="O2077" si="838">SUM(I2077:I2078)</f>
        <v>178</v>
      </c>
      <c r="P2077">
        <f t="shared" si="798"/>
        <v>85</v>
      </c>
    </row>
    <row r="2078" spans="1:16" hidden="1" x14ac:dyDescent="0.3">
      <c r="A2078" t="str">
        <f t="shared" si="792"/>
        <v>2025Arnold13</v>
      </c>
      <c r="B2078">
        <f t="shared" si="793"/>
        <v>341</v>
      </c>
      <c r="C2078">
        <f t="shared" si="794"/>
        <v>822</v>
      </c>
      <c r="D2078" t="s">
        <v>227</v>
      </c>
      <c r="E2078" t="str">
        <f t="shared" ref="E2078" si="839">D2079</f>
        <v>Grayson</v>
      </c>
      <c r="F2078">
        <v>2025</v>
      </c>
      <c r="G2078">
        <v>13</v>
      </c>
      <c r="H2078">
        <v>7.1</v>
      </c>
      <c r="I2078">
        <v>96</v>
      </c>
      <c r="J2078">
        <f t="shared" ref="J2078" si="840">I2078-I2079</f>
        <v>29</v>
      </c>
      <c r="K2078" t="str">
        <f t="shared" si="797"/>
        <v>W</v>
      </c>
      <c r="L2078" t="str">
        <f t="shared" si="514"/>
        <v>Arnold</v>
      </c>
      <c r="M2078" t="str">
        <f>VLOOKUP(L2078,References!$A$2:$B$16,2,FALSE)</f>
        <v>AKCOVA</v>
      </c>
      <c r="N2078" s="19" t="str">
        <f t="shared" ref="N2078" si="841">IF(M2078=M2077,"N","Y")</f>
        <v>Y</v>
      </c>
      <c r="O2078">
        <f t="shared" ref="O2078" si="842">SUM(I2077:I2078)</f>
        <v>178</v>
      </c>
      <c r="P2078">
        <f t="shared" si="798"/>
        <v>67</v>
      </c>
    </row>
    <row r="2079" spans="1:16" hidden="1" x14ac:dyDescent="0.3">
      <c r="A2079" t="str">
        <f t="shared" si="792"/>
        <v>2025Grayson13</v>
      </c>
      <c r="B2079">
        <f t="shared" si="793"/>
        <v>1738</v>
      </c>
      <c r="C2079">
        <f t="shared" si="794"/>
        <v>1815</v>
      </c>
      <c r="D2079" t="s">
        <v>473</v>
      </c>
      <c r="E2079" t="str">
        <f t="shared" ref="E2079" si="843">D2078</f>
        <v>Arnold</v>
      </c>
      <c r="F2079">
        <v>2025</v>
      </c>
      <c r="G2079">
        <v>13</v>
      </c>
      <c r="H2079">
        <v>7.2</v>
      </c>
      <c r="I2079">
        <v>67</v>
      </c>
      <c r="J2079">
        <f t="shared" ref="J2079" si="844">I2079-I2078</f>
        <v>-29</v>
      </c>
      <c r="K2079" t="str">
        <f t="shared" si="797"/>
        <v>L</v>
      </c>
      <c r="L2079" t="str">
        <f t="shared" si="514"/>
        <v>Grayson</v>
      </c>
      <c r="M2079" t="str">
        <f>VLOOKUP(L2079,References!$A$2:$B$16,2,FALSE)</f>
        <v>TEXAROK</v>
      </c>
      <c r="N2079" s="19" t="str">
        <f t="shared" ref="N2079" si="845">IF(M2079=M2080,"N","Y")</f>
        <v>Y</v>
      </c>
      <c r="O2079">
        <f t="shared" ref="O2079" si="846">SUM(I2079:I2080)</f>
        <v>218</v>
      </c>
      <c r="P2079">
        <f t="shared" si="798"/>
        <v>96</v>
      </c>
    </row>
    <row r="2080" spans="1:16" hidden="1" x14ac:dyDescent="0.3">
      <c r="A2080" t="str">
        <f t="shared" si="792"/>
        <v>2025BR14</v>
      </c>
      <c r="B2080">
        <f t="shared" si="793"/>
        <v>124</v>
      </c>
      <c r="C2080">
        <f t="shared" si="794"/>
        <v>23</v>
      </c>
      <c r="D2080" t="s">
        <v>25</v>
      </c>
      <c r="E2080" t="str">
        <f t="shared" ref="E2080" si="847">D2081</f>
        <v>Michael</v>
      </c>
      <c r="F2080">
        <v>2025</v>
      </c>
      <c r="G2080">
        <v>14</v>
      </c>
      <c r="H2080">
        <v>1.1000000000000001</v>
      </c>
      <c r="I2080">
        <v>151</v>
      </c>
      <c r="J2080">
        <f t="shared" ref="J2080" si="848">I2080-I2081</f>
        <v>47</v>
      </c>
      <c r="K2080" t="str">
        <f t="shared" si="797"/>
        <v>W</v>
      </c>
      <c r="L2080" t="str">
        <f t="shared" si="514"/>
        <v>BR</v>
      </c>
      <c r="M2080" t="str">
        <f>VLOOKUP(L2080,References!$A$2:$B$16,2,FALSE)</f>
        <v>AKCOVA</v>
      </c>
      <c r="N2080" s="19" t="str">
        <f t="shared" ref="N2080:N2081" si="849">IF(M2080=M2079,"N","Y")</f>
        <v>Y</v>
      </c>
      <c r="O2080">
        <f t="shared" ref="O2080:O2081" si="850">SUM(I2079:I2080)</f>
        <v>218</v>
      </c>
      <c r="P2080">
        <f t="shared" si="798"/>
        <v>104</v>
      </c>
    </row>
    <row r="2081" spans="1:16" hidden="1" x14ac:dyDescent="0.3">
      <c r="A2081" t="str">
        <f t="shared" si="792"/>
        <v>2025Michael14</v>
      </c>
      <c r="B2081">
        <f t="shared" si="793"/>
        <v>1964</v>
      </c>
      <c r="C2081">
        <f t="shared" si="794"/>
        <v>566</v>
      </c>
      <c r="D2081" t="s">
        <v>23</v>
      </c>
      <c r="E2081" t="str">
        <f t="shared" ref="E2081" si="851">D2080</f>
        <v>BR</v>
      </c>
      <c r="F2081">
        <v>2025</v>
      </c>
      <c r="G2081">
        <v>14</v>
      </c>
      <c r="H2081">
        <v>1.2</v>
      </c>
      <c r="I2081">
        <v>104</v>
      </c>
      <c r="J2081">
        <f t="shared" ref="J2081" si="852">I2081-I2080</f>
        <v>-47</v>
      </c>
      <c r="K2081" t="str">
        <f t="shared" si="797"/>
        <v>L</v>
      </c>
      <c r="L2081" t="str">
        <f t="shared" ref="L2081:L2093" si="853">D2081</f>
        <v>Michael</v>
      </c>
      <c r="M2081" t="str">
        <f>VLOOKUP(L2081,References!$A$2:$B$16,2,FALSE)</f>
        <v>AKCOVA</v>
      </c>
      <c r="N2081" s="19" t="str">
        <f t="shared" si="849"/>
        <v>N</v>
      </c>
      <c r="O2081">
        <f t="shared" si="850"/>
        <v>255</v>
      </c>
      <c r="P2081">
        <f t="shared" si="798"/>
        <v>151</v>
      </c>
    </row>
    <row r="2082" spans="1:16" hidden="1" x14ac:dyDescent="0.3">
      <c r="A2082" t="str">
        <f t="shared" si="792"/>
        <v>2025Matt14</v>
      </c>
      <c r="B2082">
        <f t="shared" si="793"/>
        <v>548</v>
      </c>
      <c r="C2082">
        <f t="shared" si="794"/>
        <v>136</v>
      </c>
      <c r="D2082" t="s">
        <v>30</v>
      </c>
      <c r="E2082" t="str">
        <f t="shared" ref="E2082" si="854">D2083</f>
        <v>Brian</v>
      </c>
      <c r="F2082">
        <v>2025</v>
      </c>
      <c r="G2082">
        <v>14</v>
      </c>
      <c r="H2082">
        <v>2.1</v>
      </c>
      <c r="I2082">
        <v>127</v>
      </c>
      <c r="J2082">
        <f t="shared" ref="J2082" si="855">I2082-I2083</f>
        <v>19</v>
      </c>
      <c r="K2082" t="str">
        <f t="shared" si="797"/>
        <v>W</v>
      </c>
      <c r="L2082" t="str">
        <f t="shared" si="853"/>
        <v>Matt</v>
      </c>
      <c r="M2082" t="str">
        <f>VLOOKUP(L2082,References!$A$2:$B$16,2,FALSE)</f>
        <v>TEXAROK</v>
      </c>
      <c r="N2082" s="19" t="str">
        <f t="shared" ref="N2082" si="856">IF(M2082=M2083,"N","Y")</f>
        <v>N</v>
      </c>
      <c r="O2082">
        <f t="shared" ref="O2082" si="857">SUM(I2082:I2083)</f>
        <v>235</v>
      </c>
      <c r="P2082">
        <f t="shared" si="798"/>
        <v>108</v>
      </c>
    </row>
    <row r="2083" spans="1:16" hidden="1" x14ac:dyDescent="0.3">
      <c r="A2083" t="str">
        <f t="shared" si="792"/>
        <v>2025Brian14</v>
      </c>
      <c r="B2083">
        <f t="shared" si="793"/>
        <v>1523</v>
      </c>
      <c r="C2083">
        <f t="shared" si="794"/>
        <v>462</v>
      </c>
      <c r="D2083" t="s">
        <v>26</v>
      </c>
      <c r="E2083" t="str">
        <f t="shared" ref="E2083" si="858">D2082</f>
        <v>Matt</v>
      </c>
      <c r="F2083">
        <v>2025</v>
      </c>
      <c r="G2083">
        <v>14</v>
      </c>
      <c r="H2083">
        <v>2.2000000000000002</v>
      </c>
      <c r="I2083">
        <v>108</v>
      </c>
      <c r="J2083">
        <f t="shared" ref="J2083" si="859">I2083-I2082</f>
        <v>-19</v>
      </c>
      <c r="K2083" t="str">
        <f t="shared" si="797"/>
        <v>L</v>
      </c>
      <c r="L2083" t="str">
        <f t="shared" si="853"/>
        <v>Brian</v>
      </c>
      <c r="M2083" t="str">
        <f>VLOOKUP(L2083,References!$A$2:$B$16,2,FALSE)</f>
        <v>TEXAROK</v>
      </c>
      <c r="N2083" s="19" t="str">
        <f t="shared" ref="N2083" si="860">IF(M2083=M2082,"N","Y")</f>
        <v>N</v>
      </c>
      <c r="O2083">
        <f t="shared" ref="O2083" si="861">SUM(I2082:I2083)</f>
        <v>235</v>
      </c>
      <c r="P2083">
        <f t="shared" si="798"/>
        <v>127</v>
      </c>
    </row>
    <row r="2084" spans="1:16" hidden="1" x14ac:dyDescent="0.3">
      <c r="A2084" t="str">
        <f t="shared" si="792"/>
        <v>2025Jordan14</v>
      </c>
      <c r="B2084">
        <f t="shared" si="793"/>
        <v>1644</v>
      </c>
      <c r="C2084">
        <f t="shared" si="794"/>
        <v>486</v>
      </c>
      <c r="D2084" t="s">
        <v>472</v>
      </c>
      <c r="E2084" t="str">
        <f t="shared" ref="E2084" si="862">D2085</f>
        <v>Charles</v>
      </c>
      <c r="F2084">
        <v>2025</v>
      </c>
      <c r="G2084">
        <v>14</v>
      </c>
      <c r="H2084">
        <v>3.1</v>
      </c>
      <c r="I2084">
        <v>107</v>
      </c>
      <c r="J2084">
        <f t="shared" ref="J2084" si="863">I2084-I2085</f>
        <v>-24</v>
      </c>
      <c r="K2084" t="str">
        <f t="shared" si="797"/>
        <v>L</v>
      </c>
      <c r="L2084" t="str">
        <f t="shared" si="853"/>
        <v>Jordan</v>
      </c>
      <c r="M2084" t="str">
        <f>VLOOKUP(L2084,References!$A$2:$B$16,2,FALSE)</f>
        <v>AKCOVA</v>
      </c>
      <c r="N2084" s="19" t="str">
        <f t="shared" ref="N2084" si="864">IF(M2084=M2085,"N","Y")</f>
        <v>N</v>
      </c>
      <c r="O2084">
        <f t="shared" ref="O2084" si="865">SUM(I2084:I2085)</f>
        <v>238</v>
      </c>
      <c r="P2084">
        <f t="shared" si="798"/>
        <v>131</v>
      </c>
    </row>
    <row r="2085" spans="1:16" hidden="1" x14ac:dyDescent="0.3">
      <c r="A2085" t="str">
        <f t="shared" si="792"/>
        <v>2025Charles14</v>
      </c>
      <c r="B2085">
        <f t="shared" si="793"/>
        <v>433</v>
      </c>
      <c r="C2085">
        <f t="shared" si="794"/>
        <v>102</v>
      </c>
      <c r="D2085" t="s">
        <v>48</v>
      </c>
      <c r="E2085" t="str">
        <f t="shared" ref="E2085" si="866">D2084</f>
        <v>Jordan</v>
      </c>
      <c r="F2085">
        <v>2025</v>
      </c>
      <c r="G2085">
        <v>14</v>
      </c>
      <c r="H2085">
        <v>3.2</v>
      </c>
      <c r="I2085">
        <v>131</v>
      </c>
      <c r="J2085">
        <f t="shared" ref="J2085" si="867">I2085-I2084</f>
        <v>24</v>
      </c>
      <c r="K2085" t="str">
        <f t="shared" si="797"/>
        <v>W</v>
      </c>
      <c r="L2085" t="str">
        <f t="shared" si="853"/>
        <v>Charles</v>
      </c>
      <c r="M2085" t="str">
        <f>VLOOKUP(L2085,References!$A$2:$B$16,2,FALSE)</f>
        <v>AKCOVA</v>
      </c>
      <c r="N2085" s="19" t="str">
        <f t="shared" ref="N2085:N2086" si="868">IF(M2085=M2084,"N","Y")</f>
        <v>N</v>
      </c>
      <c r="O2085">
        <f t="shared" ref="O2085:O2086" si="869">SUM(I2084:I2085)</f>
        <v>238</v>
      </c>
      <c r="P2085">
        <f t="shared" si="798"/>
        <v>107</v>
      </c>
    </row>
    <row r="2086" spans="1:16" hidden="1" x14ac:dyDescent="0.3">
      <c r="A2086" t="str">
        <f t="shared" si="792"/>
        <v>2025Grayson14</v>
      </c>
      <c r="B2086">
        <f t="shared" si="793"/>
        <v>1775</v>
      </c>
      <c r="C2086">
        <f t="shared" si="794"/>
        <v>1815</v>
      </c>
      <c r="D2086" t="s">
        <v>473</v>
      </c>
      <c r="E2086" t="str">
        <f t="shared" ref="E2086" si="870">D2087</f>
        <v>Arnold</v>
      </c>
      <c r="F2086">
        <v>2025</v>
      </c>
      <c r="G2086">
        <v>14</v>
      </c>
      <c r="H2086">
        <v>4.0999999999999996</v>
      </c>
      <c r="I2086">
        <v>67</v>
      </c>
      <c r="J2086">
        <f t="shared" ref="J2086" si="871">I2086-I2087</f>
        <v>-31</v>
      </c>
      <c r="K2086" t="str">
        <f t="shared" si="797"/>
        <v>L</v>
      </c>
      <c r="L2086" t="str">
        <f t="shared" si="853"/>
        <v>Grayson</v>
      </c>
      <c r="M2086" t="str">
        <f>VLOOKUP(L2086,References!$A$2:$B$16,2,FALSE)</f>
        <v>TEXAROK</v>
      </c>
      <c r="N2086" s="19" t="str">
        <f t="shared" si="868"/>
        <v>Y</v>
      </c>
      <c r="O2086">
        <f t="shared" si="869"/>
        <v>198</v>
      </c>
      <c r="P2086">
        <f t="shared" si="798"/>
        <v>98</v>
      </c>
    </row>
    <row r="2087" spans="1:16" hidden="1" x14ac:dyDescent="0.3">
      <c r="A2087" t="str">
        <f t="shared" si="792"/>
        <v>2025Arnold14</v>
      </c>
      <c r="B2087">
        <f t="shared" si="793"/>
        <v>297</v>
      </c>
      <c r="C2087">
        <f t="shared" si="794"/>
        <v>746</v>
      </c>
      <c r="D2087" t="s">
        <v>227</v>
      </c>
      <c r="E2087" t="str">
        <f t="shared" ref="E2087" si="872">D2086</f>
        <v>Grayson</v>
      </c>
      <c r="F2087">
        <v>2025</v>
      </c>
      <c r="G2087">
        <v>14</v>
      </c>
      <c r="H2087">
        <v>4.2</v>
      </c>
      <c r="I2087">
        <v>98</v>
      </c>
      <c r="J2087">
        <f t="shared" ref="J2087" si="873">I2087-I2086</f>
        <v>31</v>
      </c>
      <c r="K2087" t="str">
        <f t="shared" si="797"/>
        <v>W</v>
      </c>
      <c r="L2087" t="str">
        <f t="shared" si="853"/>
        <v>Arnold</v>
      </c>
      <c r="M2087" t="str">
        <f>VLOOKUP(L2087,References!$A$2:$B$16,2,FALSE)</f>
        <v>AKCOVA</v>
      </c>
      <c r="N2087" s="19" t="str">
        <f t="shared" ref="N2087" si="874">IF(M2087=M2088,"N","Y")</f>
        <v>Y</v>
      </c>
      <c r="O2087">
        <f t="shared" ref="O2087" si="875">SUM(I2087:I2088)</f>
        <v>195</v>
      </c>
      <c r="P2087">
        <f t="shared" si="798"/>
        <v>67</v>
      </c>
    </row>
    <row r="2088" spans="1:16" hidden="1" x14ac:dyDescent="0.3">
      <c r="A2088" t="str">
        <f t="shared" si="792"/>
        <v>2025Russell14</v>
      </c>
      <c r="B2088">
        <f t="shared" si="793"/>
        <v>836</v>
      </c>
      <c r="C2088">
        <f t="shared" si="794"/>
        <v>777</v>
      </c>
      <c r="D2088" t="s">
        <v>28</v>
      </c>
      <c r="E2088" t="str">
        <f t="shared" ref="E2088" si="876">D2089</f>
        <v>David</v>
      </c>
      <c r="F2088">
        <v>2025</v>
      </c>
      <c r="G2088">
        <v>14</v>
      </c>
      <c r="H2088">
        <v>5.0999999999999996</v>
      </c>
      <c r="I2088">
        <v>97</v>
      </c>
      <c r="J2088">
        <f t="shared" ref="J2088" si="877">I2088-I2089</f>
        <v>7</v>
      </c>
      <c r="K2088" t="str">
        <f t="shared" si="797"/>
        <v>W</v>
      </c>
      <c r="L2088" t="str">
        <f t="shared" si="853"/>
        <v>Russell</v>
      </c>
      <c r="M2088" t="str">
        <f>VLOOKUP(L2088,References!$A$2:$B$16,2,FALSE)</f>
        <v>TEXAROK</v>
      </c>
      <c r="N2088" s="19" t="str">
        <f t="shared" ref="N2088" si="878">IF(M2088=M2087,"N","Y")</f>
        <v>Y</v>
      </c>
      <c r="O2088">
        <f t="shared" ref="O2088" si="879">SUM(I2087:I2088)</f>
        <v>195</v>
      </c>
      <c r="P2088">
        <f t="shared" si="798"/>
        <v>90</v>
      </c>
    </row>
    <row r="2089" spans="1:16" hidden="1" x14ac:dyDescent="0.3">
      <c r="A2089" t="str">
        <f t="shared" si="792"/>
        <v>2025David14</v>
      </c>
      <c r="B2089">
        <f t="shared" si="793"/>
        <v>1229</v>
      </c>
      <c r="C2089">
        <f t="shared" si="794"/>
        <v>1027</v>
      </c>
      <c r="D2089" t="s">
        <v>29</v>
      </c>
      <c r="E2089" t="str">
        <f t="shared" ref="E2089" si="880">D2088</f>
        <v>Russell</v>
      </c>
      <c r="F2089">
        <v>2025</v>
      </c>
      <c r="G2089">
        <v>14</v>
      </c>
      <c r="H2089">
        <v>5.2</v>
      </c>
      <c r="I2089">
        <v>90</v>
      </c>
      <c r="J2089">
        <f t="shared" ref="J2089" si="881">I2089-I2088</f>
        <v>-7</v>
      </c>
      <c r="K2089" t="str">
        <f t="shared" si="797"/>
        <v>L</v>
      </c>
      <c r="L2089" t="str">
        <f t="shared" si="853"/>
        <v>David</v>
      </c>
      <c r="M2089" t="str">
        <f>VLOOKUP(L2089,References!$A$2:$B$16,2,FALSE)</f>
        <v>TEXAROK</v>
      </c>
      <c r="N2089" s="19" t="str">
        <f t="shared" ref="N2089" si="882">IF(M2089=M2090,"N","Y")</f>
        <v>N</v>
      </c>
      <c r="O2089">
        <f t="shared" ref="O2089" si="883">SUM(I2089:I2090)</f>
        <v>194</v>
      </c>
      <c r="P2089">
        <f t="shared" si="798"/>
        <v>97</v>
      </c>
    </row>
    <row r="2090" spans="1:16" hidden="1" x14ac:dyDescent="0.3">
      <c r="A2090" t="str">
        <f t="shared" si="792"/>
        <v>2025Brent14</v>
      </c>
      <c r="B2090">
        <f t="shared" si="793"/>
        <v>597</v>
      </c>
      <c r="C2090">
        <f t="shared" si="794"/>
        <v>566</v>
      </c>
      <c r="D2090" t="s">
        <v>47</v>
      </c>
      <c r="E2090" t="str">
        <f t="shared" ref="E2090" si="884">D2091</f>
        <v>Emily</v>
      </c>
      <c r="F2090">
        <v>2025</v>
      </c>
      <c r="G2090">
        <v>14</v>
      </c>
      <c r="H2090">
        <v>6.1</v>
      </c>
      <c r="I2090">
        <v>104</v>
      </c>
      <c r="J2090">
        <f t="shared" ref="J2090" si="885">I2090-I2091</f>
        <v>17</v>
      </c>
      <c r="K2090" t="str">
        <f t="shared" si="797"/>
        <v>W</v>
      </c>
      <c r="L2090" t="str">
        <f t="shared" si="853"/>
        <v>Brent</v>
      </c>
      <c r="M2090" t="str">
        <f>VLOOKUP(L2090,References!$A$2:$B$16,2,FALSE)</f>
        <v>TEXAROK</v>
      </c>
      <c r="N2090" s="19" t="str">
        <f t="shared" ref="N2090:N2091" si="886">IF(M2090=M2089,"N","Y")</f>
        <v>N</v>
      </c>
      <c r="O2090">
        <f t="shared" ref="O2090:O2091" si="887">SUM(I2089:I2090)</f>
        <v>194</v>
      </c>
      <c r="P2090">
        <f t="shared" si="798"/>
        <v>87</v>
      </c>
    </row>
    <row r="2091" spans="1:16" hidden="1" x14ac:dyDescent="0.3">
      <c r="A2091" t="str">
        <f t="shared" si="792"/>
        <v>2025Emily14</v>
      </c>
      <c r="B2091">
        <f t="shared" si="793"/>
        <v>1475</v>
      </c>
      <c r="C2091">
        <f t="shared" si="794"/>
        <v>1143</v>
      </c>
      <c r="D2091" t="s">
        <v>43</v>
      </c>
      <c r="E2091" t="str">
        <f t="shared" ref="E2091" si="888">D2090</f>
        <v>Brent</v>
      </c>
      <c r="F2091">
        <v>2025</v>
      </c>
      <c r="G2091">
        <v>14</v>
      </c>
      <c r="H2091">
        <v>6.2</v>
      </c>
      <c r="I2091">
        <v>87</v>
      </c>
      <c r="J2091">
        <f t="shared" ref="J2091" si="889">I2091-I2090</f>
        <v>-17</v>
      </c>
      <c r="K2091" t="str">
        <f t="shared" si="797"/>
        <v>L</v>
      </c>
      <c r="L2091" t="str">
        <f t="shared" si="853"/>
        <v>Emily</v>
      </c>
      <c r="M2091" t="str">
        <f>VLOOKUP(L2091,References!$A$2:$B$16,2,FALSE)</f>
        <v>TEXAROK</v>
      </c>
      <c r="N2091" s="19" t="str">
        <f t="shared" si="886"/>
        <v>N</v>
      </c>
      <c r="O2091">
        <f t="shared" si="887"/>
        <v>191</v>
      </c>
      <c r="P2091">
        <f t="shared" si="798"/>
        <v>104</v>
      </c>
    </row>
    <row r="2092" spans="1:16" hidden="1" x14ac:dyDescent="0.3">
      <c r="A2092" t="str">
        <f t="shared" si="792"/>
        <v>2025Watty14</v>
      </c>
      <c r="B2092">
        <f t="shared" si="793"/>
        <v>1991</v>
      </c>
      <c r="C2092">
        <f t="shared" si="794"/>
        <v>1974</v>
      </c>
      <c r="D2092" t="s">
        <v>24</v>
      </c>
      <c r="E2092" t="str">
        <f t="shared" ref="E2092" si="890">D2093</f>
        <v>Mark</v>
      </c>
      <c r="F2092">
        <v>2025</v>
      </c>
      <c r="G2092">
        <v>14</v>
      </c>
      <c r="H2092">
        <v>7.1</v>
      </c>
      <c r="I2092">
        <v>58</v>
      </c>
      <c r="J2092">
        <f t="shared" ref="J2092" si="891">I2092-I2093</f>
        <v>-52</v>
      </c>
      <c r="K2092" t="str">
        <f t="shared" si="797"/>
        <v>L</v>
      </c>
      <c r="L2092" t="str">
        <f t="shared" si="853"/>
        <v>Watty</v>
      </c>
      <c r="M2092" t="str">
        <f>VLOOKUP(L2092,References!$A$2:$B$16,2,FALSE)</f>
        <v>AKCOVA</v>
      </c>
      <c r="N2092" s="19" t="str">
        <f t="shared" ref="N2092" si="892">IF(M2092=M2093,"N","Y")</f>
        <v>N</v>
      </c>
      <c r="O2092">
        <f t="shared" ref="O2092" si="893">SUM(I2092:I2093)</f>
        <v>168</v>
      </c>
      <c r="P2092">
        <f t="shared" si="798"/>
        <v>110</v>
      </c>
    </row>
    <row r="2093" spans="1:16" hidden="1" x14ac:dyDescent="0.3">
      <c r="A2093" t="str">
        <f t="shared" si="792"/>
        <v>2025Mark14</v>
      </c>
      <c r="B2093">
        <f t="shared" si="793"/>
        <v>97</v>
      </c>
      <c r="C2093">
        <f t="shared" si="794"/>
        <v>412</v>
      </c>
      <c r="D2093" t="s">
        <v>22</v>
      </c>
      <c r="E2093" t="str">
        <f t="shared" ref="E2093" si="894">D2092</f>
        <v>Watty</v>
      </c>
      <c r="F2093">
        <v>2025</v>
      </c>
      <c r="G2093">
        <v>14</v>
      </c>
      <c r="H2093">
        <v>7.2</v>
      </c>
      <c r="I2093">
        <v>110</v>
      </c>
      <c r="J2093">
        <f t="shared" ref="J2093" si="895">I2093-I2092</f>
        <v>52</v>
      </c>
      <c r="K2093" t="str">
        <f t="shared" si="797"/>
        <v>W</v>
      </c>
      <c r="L2093" t="str">
        <f t="shared" si="853"/>
        <v>Mark</v>
      </c>
      <c r="M2093" t="str">
        <f>VLOOKUP(L2093,References!$A$2:$B$16,2,FALSE)</f>
        <v>AKCOVA</v>
      </c>
      <c r="N2093" s="19" t="str">
        <f t="shared" ref="N2093" si="896">IF(M2093=M2092,"N","Y")</f>
        <v>N</v>
      </c>
      <c r="O2093">
        <f t="shared" ref="O2093" si="897">SUM(I2092:I2093)</f>
        <v>168</v>
      </c>
      <c r="P2093">
        <f t="shared" si="798"/>
        <v>58</v>
      </c>
    </row>
  </sheetData>
  <autoFilter ref="A1:Q2093" xr:uid="{8CAACB32-DC1D-428E-8A58-152B7F9B8CB8}">
    <filterColumn colId="3">
      <filters>
        <filter val="Michael"/>
      </filters>
    </filterColumn>
    <filterColumn colId="4">
      <filters>
        <filter val="Russell"/>
      </filters>
    </filterColumn>
  </autoFilter>
  <pageMargins left="0.7" right="0.7" top="0.75" bottom="0.75" header="0.3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D18B-71FA-4A30-AE47-489C87B09DA5}">
  <dimension ref="A1:J139"/>
  <sheetViews>
    <sheetView topLeftCell="A109" zoomScaleNormal="100" workbookViewId="0">
      <selection activeCell="F140" sqref="F140"/>
    </sheetView>
  </sheetViews>
  <sheetFormatPr defaultRowHeight="14.4" x14ac:dyDescent="0.3"/>
  <cols>
    <col min="1" max="7" width="13" customWidth="1"/>
    <col min="8" max="9" width="13" style="42" customWidth="1"/>
    <col min="10" max="10" width="13" customWidth="1"/>
  </cols>
  <sheetData>
    <row r="1" spans="1:10" x14ac:dyDescent="0.3">
      <c r="A1" s="13" t="s">
        <v>13</v>
      </c>
      <c r="B1" s="13" t="s">
        <v>14</v>
      </c>
      <c r="C1" s="13" t="s">
        <v>21</v>
      </c>
      <c r="D1" s="13" t="s">
        <v>15</v>
      </c>
      <c r="E1" s="13" t="s">
        <v>31</v>
      </c>
      <c r="F1" s="13" t="s">
        <v>18</v>
      </c>
      <c r="G1" s="13" t="s">
        <v>19</v>
      </c>
      <c r="H1" s="13" t="s">
        <v>20</v>
      </c>
      <c r="I1" s="13" t="s">
        <v>62</v>
      </c>
      <c r="J1" s="13" t="s">
        <v>67</v>
      </c>
    </row>
    <row r="2" spans="1:10" x14ac:dyDescent="0.3">
      <c r="A2">
        <v>1</v>
      </c>
      <c r="B2" t="s">
        <v>24</v>
      </c>
      <c r="C2" t="str">
        <f>B3</f>
        <v>Brian</v>
      </c>
      <c r="D2">
        <v>2013</v>
      </c>
      <c r="E2" t="s">
        <v>32</v>
      </c>
      <c r="F2">
        <v>110.5</v>
      </c>
      <c r="G2">
        <f>F2-F3</f>
        <v>-8</v>
      </c>
      <c r="H2" s="42" t="str">
        <f t="shared" ref="H2:H33" si="0">IF(G2&gt;0,"W",IF(G2&lt;0,"L","T"))</f>
        <v>L</v>
      </c>
      <c r="I2" s="42" t="s">
        <v>63</v>
      </c>
      <c r="J2" s="19" t="s">
        <v>68</v>
      </c>
    </row>
    <row r="3" spans="1:10" x14ac:dyDescent="0.3">
      <c r="A3">
        <v>2</v>
      </c>
      <c r="B3" t="s">
        <v>26</v>
      </c>
      <c r="C3" t="str">
        <f>B2</f>
        <v>Watty</v>
      </c>
      <c r="D3">
        <v>2013</v>
      </c>
      <c r="E3" t="s">
        <v>32</v>
      </c>
      <c r="F3">
        <v>118.5</v>
      </c>
      <c r="G3">
        <f>F3-F2</f>
        <v>8</v>
      </c>
      <c r="H3" s="42" t="str">
        <f t="shared" si="0"/>
        <v>W</v>
      </c>
      <c r="I3" s="42" t="s">
        <v>64</v>
      </c>
      <c r="J3" s="19" t="s">
        <v>68</v>
      </c>
    </row>
    <row r="4" spans="1:10" x14ac:dyDescent="0.3">
      <c r="A4">
        <v>3</v>
      </c>
      <c r="B4" t="s">
        <v>27</v>
      </c>
      <c r="C4" t="str">
        <f>B5</f>
        <v>Russell</v>
      </c>
      <c r="D4">
        <v>2013</v>
      </c>
      <c r="E4" t="s">
        <v>32</v>
      </c>
      <c r="F4">
        <v>82.5</v>
      </c>
      <c r="G4">
        <f>F4-F5</f>
        <v>-25</v>
      </c>
      <c r="H4" s="42" t="str">
        <f t="shared" si="0"/>
        <v>L</v>
      </c>
      <c r="I4" s="42" t="s">
        <v>63</v>
      </c>
      <c r="J4" s="19" t="s">
        <v>68</v>
      </c>
    </row>
    <row r="5" spans="1:10" x14ac:dyDescent="0.3">
      <c r="A5">
        <v>4</v>
      </c>
      <c r="B5" t="s">
        <v>28</v>
      </c>
      <c r="C5" t="str">
        <f>B4</f>
        <v>Abby</v>
      </c>
      <c r="D5">
        <v>2013</v>
      </c>
      <c r="E5" t="s">
        <v>32</v>
      </c>
      <c r="F5">
        <v>107.5</v>
      </c>
      <c r="G5">
        <f>F5-F4</f>
        <v>25</v>
      </c>
      <c r="H5" s="42" t="str">
        <f t="shared" si="0"/>
        <v>W</v>
      </c>
      <c r="I5" s="42" t="s">
        <v>64</v>
      </c>
      <c r="J5" s="19" t="s">
        <v>68</v>
      </c>
    </row>
    <row r="6" spans="1:10" x14ac:dyDescent="0.3">
      <c r="A6">
        <v>5</v>
      </c>
      <c r="B6" t="s">
        <v>28</v>
      </c>
      <c r="C6" t="str">
        <f>B7</f>
        <v>Brian</v>
      </c>
      <c r="D6">
        <v>2013</v>
      </c>
      <c r="E6" t="s">
        <v>33</v>
      </c>
      <c r="F6">
        <v>67.5</v>
      </c>
      <c r="G6">
        <f>F6-F7</f>
        <v>-54</v>
      </c>
      <c r="H6" s="42" t="str">
        <f t="shared" si="0"/>
        <v>L</v>
      </c>
      <c r="I6" s="42" t="s">
        <v>64</v>
      </c>
      <c r="J6" s="19" t="s">
        <v>69</v>
      </c>
    </row>
    <row r="7" spans="1:10" x14ac:dyDescent="0.3">
      <c r="A7">
        <v>6</v>
      </c>
      <c r="B7" t="s">
        <v>26</v>
      </c>
      <c r="C7" t="str">
        <f>B6</f>
        <v>Russell</v>
      </c>
      <c r="D7">
        <v>2013</v>
      </c>
      <c r="E7" t="s">
        <v>33</v>
      </c>
      <c r="F7">
        <v>121.5</v>
      </c>
      <c r="G7">
        <f>F7-F6</f>
        <v>54</v>
      </c>
      <c r="H7" s="42" t="str">
        <f t="shared" si="0"/>
        <v>W</v>
      </c>
      <c r="I7" s="42" t="s">
        <v>64</v>
      </c>
      <c r="J7" s="19" t="s">
        <v>69</v>
      </c>
    </row>
    <row r="8" spans="1:10" x14ac:dyDescent="0.3">
      <c r="A8">
        <v>9</v>
      </c>
      <c r="B8" t="s">
        <v>28</v>
      </c>
      <c r="C8" t="str">
        <f>B9</f>
        <v>Brian</v>
      </c>
      <c r="D8">
        <v>2014</v>
      </c>
      <c r="E8" t="s">
        <v>42</v>
      </c>
      <c r="F8">
        <v>86</v>
      </c>
      <c r="G8">
        <f>F8-F9</f>
        <v>30</v>
      </c>
      <c r="H8" s="42" t="str">
        <f t="shared" si="0"/>
        <v>W</v>
      </c>
      <c r="I8" s="42" t="s">
        <v>64</v>
      </c>
      <c r="J8" s="19" t="s">
        <v>69</v>
      </c>
    </row>
    <row r="9" spans="1:10" x14ac:dyDescent="0.3">
      <c r="A9">
        <v>10</v>
      </c>
      <c r="B9" t="s">
        <v>26</v>
      </c>
      <c r="C9" t="str">
        <f>B8</f>
        <v>Russell</v>
      </c>
      <c r="D9">
        <v>2014</v>
      </c>
      <c r="E9" t="s">
        <v>42</v>
      </c>
      <c r="F9">
        <v>56</v>
      </c>
      <c r="G9">
        <f>F9-F8</f>
        <v>-30</v>
      </c>
      <c r="H9" s="42" t="str">
        <f t="shared" si="0"/>
        <v>L</v>
      </c>
      <c r="I9" s="42" t="s">
        <v>64</v>
      </c>
      <c r="J9" s="19" t="s">
        <v>69</v>
      </c>
    </row>
    <row r="10" spans="1:10" x14ac:dyDescent="0.3">
      <c r="A10">
        <v>11</v>
      </c>
      <c r="B10" t="s">
        <v>25</v>
      </c>
      <c r="C10" t="str">
        <f>B11</f>
        <v>Abby</v>
      </c>
      <c r="D10">
        <v>2014</v>
      </c>
      <c r="E10" t="s">
        <v>42</v>
      </c>
      <c r="F10">
        <v>123</v>
      </c>
      <c r="G10">
        <f>F10-F11</f>
        <v>61</v>
      </c>
      <c r="H10" s="42" t="str">
        <f t="shared" si="0"/>
        <v>W</v>
      </c>
      <c r="I10" s="42" t="s">
        <v>63</v>
      </c>
      <c r="J10" s="19" t="s">
        <v>69</v>
      </c>
    </row>
    <row r="11" spans="1:10" x14ac:dyDescent="0.3">
      <c r="A11">
        <v>12</v>
      </c>
      <c r="B11" t="s">
        <v>27</v>
      </c>
      <c r="C11" t="str">
        <f>B10</f>
        <v>BR</v>
      </c>
      <c r="D11">
        <v>2014</v>
      </c>
      <c r="E11" t="s">
        <v>42</v>
      </c>
      <c r="F11">
        <v>62</v>
      </c>
      <c r="G11">
        <f>F11-F10</f>
        <v>-61</v>
      </c>
      <c r="H11" s="42" t="str">
        <f t="shared" si="0"/>
        <v>L</v>
      </c>
      <c r="I11" s="42" t="s">
        <v>63</v>
      </c>
      <c r="J11" s="19" t="s">
        <v>69</v>
      </c>
    </row>
    <row r="12" spans="1:10" x14ac:dyDescent="0.3">
      <c r="A12">
        <v>13</v>
      </c>
      <c r="B12" t="s">
        <v>28</v>
      </c>
      <c r="C12" t="str">
        <f>B13</f>
        <v>David</v>
      </c>
      <c r="D12">
        <v>2014</v>
      </c>
      <c r="E12" t="s">
        <v>32</v>
      </c>
      <c r="F12">
        <v>79</v>
      </c>
      <c r="G12">
        <f>F12-F13</f>
        <v>10</v>
      </c>
      <c r="H12" s="42" t="str">
        <f t="shared" si="0"/>
        <v>W</v>
      </c>
      <c r="I12" s="42" t="s">
        <v>64</v>
      </c>
      <c r="J12" s="19" t="s">
        <v>69</v>
      </c>
    </row>
    <row r="13" spans="1:10" x14ac:dyDescent="0.3">
      <c r="A13">
        <v>14</v>
      </c>
      <c r="B13" t="s">
        <v>29</v>
      </c>
      <c r="C13" t="str">
        <f>B12</f>
        <v>Russell</v>
      </c>
      <c r="D13">
        <v>2014</v>
      </c>
      <c r="E13" t="s">
        <v>32</v>
      </c>
      <c r="F13">
        <v>69</v>
      </c>
      <c r="G13">
        <f>F13-F12</f>
        <v>-10</v>
      </c>
      <c r="H13" s="42" t="str">
        <f t="shared" si="0"/>
        <v>L</v>
      </c>
      <c r="I13" s="42" t="s">
        <v>64</v>
      </c>
      <c r="J13" s="19" t="s">
        <v>69</v>
      </c>
    </row>
    <row r="14" spans="1:10" x14ac:dyDescent="0.3">
      <c r="A14">
        <v>15</v>
      </c>
      <c r="B14" t="s">
        <v>25</v>
      </c>
      <c r="C14" t="str">
        <f>B15</f>
        <v>Mark</v>
      </c>
      <c r="D14">
        <v>2014</v>
      </c>
      <c r="E14" t="s">
        <v>32</v>
      </c>
      <c r="F14">
        <v>57</v>
      </c>
      <c r="G14">
        <f>F14-F15</f>
        <v>-26</v>
      </c>
      <c r="H14" s="42" t="str">
        <f t="shared" si="0"/>
        <v>L</v>
      </c>
      <c r="I14" s="42" t="s">
        <v>63</v>
      </c>
      <c r="J14" s="19" t="s">
        <v>69</v>
      </c>
    </row>
    <row r="15" spans="1:10" x14ac:dyDescent="0.3">
      <c r="A15">
        <v>16</v>
      </c>
      <c r="B15" t="s">
        <v>22</v>
      </c>
      <c r="C15" t="str">
        <f>B14</f>
        <v>BR</v>
      </c>
      <c r="D15">
        <v>2014</v>
      </c>
      <c r="E15" t="s">
        <v>32</v>
      </c>
      <c r="F15">
        <v>83</v>
      </c>
      <c r="G15">
        <f>F15-F14</f>
        <v>26</v>
      </c>
      <c r="H15" s="42" t="str">
        <f t="shared" si="0"/>
        <v>W</v>
      </c>
      <c r="I15" s="42" t="s">
        <v>63</v>
      </c>
      <c r="J15" s="19" t="s">
        <v>69</v>
      </c>
    </row>
    <row r="16" spans="1:10" x14ac:dyDescent="0.3">
      <c r="A16">
        <v>17</v>
      </c>
      <c r="B16" t="s">
        <v>28</v>
      </c>
      <c r="C16" t="str">
        <f>B17</f>
        <v>Mark</v>
      </c>
      <c r="D16">
        <v>2014</v>
      </c>
      <c r="E16" t="s">
        <v>33</v>
      </c>
      <c r="F16">
        <v>88</v>
      </c>
      <c r="G16">
        <f>F16-F17</f>
        <v>14</v>
      </c>
      <c r="H16" s="42" t="str">
        <f t="shared" si="0"/>
        <v>W</v>
      </c>
      <c r="I16" s="42" t="s">
        <v>64</v>
      </c>
      <c r="J16" s="19" t="s">
        <v>68</v>
      </c>
    </row>
    <row r="17" spans="1:10" x14ac:dyDescent="0.3">
      <c r="A17">
        <v>18</v>
      </c>
      <c r="B17" t="s">
        <v>22</v>
      </c>
      <c r="C17" t="str">
        <f>B16</f>
        <v>Russell</v>
      </c>
      <c r="D17">
        <v>2014</v>
      </c>
      <c r="E17" t="s">
        <v>33</v>
      </c>
      <c r="F17">
        <v>74</v>
      </c>
      <c r="G17">
        <f>F17-F16</f>
        <v>-14</v>
      </c>
      <c r="H17" s="42" t="str">
        <f t="shared" si="0"/>
        <v>L</v>
      </c>
      <c r="I17" s="42" t="s">
        <v>63</v>
      </c>
      <c r="J17" s="19" t="s">
        <v>68</v>
      </c>
    </row>
    <row r="18" spans="1:10" x14ac:dyDescent="0.3">
      <c r="A18">
        <v>19</v>
      </c>
      <c r="B18" t="s">
        <v>25</v>
      </c>
      <c r="C18" t="str">
        <f>B19</f>
        <v>Russell</v>
      </c>
      <c r="D18">
        <v>2015</v>
      </c>
      <c r="E18" t="s">
        <v>42</v>
      </c>
      <c r="F18">
        <v>104</v>
      </c>
      <c r="G18">
        <f>F18-F19</f>
        <v>24</v>
      </c>
      <c r="H18" s="42" t="str">
        <f t="shared" si="0"/>
        <v>W</v>
      </c>
      <c r="I18" s="42" t="s">
        <v>64</v>
      </c>
      <c r="J18" s="19" t="s">
        <v>68</v>
      </c>
    </row>
    <row r="19" spans="1:10" x14ac:dyDescent="0.3">
      <c r="A19">
        <v>20</v>
      </c>
      <c r="B19" t="s">
        <v>28</v>
      </c>
      <c r="C19" t="str">
        <f>B18</f>
        <v>BR</v>
      </c>
      <c r="D19">
        <v>2015</v>
      </c>
      <c r="E19" t="s">
        <v>42</v>
      </c>
      <c r="F19">
        <v>80</v>
      </c>
      <c r="G19">
        <f>F19-F18</f>
        <v>-24</v>
      </c>
      <c r="H19" s="42" t="str">
        <f t="shared" si="0"/>
        <v>L</v>
      </c>
      <c r="I19" s="42" t="s">
        <v>63</v>
      </c>
      <c r="J19" s="19" t="s">
        <v>68</v>
      </c>
    </row>
    <row r="20" spans="1:10" x14ac:dyDescent="0.3">
      <c r="A20">
        <v>21</v>
      </c>
      <c r="B20" t="s">
        <v>29</v>
      </c>
      <c r="C20" t="str">
        <f>B21</f>
        <v>Emily</v>
      </c>
      <c r="D20">
        <v>2015</v>
      </c>
      <c r="E20" t="s">
        <v>42</v>
      </c>
      <c r="F20">
        <v>71</v>
      </c>
      <c r="G20">
        <f>F20-F21</f>
        <v>16</v>
      </c>
      <c r="H20" s="42" t="str">
        <f t="shared" si="0"/>
        <v>W</v>
      </c>
      <c r="I20" s="42" t="s">
        <v>64</v>
      </c>
      <c r="J20" s="19" t="s">
        <v>68</v>
      </c>
    </row>
    <row r="21" spans="1:10" x14ac:dyDescent="0.3">
      <c r="A21">
        <v>22</v>
      </c>
      <c r="B21" t="s">
        <v>43</v>
      </c>
      <c r="C21" t="str">
        <f>B20</f>
        <v>David</v>
      </c>
      <c r="D21">
        <v>2015</v>
      </c>
      <c r="E21" t="s">
        <v>42</v>
      </c>
      <c r="F21">
        <v>55</v>
      </c>
      <c r="G21">
        <f>F21-F20</f>
        <v>-16</v>
      </c>
      <c r="H21" s="42" t="str">
        <f t="shared" si="0"/>
        <v>L</v>
      </c>
      <c r="I21" s="42" t="s">
        <v>63</v>
      </c>
      <c r="J21" s="19" t="s">
        <v>68</v>
      </c>
    </row>
    <row r="22" spans="1:10" x14ac:dyDescent="0.3">
      <c r="A22">
        <v>23</v>
      </c>
      <c r="B22" s="15" t="s">
        <v>47</v>
      </c>
      <c r="C22" t="str">
        <f>B23</f>
        <v>BR</v>
      </c>
      <c r="D22">
        <v>2015</v>
      </c>
      <c r="E22" t="s">
        <v>32</v>
      </c>
      <c r="F22" s="14">
        <v>131</v>
      </c>
      <c r="G22">
        <f>F22-F23</f>
        <v>25</v>
      </c>
      <c r="H22" s="42" t="str">
        <f t="shared" si="0"/>
        <v>W</v>
      </c>
      <c r="I22" s="42" t="s">
        <v>63</v>
      </c>
      <c r="J22" s="19" t="s">
        <v>69</v>
      </c>
    </row>
    <row r="23" spans="1:10" x14ac:dyDescent="0.3">
      <c r="A23">
        <v>24</v>
      </c>
      <c r="B23" s="15" t="s">
        <v>25</v>
      </c>
      <c r="C23" t="str">
        <f>B22</f>
        <v>Brent</v>
      </c>
      <c r="D23">
        <v>2015</v>
      </c>
      <c r="E23" t="s">
        <v>32</v>
      </c>
      <c r="F23" s="14">
        <v>106</v>
      </c>
      <c r="G23">
        <f>F23-F22</f>
        <v>-25</v>
      </c>
      <c r="H23" s="42" t="str">
        <f t="shared" si="0"/>
        <v>L</v>
      </c>
      <c r="I23" s="42" t="s">
        <v>63</v>
      </c>
      <c r="J23" s="19" t="s">
        <v>69</v>
      </c>
    </row>
    <row r="24" spans="1:10" x14ac:dyDescent="0.3">
      <c r="A24">
        <v>25</v>
      </c>
      <c r="B24" s="15" t="s">
        <v>29</v>
      </c>
      <c r="C24" t="str">
        <f>B25</f>
        <v>Michael</v>
      </c>
      <c r="D24">
        <v>2015</v>
      </c>
      <c r="E24" t="s">
        <v>32</v>
      </c>
      <c r="F24" s="14">
        <v>65</v>
      </c>
      <c r="G24">
        <f>F24-F25</f>
        <v>-41</v>
      </c>
      <c r="H24" s="42" t="str">
        <f t="shared" si="0"/>
        <v>L</v>
      </c>
      <c r="I24" s="42" t="s">
        <v>64</v>
      </c>
      <c r="J24" s="19" t="s">
        <v>69</v>
      </c>
    </row>
    <row r="25" spans="1:10" x14ac:dyDescent="0.3">
      <c r="A25">
        <v>26</v>
      </c>
      <c r="B25" s="15" t="s">
        <v>23</v>
      </c>
      <c r="C25" t="str">
        <f>B24</f>
        <v>David</v>
      </c>
      <c r="D25">
        <v>2015</v>
      </c>
      <c r="E25" t="s">
        <v>32</v>
      </c>
      <c r="F25" s="14">
        <v>106</v>
      </c>
      <c r="G25">
        <f>F25-F24</f>
        <v>41</v>
      </c>
      <c r="H25" s="42" t="str">
        <f t="shared" si="0"/>
        <v>W</v>
      </c>
      <c r="I25" s="42" t="s">
        <v>64</v>
      </c>
      <c r="J25" s="19" t="s">
        <v>69</v>
      </c>
    </row>
    <row r="26" spans="1:10" x14ac:dyDescent="0.3">
      <c r="A26">
        <v>27</v>
      </c>
      <c r="B26" s="15" t="s">
        <v>47</v>
      </c>
      <c r="C26" t="str">
        <f>B27</f>
        <v>Michael</v>
      </c>
      <c r="D26">
        <v>2015</v>
      </c>
      <c r="E26" t="s">
        <v>33</v>
      </c>
      <c r="F26" s="14">
        <v>111</v>
      </c>
      <c r="G26">
        <f>F26-F27</f>
        <v>-8</v>
      </c>
      <c r="H26" s="42" t="str">
        <f t="shared" si="0"/>
        <v>L</v>
      </c>
      <c r="I26" s="42" t="s">
        <v>64</v>
      </c>
      <c r="J26" s="19" t="s">
        <v>68</v>
      </c>
    </row>
    <row r="27" spans="1:10" x14ac:dyDescent="0.3">
      <c r="A27">
        <v>28</v>
      </c>
      <c r="B27" s="15" t="s">
        <v>23</v>
      </c>
      <c r="C27" t="str">
        <f>B26</f>
        <v>Brent</v>
      </c>
      <c r="D27">
        <v>2015</v>
      </c>
      <c r="E27" t="s">
        <v>33</v>
      </c>
      <c r="F27" s="14">
        <v>119</v>
      </c>
      <c r="G27">
        <f>F27-F26</f>
        <v>8</v>
      </c>
      <c r="H27" s="42" t="str">
        <f t="shared" si="0"/>
        <v>W</v>
      </c>
      <c r="I27" s="42" t="s">
        <v>63</v>
      </c>
      <c r="J27" s="19" t="s">
        <v>68</v>
      </c>
    </row>
    <row r="28" spans="1:10" x14ac:dyDescent="0.3">
      <c r="A28">
        <v>29</v>
      </c>
      <c r="B28" s="15" t="s">
        <v>29</v>
      </c>
      <c r="C28" t="str">
        <f>B29</f>
        <v>Russell</v>
      </c>
      <c r="D28">
        <v>2016</v>
      </c>
      <c r="E28" t="s">
        <v>42</v>
      </c>
      <c r="F28" s="14">
        <v>107</v>
      </c>
      <c r="G28">
        <f>F28-F29</f>
        <v>15</v>
      </c>
      <c r="H28" s="42" t="str">
        <f t="shared" si="0"/>
        <v>W</v>
      </c>
      <c r="I28" s="42" t="s">
        <v>64</v>
      </c>
      <c r="J28" s="19" t="s">
        <v>69</v>
      </c>
    </row>
    <row r="29" spans="1:10" x14ac:dyDescent="0.3">
      <c r="A29">
        <v>30</v>
      </c>
      <c r="B29" s="15" t="s">
        <v>28</v>
      </c>
      <c r="C29" t="str">
        <f>B28</f>
        <v>David</v>
      </c>
      <c r="D29">
        <v>2016</v>
      </c>
      <c r="E29" t="s">
        <v>42</v>
      </c>
      <c r="F29" s="14">
        <v>92</v>
      </c>
      <c r="G29">
        <f>F29-F28</f>
        <v>-15</v>
      </c>
      <c r="H29" s="42" t="str">
        <f t="shared" si="0"/>
        <v>L</v>
      </c>
      <c r="I29" s="42" t="s">
        <v>64</v>
      </c>
      <c r="J29" s="19" t="s">
        <v>69</v>
      </c>
    </row>
    <row r="30" spans="1:10" x14ac:dyDescent="0.3">
      <c r="A30">
        <v>31</v>
      </c>
      <c r="B30" s="15" t="s">
        <v>43</v>
      </c>
      <c r="C30" t="str">
        <f>B31</f>
        <v>Matt</v>
      </c>
      <c r="D30">
        <v>2016</v>
      </c>
      <c r="E30" t="s">
        <v>42</v>
      </c>
      <c r="F30" s="14">
        <v>70</v>
      </c>
      <c r="G30">
        <f>F30-F31</f>
        <v>9</v>
      </c>
      <c r="H30" s="42" t="str">
        <f t="shared" si="0"/>
        <v>W</v>
      </c>
      <c r="I30" s="42" t="s">
        <v>64</v>
      </c>
      <c r="J30" s="19" t="s">
        <v>69</v>
      </c>
    </row>
    <row r="31" spans="1:10" x14ac:dyDescent="0.3">
      <c r="A31">
        <v>32</v>
      </c>
      <c r="B31" s="15" t="s">
        <v>30</v>
      </c>
      <c r="C31" t="str">
        <f>B30</f>
        <v>Emily</v>
      </c>
      <c r="D31">
        <v>2016</v>
      </c>
      <c r="E31" t="s">
        <v>42</v>
      </c>
      <c r="F31" s="14">
        <v>61</v>
      </c>
      <c r="G31">
        <f>F31-F30</f>
        <v>-9</v>
      </c>
      <c r="H31" s="42" t="str">
        <f t="shared" si="0"/>
        <v>L</v>
      </c>
      <c r="I31" s="42" t="s">
        <v>64</v>
      </c>
      <c r="J31" s="19" t="s">
        <v>69</v>
      </c>
    </row>
    <row r="32" spans="1:10" x14ac:dyDescent="0.3">
      <c r="A32">
        <v>33</v>
      </c>
      <c r="B32" s="15" t="s">
        <v>29</v>
      </c>
      <c r="C32" t="str">
        <f>B33</f>
        <v>Brent</v>
      </c>
      <c r="D32">
        <v>2016</v>
      </c>
      <c r="E32" t="s">
        <v>32</v>
      </c>
      <c r="F32" s="14">
        <v>85</v>
      </c>
      <c r="G32">
        <f>F32-F33</f>
        <v>-10</v>
      </c>
      <c r="H32" s="42" t="str">
        <f t="shared" si="0"/>
        <v>L</v>
      </c>
      <c r="I32" s="42" t="s">
        <v>64</v>
      </c>
      <c r="J32" s="19" t="s">
        <v>69</v>
      </c>
    </row>
    <row r="33" spans="1:10" x14ac:dyDescent="0.3">
      <c r="A33">
        <v>34</v>
      </c>
      <c r="B33" s="15" t="s">
        <v>47</v>
      </c>
      <c r="C33" t="str">
        <f>B32</f>
        <v>David</v>
      </c>
      <c r="D33">
        <v>2016</v>
      </c>
      <c r="E33" t="s">
        <v>32</v>
      </c>
      <c r="F33" s="14">
        <v>95</v>
      </c>
      <c r="G33">
        <f>F33-F32</f>
        <v>10</v>
      </c>
      <c r="H33" s="42" t="str">
        <f t="shared" si="0"/>
        <v>W</v>
      </c>
      <c r="I33" s="42" t="s">
        <v>64</v>
      </c>
      <c r="J33" s="19" t="s">
        <v>69</v>
      </c>
    </row>
    <row r="34" spans="1:10" x14ac:dyDescent="0.3">
      <c r="A34">
        <v>35</v>
      </c>
      <c r="B34" s="15" t="s">
        <v>43</v>
      </c>
      <c r="C34" t="str">
        <f>B35</f>
        <v>Charles</v>
      </c>
      <c r="D34">
        <v>2016</v>
      </c>
      <c r="E34" t="s">
        <v>32</v>
      </c>
      <c r="F34" s="14">
        <v>103</v>
      </c>
      <c r="G34">
        <f>F34-F35</f>
        <v>27</v>
      </c>
      <c r="H34" s="42" t="str">
        <f t="shared" ref="H34:H65" si="1">IF(G34&gt;0,"W",IF(G34&lt;0,"L","T"))</f>
        <v>W</v>
      </c>
      <c r="I34" s="42" t="s">
        <v>64</v>
      </c>
      <c r="J34" s="19" t="s">
        <v>68</v>
      </c>
    </row>
    <row r="35" spans="1:10" x14ac:dyDescent="0.3">
      <c r="A35">
        <v>36</v>
      </c>
      <c r="B35" s="15" t="s">
        <v>48</v>
      </c>
      <c r="C35" t="str">
        <f>B34</f>
        <v>Emily</v>
      </c>
      <c r="D35">
        <v>2016</v>
      </c>
      <c r="E35" t="s">
        <v>32</v>
      </c>
      <c r="F35" s="14">
        <v>76</v>
      </c>
      <c r="G35">
        <f>F35-F34</f>
        <v>-27</v>
      </c>
      <c r="H35" s="42" t="str">
        <f t="shared" si="1"/>
        <v>L</v>
      </c>
      <c r="I35" s="42" t="s">
        <v>63</v>
      </c>
      <c r="J35" s="19" t="s">
        <v>68</v>
      </c>
    </row>
    <row r="36" spans="1:10" x14ac:dyDescent="0.3">
      <c r="A36">
        <v>37</v>
      </c>
      <c r="B36" s="15" t="s">
        <v>43</v>
      </c>
      <c r="C36" t="str">
        <f>B37</f>
        <v>Brent</v>
      </c>
      <c r="D36">
        <v>2016</v>
      </c>
      <c r="E36" t="s">
        <v>33</v>
      </c>
      <c r="F36" s="14">
        <v>73</v>
      </c>
      <c r="G36">
        <f>F36-F37</f>
        <v>-28</v>
      </c>
      <c r="H36" s="42" t="str">
        <f t="shared" si="1"/>
        <v>L</v>
      </c>
      <c r="I36" s="42" t="s">
        <v>64</v>
      </c>
      <c r="J36" s="19" t="s">
        <v>69</v>
      </c>
    </row>
    <row r="37" spans="1:10" x14ac:dyDescent="0.3">
      <c r="A37">
        <v>38</v>
      </c>
      <c r="B37" s="15" t="s">
        <v>47</v>
      </c>
      <c r="C37" t="str">
        <f>B36</f>
        <v>Emily</v>
      </c>
      <c r="D37">
        <v>2016</v>
      </c>
      <c r="E37" t="s">
        <v>33</v>
      </c>
      <c r="F37" s="14">
        <v>101</v>
      </c>
      <c r="G37">
        <f>F37-F36</f>
        <v>28</v>
      </c>
      <c r="H37" s="42" t="str">
        <f t="shared" si="1"/>
        <v>W</v>
      </c>
      <c r="I37" s="42" t="s">
        <v>64</v>
      </c>
      <c r="J37" s="19" t="s">
        <v>69</v>
      </c>
    </row>
    <row r="38" spans="1:10" x14ac:dyDescent="0.3">
      <c r="A38">
        <v>39</v>
      </c>
      <c r="B38" s="15" t="s">
        <v>23</v>
      </c>
      <c r="C38" t="str">
        <f>B39</f>
        <v>Abby</v>
      </c>
      <c r="D38">
        <v>2017</v>
      </c>
      <c r="E38" t="s">
        <v>42</v>
      </c>
      <c r="F38" s="14">
        <v>78</v>
      </c>
      <c r="G38">
        <f>F38-F39</f>
        <v>-26</v>
      </c>
      <c r="H38" s="42" t="str">
        <f t="shared" si="1"/>
        <v>L</v>
      </c>
      <c r="I38" s="42" t="s">
        <v>63</v>
      </c>
      <c r="J38" s="19" t="s">
        <v>69</v>
      </c>
    </row>
    <row r="39" spans="1:10" x14ac:dyDescent="0.3">
      <c r="A39">
        <v>40</v>
      </c>
      <c r="B39" s="15" t="s">
        <v>27</v>
      </c>
      <c r="C39" t="str">
        <f>B38</f>
        <v>Michael</v>
      </c>
      <c r="D39">
        <v>2017</v>
      </c>
      <c r="E39" t="s">
        <v>42</v>
      </c>
      <c r="F39" s="14">
        <v>104</v>
      </c>
      <c r="G39">
        <f>F39-F38</f>
        <v>26</v>
      </c>
      <c r="H39" s="42" t="str">
        <f t="shared" si="1"/>
        <v>W</v>
      </c>
      <c r="I39" s="42" t="s">
        <v>63</v>
      </c>
      <c r="J39" s="19" t="s">
        <v>69</v>
      </c>
    </row>
    <row r="40" spans="1:10" x14ac:dyDescent="0.3">
      <c r="A40">
        <v>41</v>
      </c>
      <c r="B40" s="15" t="s">
        <v>24</v>
      </c>
      <c r="C40" t="str">
        <f>B41</f>
        <v>Russell</v>
      </c>
      <c r="D40">
        <v>2017</v>
      </c>
      <c r="E40" t="s">
        <v>42</v>
      </c>
      <c r="F40" s="14">
        <v>88</v>
      </c>
      <c r="G40">
        <f>F40-F41</f>
        <v>18</v>
      </c>
      <c r="H40" s="42" t="str">
        <f t="shared" si="1"/>
        <v>W</v>
      </c>
      <c r="I40" s="42" t="s">
        <v>63</v>
      </c>
      <c r="J40" s="19" t="s">
        <v>68</v>
      </c>
    </row>
    <row r="41" spans="1:10" x14ac:dyDescent="0.3">
      <c r="A41">
        <v>42</v>
      </c>
      <c r="B41" s="15" t="s">
        <v>28</v>
      </c>
      <c r="C41" t="str">
        <f>B40</f>
        <v>Watty</v>
      </c>
      <c r="D41">
        <v>2017</v>
      </c>
      <c r="E41" t="s">
        <v>42</v>
      </c>
      <c r="F41" s="14">
        <v>70</v>
      </c>
      <c r="G41">
        <f>F41-F40</f>
        <v>-18</v>
      </c>
      <c r="H41" s="42" t="str">
        <f t="shared" si="1"/>
        <v>L</v>
      </c>
      <c r="I41" s="42" t="s">
        <v>64</v>
      </c>
      <c r="J41" s="19" t="s">
        <v>68</v>
      </c>
    </row>
    <row r="42" spans="1:10" x14ac:dyDescent="0.3">
      <c r="A42">
        <v>43</v>
      </c>
      <c r="B42" s="15" t="s">
        <v>24</v>
      </c>
      <c r="C42" t="str">
        <f>B43</f>
        <v>Charles</v>
      </c>
      <c r="D42">
        <v>2017</v>
      </c>
      <c r="E42" t="s">
        <v>32</v>
      </c>
      <c r="F42" s="14">
        <v>114</v>
      </c>
      <c r="G42">
        <f>F42-F43</f>
        <v>35</v>
      </c>
      <c r="H42" s="42" t="str">
        <f t="shared" si="1"/>
        <v>W</v>
      </c>
      <c r="I42" s="42" t="s">
        <v>63</v>
      </c>
      <c r="J42" s="19" t="s">
        <v>69</v>
      </c>
    </row>
    <row r="43" spans="1:10" x14ac:dyDescent="0.3">
      <c r="A43">
        <v>44</v>
      </c>
      <c r="B43" s="15" t="s">
        <v>48</v>
      </c>
      <c r="C43" t="str">
        <f>B42</f>
        <v>Watty</v>
      </c>
      <c r="D43">
        <v>2017</v>
      </c>
      <c r="E43" t="s">
        <v>32</v>
      </c>
      <c r="F43" s="14">
        <v>79</v>
      </c>
      <c r="G43">
        <f>F43-F42</f>
        <v>-35</v>
      </c>
      <c r="H43" s="42" t="str">
        <f t="shared" si="1"/>
        <v>L</v>
      </c>
      <c r="I43" s="42" t="s">
        <v>63</v>
      </c>
      <c r="J43" s="19" t="s">
        <v>69</v>
      </c>
    </row>
    <row r="44" spans="1:10" x14ac:dyDescent="0.3">
      <c r="A44">
        <v>45</v>
      </c>
      <c r="B44" s="15" t="s">
        <v>27</v>
      </c>
      <c r="C44" t="str">
        <f>B45</f>
        <v>Matt</v>
      </c>
      <c r="D44">
        <v>2017</v>
      </c>
      <c r="E44" t="s">
        <v>32</v>
      </c>
      <c r="F44" s="14">
        <v>97</v>
      </c>
      <c r="G44">
        <f>F44-F45</f>
        <v>5</v>
      </c>
      <c r="H44" s="42" t="str">
        <f t="shared" si="1"/>
        <v>W</v>
      </c>
      <c r="I44" s="42" t="s">
        <v>63</v>
      </c>
      <c r="J44" s="19" t="s">
        <v>68</v>
      </c>
    </row>
    <row r="45" spans="1:10" x14ac:dyDescent="0.3">
      <c r="A45">
        <v>46</v>
      </c>
      <c r="B45" s="15" t="s">
        <v>30</v>
      </c>
      <c r="C45" t="str">
        <f>B44</f>
        <v>Abby</v>
      </c>
      <c r="D45">
        <v>2017</v>
      </c>
      <c r="E45" t="s">
        <v>32</v>
      </c>
      <c r="F45" s="14">
        <v>92</v>
      </c>
      <c r="G45">
        <f>F45-F44</f>
        <v>-5</v>
      </c>
      <c r="H45" s="42" t="str">
        <f t="shared" si="1"/>
        <v>L</v>
      </c>
      <c r="I45" s="42" t="s">
        <v>64</v>
      </c>
      <c r="J45" s="19" t="s">
        <v>68</v>
      </c>
    </row>
    <row r="46" spans="1:10" x14ac:dyDescent="0.3">
      <c r="A46">
        <v>47</v>
      </c>
      <c r="B46" s="15" t="s">
        <v>24</v>
      </c>
      <c r="C46" t="str">
        <f>B47</f>
        <v>Abby</v>
      </c>
      <c r="D46">
        <v>2017</v>
      </c>
      <c r="E46" t="s">
        <v>33</v>
      </c>
      <c r="F46" s="14">
        <v>114</v>
      </c>
      <c r="G46">
        <f>F46-F47</f>
        <v>49</v>
      </c>
      <c r="H46" s="42" t="str">
        <f t="shared" si="1"/>
        <v>W</v>
      </c>
      <c r="I46" s="42" t="s">
        <v>63</v>
      </c>
      <c r="J46" s="19" t="s">
        <v>69</v>
      </c>
    </row>
    <row r="47" spans="1:10" x14ac:dyDescent="0.3">
      <c r="A47">
        <v>48</v>
      </c>
      <c r="B47" s="15" t="s">
        <v>27</v>
      </c>
      <c r="C47" t="str">
        <f>B46</f>
        <v>Watty</v>
      </c>
      <c r="D47">
        <v>2017</v>
      </c>
      <c r="E47" t="s">
        <v>33</v>
      </c>
      <c r="F47" s="14">
        <v>65</v>
      </c>
      <c r="G47">
        <f>F47-F46</f>
        <v>-49</v>
      </c>
      <c r="H47" s="42" t="str">
        <f t="shared" si="1"/>
        <v>L</v>
      </c>
      <c r="I47" s="42" t="s">
        <v>63</v>
      </c>
      <c r="J47" s="19" t="s">
        <v>69</v>
      </c>
    </row>
    <row r="48" spans="1:10" x14ac:dyDescent="0.3">
      <c r="A48">
        <v>49</v>
      </c>
      <c r="B48" s="15" t="s">
        <v>28</v>
      </c>
      <c r="C48" t="str">
        <f>B49</f>
        <v>Michael</v>
      </c>
      <c r="D48">
        <v>2018</v>
      </c>
      <c r="E48" t="s">
        <v>42</v>
      </c>
      <c r="F48" s="14">
        <v>79</v>
      </c>
      <c r="G48">
        <f>F48-F49</f>
        <v>14</v>
      </c>
      <c r="H48" s="42" t="str">
        <f t="shared" si="1"/>
        <v>W</v>
      </c>
      <c r="I48" s="42" t="s">
        <v>64</v>
      </c>
      <c r="J48" s="19" t="s">
        <v>68</v>
      </c>
    </row>
    <row r="49" spans="1:10" x14ac:dyDescent="0.3">
      <c r="A49">
        <v>50</v>
      </c>
      <c r="B49" s="15" t="s">
        <v>23</v>
      </c>
      <c r="C49" t="str">
        <f>B48</f>
        <v>Russell</v>
      </c>
      <c r="D49">
        <v>2018</v>
      </c>
      <c r="E49" t="s">
        <v>42</v>
      </c>
      <c r="F49" s="14">
        <v>65</v>
      </c>
      <c r="G49">
        <f>F49-F48</f>
        <v>-14</v>
      </c>
      <c r="H49" s="42" t="str">
        <f t="shared" si="1"/>
        <v>L</v>
      </c>
      <c r="I49" s="42" t="s">
        <v>63</v>
      </c>
      <c r="J49" s="19" t="s">
        <v>68</v>
      </c>
    </row>
    <row r="50" spans="1:10" x14ac:dyDescent="0.3">
      <c r="A50">
        <v>51</v>
      </c>
      <c r="B50" s="15" t="s">
        <v>30</v>
      </c>
      <c r="C50" t="str">
        <f>B51</f>
        <v>Emily</v>
      </c>
      <c r="D50">
        <v>2018</v>
      </c>
      <c r="E50" t="s">
        <v>42</v>
      </c>
      <c r="F50" s="14">
        <v>98</v>
      </c>
      <c r="G50">
        <f>F50-F51</f>
        <v>-7</v>
      </c>
      <c r="H50" s="42" t="str">
        <f t="shared" si="1"/>
        <v>L</v>
      </c>
      <c r="I50" s="42" t="s">
        <v>64</v>
      </c>
      <c r="J50" s="19" t="s">
        <v>69</v>
      </c>
    </row>
    <row r="51" spans="1:10" x14ac:dyDescent="0.3">
      <c r="A51">
        <v>52</v>
      </c>
      <c r="B51" s="15" t="s">
        <v>43</v>
      </c>
      <c r="C51" t="str">
        <f>B50</f>
        <v>Matt</v>
      </c>
      <c r="D51">
        <v>2018</v>
      </c>
      <c r="E51" t="s">
        <v>42</v>
      </c>
      <c r="F51" s="14">
        <v>105</v>
      </c>
      <c r="G51">
        <f>F51-F50</f>
        <v>7</v>
      </c>
      <c r="H51" s="42" t="str">
        <f t="shared" si="1"/>
        <v>W</v>
      </c>
      <c r="I51" s="42" t="s">
        <v>64</v>
      </c>
      <c r="J51" s="19" t="s">
        <v>69</v>
      </c>
    </row>
    <row r="52" spans="1:10" x14ac:dyDescent="0.3">
      <c r="A52">
        <v>53</v>
      </c>
      <c r="B52" s="15" t="s">
        <v>28</v>
      </c>
      <c r="C52" t="str">
        <f>B53</f>
        <v>BR</v>
      </c>
      <c r="D52">
        <v>2018</v>
      </c>
      <c r="E52" t="s">
        <v>32</v>
      </c>
      <c r="F52" s="14">
        <v>55</v>
      </c>
      <c r="G52">
        <f>F52-F53</f>
        <v>-39</v>
      </c>
      <c r="H52" s="42" t="str">
        <f t="shared" si="1"/>
        <v>L</v>
      </c>
      <c r="I52" s="42" t="s">
        <v>64</v>
      </c>
      <c r="J52" s="19" t="s">
        <v>68</v>
      </c>
    </row>
    <row r="53" spans="1:10" x14ac:dyDescent="0.3">
      <c r="A53">
        <v>54</v>
      </c>
      <c r="B53" s="15" t="s">
        <v>25</v>
      </c>
      <c r="C53" t="str">
        <f>B52</f>
        <v>Russell</v>
      </c>
      <c r="D53">
        <v>2018</v>
      </c>
      <c r="E53" t="s">
        <v>32</v>
      </c>
      <c r="F53" s="14">
        <v>94</v>
      </c>
      <c r="G53">
        <f>F53-F52</f>
        <v>39</v>
      </c>
      <c r="H53" s="42" t="str">
        <f t="shared" si="1"/>
        <v>W</v>
      </c>
      <c r="I53" s="42" t="s">
        <v>63</v>
      </c>
      <c r="J53" s="19" t="s">
        <v>68</v>
      </c>
    </row>
    <row r="54" spans="1:10" x14ac:dyDescent="0.3">
      <c r="A54">
        <v>55</v>
      </c>
      <c r="B54" s="15" t="s">
        <v>43</v>
      </c>
      <c r="C54" t="str">
        <f>B55</f>
        <v>Brent</v>
      </c>
      <c r="D54">
        <v>2018</v>
      </c>
      <c r="E54" t="s">
        <v>32</v>
      </c>
      <c r="F54" s="14">
        <v>106</v>
      </c>
      <c r="G54">
        <f>F54-F55</f>
        <v>11</v>
      </c>
      <c r="H54" s="42" t="str">
        <f t="shared" si="1"/>
        <v>W</v>
      </c>
      <c r="I54" s="42" t="s">
        <v>64</v>
      </c>
      <c r="J54" s="19" t="s">
        <v>69</v>
      </c>
    </row>
    <row r="55" spans="1:10" x14ac:dyDescent="0.3">
      <c r="A55">
        <v>56</v>
      </c>
      <c r="B55" s="15" t="s">
        <v>47</v>
      </c>
      <c r="C55" t="str">
        <f>B54</f>
        <v>Emily</v>
      </c>
      <c r="D55">
        <v>2018</v>
      </c>
      <c r="E55" t="s">
        <v>32</v>
      </c>
      <c r="F55" s="14">
        <v>95</v>
      </c>
      <c r="G55">
        <f>F55-F54</f>
        <v>-11</v>
      </c>
      <c r="H55" s="42" t="str">
        <f t="shared" si="1"/>
        <v>L</v>
      </c>
      <c r="I55" s="42" t="s">
        <v>64</v>
      </c>
      <c r="J55" s="19" t="s">
        <v>69</v>
      </c>
    </row>
    <row r="56" spans="1:10" x14ac:dyDescent="0.3">
      <c r="A56">
        <v>57</v>
      </c>
      <c r="B56" s="15" t="s">
        <v>43</v>
      </c>
      <c r="C56" t="str">
        <f>B57</f>
        <v>BR</v>
      </c>
      <c r="D56">
        <v>2018</v>
      </c>
      <c r="E56" t="s">
        <v>33</v>
      </c>
      <c r="F56" s="14">
        <v>96</v>
      </c>
      <c r="G56">
        <f>F56-F57</f>
        <v>-5</v>
      </c>
      <c r="H56" s="42" t="str">
        <f t="shared" si="1"/>
        <v>L</v>
      </c>
      <c r="I56" s="42" t="s">
        <v>64</v>
      </c>
      <c r="J56" s="19" t="s">
        <v>68</v>
      </c>
    </row>
    <row r="57" spans="1:10" x14ac:dyDescent="0.3">
      <c r="A57">
        <v>58</v>
      </c>
      <c r="B57" s="15" t="s">
        <v>25</v>
      </c>
      <c r="C57" t="str">
        <f>B56</f>
        <v>Emily</v>
      </c>
      <c r="D57">
        <v>2018</v>
      </c>
      <c r="E57" t="s">
        <v>33</v>
      </c>
      <c r="F57" s="14">
        <v>101</v>
      </c>
      <c r="G57">
        <f>F57-F56</f>
        <v>5</v>
      </c>
      <c r="H57" s="42" t="str">
        <f t="shared" si="1"/>
        <v>W</v>
      </c>
      <c r="I57" s="42" t="s">
        <v>63</v>
      </c>
      <c r="J57" s="19" t="s">
        <v>68</v>
      </c>
    </row>
    <row r="58" spans="1:10" x14ac:dyDescent="0.3">
      <c r="A58">
        <v>59</v>
      </c>
      <c r="B58" s="15" t="s">
        <v>25</v>
      </c>
      <c r="C58" t="str">
        <f>B59</f>
        <v>Abby</v>
      </c>
      <c r="D58">
        <v>2019</v>
      </c>
      <c r="E58" t="s">
        <v>42</v>
      </c>
      <c r="F58" s="14">
        <v>59</v>
      </c>
      <c r="G58">
        <f>F58-F59</f>
        <v>-51</v>
      </c>
      <c r="H58" s="42" t="str">
        <f t="shared" si="1"/>
        <v>L</v>
      </c>
      <c r="I58" s="42" t="s">
        <v>63</v>
      </c>
      <c r="J58" s="19" t="s">
        <v>69</v>
      </c>
    </row>
    <row r="59" spans="1:10" x14ac:dyDescent="0.3">
      <c r="A59">
        <v>60</v>
      </c>
      <c r="B59" s="15" t="s">
        <v>27</v>
      </c>
      <c r="C59" t="str">
        <f>B58</f>
        <v>BR</v>
      </c>
      <c r="D59">
        <v>2019</v>
      </c>
      <c r="E59" t="s">
        <v>42</v>
      </c>
      <c r="F59" s="14">
        <v>110</v>
      </c>
      <c r="G59">
        <f>F59-F58</f>
        <v>51</v>
      </c>
      <c r="H59" s="42" t="str">
        <f t="shared" si="1"/>
        <v>W</v>
      </c>
      <c r="I59" s="42" t="s">
        <v>63</v>
      </c>
      <c r="J59" s="19" t="s">
        <v>69</v>
      </c>
    </row>
    <row r="60" spans="1:10" x14ac:dyDescent="0.3">
      <c r="A60">
        <v>61</v>
      </c>
      <c r="B60" s="15" t="s">
        <v>29</v>
      </c>
      <c r="C60" t="str">
        <f>B61</f>
        <v>Mark</v>
      </c>
      <c r="D60">
        <v>2019</v>
      </c>
      <c r="E60" t="s">
        <v>42</v>
      </c>
      <c r="F60" s="14">
        <v>95</v>
      </c>
      <c r="G60">
        <f>F60-F61</f>
        <v>3</v>
      </c>
      <c r="H60" s="42" t="str">
        <f t="shared" si="1"/>
        <v>W</v>
      </c>
      <c r="I60" s="42" t="s">
        <v>64</v>
      </c>
      <c r="J60" s="19" t="s">
        <v>68</v>
      </c>
    </row>
    <row r="61" spans="1:10" x14ac:dyDescent="0.3">
      <c r="A61">
        <v>62</v>
      </c>
      <c r="B61" s="15" t="s">
        <v>22</v>
      </c>
      <c r="C61" t="str">
        <f>B60</f>
        <v>David</v>
      </c>
      <c r="D61">
        <v>2019</v>
      </c>
      <c r="E61" t="s">
        <v>42</v>
      </c>
      <c r="F61" s="14">
        <v>92</v>
      </c>
      <c r="G61">
        <f>F61-F60</f>
        <v>-3</v>
      </c>
      <c r="H61" s="42" t="str">
        <f t="shared" si="1"/>
        <v>L</v>
      </c>
      <c r="I61" s="42" t="s">
        <v>63</v>
      </c>
      <c r="J61" s="19" t="s">
        <v>68</v>
      </c>
    </row>
    <row r="62" spans="1:10" x14ac:dyDescent="0.3">
      <c r="A62">
        <v>63</v>
      </c>
      <c r="B62" s="15" t="s">
        <v>27</v>
      </c>
      <c r="C62" t="str">
        <f>B63</f>
        <v>Michael</v>
      </c>
      <c r="D62">
        <v>2019</v>
      </c>
      <c r="E62" t="s">
        <v>32</v>
      </c>
      <c r="F62" s="14">
        <v>69</v>
      </c>
      <c r="G62">
        <f>F62-F63</f>
        <v>-9</v>
      </c>
      <c r="H62" s="42" t="str">
        <f t="shared" si="1"/>
        <v>L</v>
      </c>
      <c r="I62" s="42" t="s">
        <v>63</v>
      </c>
      <c r="J62" s="19" t="s">
        <v>69</v>
      </c>
    </row>
    <row r="63" spans="1:10" x14ac:dyDescent="0.3">
      <c r="A63">
        <v>64</v>
      </c>
      <c r="B63" s="15" t="s">
        <v>23</v>
      </c>
      <c r="C63" t="str">
        <f>B62</f>
        <v>Abby</v>
      </c>
      <c r="D63">
        <v>2019</v>
      </c>
      <c r="E63" t="s">
        <v>32</v>
      </c>
      <c r="F63" s="14">
        <v>78</v>
      </c>
      <c r="G63">
        <f>F63-F62</f>
        <v>9</v>
      </c>
      <c r="H63" s="42" t="str">
        <f t="shared" si="1"/>
        <v>W</v>
      </c>
      <c r="I63" s="42" t="s">
        <v>63</v>
      </c>
      <c r="J63" s="19" t="s">
        <v>69</v>
      </c>
    </row>
    <row r="64" spans="1:10" x14ac:dyDescent="0.3">
      <c r="A64">
        <v>65</v>
      </c>
      <c r="B64" s="15" t="s">
        <v>29</v>
      </c>
      <c r="C64" t="str">
        <f>B65</f>
        <v>Matt</v>
      </c>
      <c r="D64">
        <v>2019</v>
      </c>
      <c r="E64" t="s">
        <v>32</v>
      </c>
      <c r="F64" s="14">
        <v>105</v>
      </c>
      <c r="G64">
        <f>F64-F65</f>
        <v>-5</v>
      </c>
      <c r="H64" s="42" t="str">
        <f t="shared" si="1"/>
        <v>L</v>
      </c>
      <c r="I64" s="42" t="s">
        <v>64</v>
      </c>
      <c r="J64" s="19" t="s">
        <v>69</v>
      </c>
    </row>
    <row r="65" spans="1:10" x14ac:dyDescent="0.3">
      <c r="A65">
        <v>66</v>
      </c>
      <c r="B65" s="15" t="s">
        <v>30</v>
      </c>
      <c r="C65" t="str">
        <f>B64</f>
        <v>David</v>
      </c>
      <c r="D65">
        <v>2019</v>
      </c>
      <c r="E65" t="s">
        <v>32</v>
      </c>
      <c r="F65" s="14">
        <v>110</v>
      </c>
      <c r="G65">
        <f>F65-F64</f>
        <v>5</v>
      </c>
      <c r="H65" s="42" t="str">
        <f t="shared" si="1"/>
        <v>W</v>
      </c>
      <c r="I65" s="42" t="s">
        <v>64</v>
      </c>
      <c r="J65" s="19" t="s">
        <v>69</v>
      </c>
    </row>
    <row r="66" spans="1:10" x14ac:dyDescent="0.3">
      <c r="A66">
        <v>67</v>
      </c>
      <c r="B66" s="15" t="s">
        <v>30</v>
      </c>
      <c r="C66" t="str">
        <f>B67</f>
        <v>Michael</v>
      </c>
      <c r="D66">
        <v>2019</v>
      </c>
      <c r="E66" t="s">
        <v>33</v>
      </c>
      <c r="F66" s="14">
        <v>71</v>
      </c>
      <c r="G66">
        <f>F66-F67</f>
        <v>-1</v>
      </c>
      <c r="H66" s="42" t="str">
        <f t="shared" ref="H66:H97" si="2">IF(G66&gt;0,"W",IF(G66&lt;0,"L","T"))</f>
        <v>L</v>
      </c>
      <c r="I66" s="42" t="s">
        <v>64</v>
      </c>
      <c r="J66" s="19" t="s">
        <v>68</v>
      </c>
    </row>
    <row r="67" spans="1:10" x14ac:dyDescent="0.3">
      <c r="A67">
        <v>68</v>
      </c>
      <c r="B67" s="15" t="s">
        <v>23</v>
      </c>
      <c r="C67" t="str">
        <f>B66</f>
        <v>Matt</v>
      </c>
      <c r="D67">
        <v>2019</v>
      </c>
      <c r="E67" t="s">
        <v>33</v>
      </c>
      <c r="F67" s="14">
        <v>72</v>
      </c>
      <c r="G67">
        <f>F67-F66</f>
        <v>1</v>
      </c>
      <c r="H67" s="42" t="str">
        <f t="shared" si="2"/>
        <v>W</v>
      </c>
      <c r="I67" s="42" t="s">
        <v>63</v>
      </c>
      <c r="J67" s="19" t="s">
        <v>68</v>
      </c>
    </row>
    <row r="68" spans="1:10" x14ac:dyDescent="0.3">
      <c r="A68">
        <v>69</v>
      </c>
      <c r="B68" s="15" t="s">
        <v>28</v>
      </c>
      <c r="C68" t="str">
        <f t="shared" ref="C68:C130" si="3">B69</f>
        <v>Brent</v>
      </c>
      <c r="D68">
        <v>2020</v>
      </c>
      <c r="E68" t="s">
        <v>42</v>
      </c>
      <c r="F68" s="14">
        <v>82</v>
      </c>
      <c r="G68">
        <f t="shared" ref="G68:G100" si="4">F68-F69</f>
        <v>17</v>
      </c>
      <c r="H68" s="42" t="str">
        <f t="shared" si="2"/>
        <v>W</v>
      </c>
      <c r="I68" s="42" t="s">
        <v>64</v>
      </c>
      <c r="J68" s="19" t="s">
        <v>69</v>
      </c>
    </row>
    <row r="69" spans="1:10" x14ac:dyDescent="0.3">
      <c r="A69">
        <v>70</v>
      </c>
      <c r="B69" s="15" t="s">
        <v>47</v>
      </c>
      <c r="C69" t="str">
        <f t="shared" ref="C69:C131" si="5">B68</f>
        <v>Russell</v>
      </c>
      <c r="D69">
        <v>2020</v>
      </c>
      <c r="E69" t="s">
        <v>42</v>
      </c>
      <c r="F69" s="14">
        <v>65</v>
      </c>
      <c r="G69">
        <f t="shared" ref="G69:G101" si="6">F69-F68</f>
        <v>-17</v>
      </c>
      <c r="H69" s="42" t="str">
        <f t="shared" si="2"/>
        <v>L</v>
      </c>
      <c r="I69" s="42" t="s">
        <v>64</v>
      </c>
      <c r="J69" s="19" t="s">
        <v>69</v>
      </c>
    </row>
    <row r="70" spans="1:10" x14ac:dyDescent="0.3">
      <c r="A70">
        <v>71</v>
      </c>
      <c r="B70" s="15" t="s">
        <v>23</v>
      </c>
      <c r="C70" t="str">
        <f t="shared" si="3"/>
        <v>Watty</v>
      </c>
      <c r="D70">
        <v>2020</v>
      </c>
      <c r="E70" t="s">
        <v>42</v>
      </c>
      <c r="F70" s="14">
        <v>85</v>
      </c>
      <c r="G70">
        <f t="shared" si="4"/>
        <v>-19</v>
      </c>
      <c r="H70" s="42" t="str">
        <f t="shared" si="2"/>
        <v>L</v>
      </c>
      <c r="I70" s="42" t="s">
        <v>63</v>
      </c>
      <c r="J70" s="19" t="s">
        <v>69</v>
      </c>
    </row>
    <row r="71" spans="1:10" x14ac:dyDescent="0.3">
      <c r="A71">
        <v>72</v>
      </c>
      <c r="B71" s="15" t="s">
        <v>24</v>
      </c>
      <c r="C71" t="str">
        <f t="shared" si="5"/>
        <v>Michael</v>
      </c>
      <c r="D71">
        <v>2020</v>
      </c>
      <c r="E71" t="s">
        <v>42</v>
      </c>
      <c r="F71" s="14">
        <v>104</v>
      </c>
      <c r="G71">
        <f t="shared" si="6"/>
        <v>19</v>
      </c>
      <c r="H71" s="42" t="str">
        <f t="shared" si="2"/>
        <v>W</v>
      </c>
      <c r="I71" s="42" t="s">
        <v>63</v>
      </c>
      <c r="J71" s="19" t="s">
        <v>69</v>
      </c>
    </row>
    <row r="72" spans="1:10" x14ac:dyDescent="0.3">
      <c r="A72">
        <v>73</v>
      </c>
      <c r="B72" s="15" t="s">
        <v>26</v>
      </c>
      <c r="C72" t="str">
        <f t="shared" si="3"/>
        <v>Russell</v>
      </c>
      <c r="D72">
        <v>2020</v>
      </c>
      <c r="E72" t="s">
        <v>32</v>
      </c>
      <c r="F72" s="14">
        <v>71</v>
      </c>
      <c r="G72">
        <f t="shared" si="4"/>
        <v>-48</v>
      </c>
      <c r="H72" s="42" t="str">
        <f t="shared" si="2"/>
        <v>L</v>
      </c>
      <c r="I72" s="42" t="s">
        <v>64</v>
      </c>
      <c r="J72" s="19" t="s">
        <v>69</v>
      </c>
    </row>
    <row r="73" spans="1:10" x14ac:dyDescent="0.3">
      <c r="A73">
        <v>74</v>
      </c>
      <c r="B73" s="15" t="s">
        <v>28</v>
      </c>
      <c r="C73" t="str">
        <f t="shared" si="5"/>
        <v>Brian</v>
      </c>
      <c r="D73">
        <v>2020</v>
      </c>
      <c r="E73" t="s">
        <v>32</v>
      </c>
      <c r="F73" s="14">
        <v>119</v>
      </c>
      <c r="G73">
        <f t="shared" si="6"/>
        <v>48</v>
      </c>
      <c r="H73" s="42" t="str">
        <f t="shared" si="2"/>
        <v>W</v>
      </c>
      <c r="I73" s="42" t="s">
        <v>64</v>
      </c>
      <c r="J73" s="19" t="s">
        <v>69</v>
      </c>
    </row>
    <row r="74" spans="1:10" x14ac:dyDescent="0.3">
      <c r="A74">
        <v>75</v>
      </c>
      <c r="B74" s="15" t="s">
        <v>48</v>
      </c>
      <c r="C74" t="str">
        <f t="shared" si="3"/>
        <v>Watty</v>
      </c>
      <c r="D74">
        <v>2020</v>
      </c>
      <c r="E74" t="s">
        <v>32</v>
      </c>
      <c r="F74" s="14">
        <v>81</v>
      </c>
      <c r="G74">
        <f t="shared" si="4"/>
        <v>-18</v>
      </c>
      <c r="H74" s="42" t="str">
        <f t="shared" si="2"/>
        <v>L</v>
      </c>
      <c r="I74" s="42" t="s">
        <v>63</v>
      </c>
      <c r="J74" s="19" t="s">
        <v>69</v>
      </c>
    </row>
    <row r="75" spans="1:10" x14ac:dyDescent="0.3">
      <c r="A75">
        <v>76</v>
      </c>
      <c r="B75" s="15" t="s">
        <v>24</v>
      </c>
      <c r="C75" t="str">
        <f t="shared" si="5"/>
        <v>Charles</v>
      </c>
      <c r="D75">
        <v>2020</v>
      </c>
      <c r="E75" t="s">
        <v>32</v>
      </c>
      <c r="F75" s="14">
        <v>99</v>
      </c>
      <c r="G75">
        <f t="shared" si="6"/>
        <v>18</v>
      </c>
      <c r="H75" s="42" t="str">
        <f t="shared" si="2"/>
        <v>W</v>
      </c>
      <c r="I75" s="42" t="s">
        <v>63</v>
      </c>
      <c r="J75" s="19" t="s">
        <v>69</v>
      </c>
    </row>
    <row r="76" spans="1:10" x14ac:dyDescent="0.3">
      <c r="A76">
        <v>77</v>
      </c>
      <c r="B76" s="15" t="s">
        <v>28</v>
      </c>
      <c r="C76" t="str">
        <f t="shared" si="3"/>
        <v>Watty</v>
      </c>
      <c r="D76">
        <v>2020</v>
      </c>
      <c r="E76" t="s">
        <v>33</v>
      </c>
      <c r="F76" s="14">
        <v>70</v>
      </c>
      <c r="G76">
        <f t="shared" si="4"/>
        <v>-12</v>
      </c>
      <c r="H76" s="42" t="str">
        <f t="shared" si="2"/>
        <v>L</v>
      </c>
      <c r="I76" s="42" t="s">
        <v>64</v>
      </c>
      <c r="J76" s="19" t="s">
        <v>68</v>
      </c>
    </row>
    <row r="77" spans="1:10" x14ac:dyDescent="0.3">
      <c r="A77">
        <v>78</v>
      </c>
      <c r="B77" s="15" t="s">
        <v>24</v>
      </c>
      <c r="C77" t="str">
        <f t="shared" si="5"/>
        <v>Russell</v>
      </c>
      <c r="D77">
        <v>2020</v>
      </c>
      <c r="E77" t="s">
        <v>33</v>
      </c>
      <c r="F77" s="14">
        <v>82</v>
      </c>
      <c r="G77">
        <f t="shared" si="6"/>
        <v>12</v>
      </c>
      <c r="H77" s="42" t="str">
        <f t="shared" si="2"/>
        <v>W</v>
      </c>
      <c r="I77" s="42" t="s">
        <v>63</v>
      </c>
      <c r="J77" s="19" t="s">
        <v>68</v>
      </c>
    </row>
    <row r="78" spans="1:10" x14ac:dyDescent="0.3">
      <c r="A78">
        <v>79</v>
      </c>
      <c r="B78" s="15" t="s">
        <v>47</v>
      </c>
      <c r="C78" t="str">
        <f t="shared" si="3"/>
        <v>Charles</v>
      </c>
      <c r="D78">
        <v>2021</v>
      </c>
      <c r="E78" t="s">
        <v>42</v>
      </c>
      <c r="F78" s="14">
        <v>69</v>
      </c>
      <c r="G78">
        <f t="shared" si="4"/>
        <v>-18</v>
      </c>
      <c r="H78" s="42" t="str">
        <f t="shared" si="2"/>
        <v>L</v>
      </c>
      <c r="I78" s="42" t="s">
        <v>64</v>
      </c>
      <c r="J78" s="19" t="s">
        <v>68</v>
      </c>
    </row>
    <row r="79" spans="1:10" x14ac:dyDescent="0.3">
      <c r="A79">
        <v>80</v>
      </c>
      <c r="B79" s="15" t="s">
        <v>48</v>
      </c>
      <c r="C79" t="str">
        <f t="shared" si="5"/>
        <v>Brent</v>
      </c>
      <c r="D79">
        <v>2021</v>
      </c>
      <c r="E79" t="s">
        <v>42</v>
      </c>
      <c r="F79" s="14">
        <v>87</v>
      </c>
      <c r="G79">
        <f t="shared" si="6"/>
        <v>18</v>
      </c>
      <c r="H79" s="42" t="str">
        <f t="shared" si="2"/>
        <v>W</v>
      </c>
      <c r="I79" s="42" t="s">
        <v>63</v>
      </c>
      <c r="J79" s="19" t="s">
        <v>68</v>
      </c>
    </row>
    <row r="80" spans="1:10" x14ac:dyDescent="0.3">
      <c r="A80">
        <v>81</v>
      </c>
      <c r="B80" s="15" t="s">
        <v>30</v>
      </c>
      <c r="C80" t="str">
        <f t="shared" si="3"/>
        <v>Michael</v>
      </c>
      <c r="D80">
        <v>2021</v>
      </c>
      <c r="E80" t="s">
        <v>42</v>
      </c>
      <c r="F80" s="14">
        <v>97</v>
      </c>
      <c r="G80">
        <f t="shared" si="4"/>
        <v>16</v>
      </c>
      <c r="H80" s="42" t="str">
        <f t="shared" si="2"/>
        <v>W</v>
      </c>
      <c r="I80" s="42" t="s">
        <v>64</v>
      </c>
      <c r="J80" s="19" t="s">
        <v>68</v>
      </c>
    </row>
    <row r="81" spans="1:10" x14ac:dyDescent="0.3">
      <c r="A81">
        <v>82</v>
      </c>
      <c r="B81" s="15" t="s">
        <v>23</v>
      </c>
      <c r="C81" t="str">
        <f t="shared" si="5"/>
        <v>Matt</v>
      </c>
      <c r="D81">
        <v>2021</v>
      </c>
      <c r="E81" t="s">
        <v>42</v>
      </c>
      <c r="F81" s="14">
        <v>81</v>
      </c>
      <c r="G81">
        <f t="shared" si="6"/>
        <v>-16</v>
      </c>
      <c r="H81" s="42" t="str">
        <f t="shared" si="2"/>
        <v>L</v>
      </c>
      <c r="I81" s="42" t="s">
        <v>63</v>
      </c>
      <c r="J81" s="19" t="s">
        <v>68</v>
      </c>
    </row>
    <row r="82" spans="1:10" x14ac:dyDescent="0.3">
      <c r="A82">
        <v>83</v>
      </c>
      <c r="B82" s="15" t="s">
        <v>29</v>
      </c>
      <c r="C82" t="str">
        <f t="shared" si="3"/>
        <v>Brian</v>
      </c>
      <c r="D82">
        <v>2021</v>
      </c>
      <c r="E82" t="s">
        <v>42</v>
      </c>
      <c r="F82" s="14">
        <v>82</v>
      </c>
      <c r="G82">
        <f t="shared" si="4"/>
        <v>22</v>
      </c>
      <c r="H82" s="42" t="str">
        <f t="shared" si="2"/>
        <v>W</v>
      </c>
      <c r="I82" s="42" t="s">
        <v>64</v>
      </c>
      <c r="J82" s="19" t="s">
        <v>69</v>
      </c>
    </row>
    <row r="83" spans="1:10" x14ac:dyDescent="0.3">
      <c r="A83">
        <v>84</v>
      </c>
      <c r="B83" s="15" t="s">
        <v>26</v>
      </c>
      <c r="C83" t="str">
        <f t="shared" si="5"/>
        <v>David</v>
      </c>
      <c r="D83">
        <v>2021</v>
      </c>
      <c r="E83" t="s">
        <v>42</v>
      </c>
      <c r="F83" s="14">
        <v>60</v>
      </c>
      <c r="G83">
        <f t="shared" si="6"/>
        <v>-22</v>
      </c>
      <c r="H83" s="42" t="str">
        <f t="shared" si="2"/>
        <v>L</v>
      </c>
      <c r="I83" s="42" t="s">
        <v>64</v>
      </c>
      <c r="J83" s="19" t="s">
        <v>69</v>
      </c>
    </row>
    <row r="84" spans="1:10" x14ac:dyDescent="0.3">
      <c r="A84">
        <v>85</v>
      </c>
      <c r="B84" s="15" t="s">
        <v>48</v>
      </c>
      <c r="C84" t="str">
        <f t="shared" si="3"/>
        <v>BR</v>
      </c>
      <c r="D84">
        <v>2021</v>
      </c>
      <c r="E84" t="s">
        <v>32</v>
      </c>
      <c r="F84" s="14">
        <v>80</v>
      </c>
      <c r="G84">
        <f t="shared" si="4"/>
        <v>-53</v>
      </c>
      <c r="H84" s="42" t="str">
        <f t="shared" si="2"/>
        <v>L</v>
      </c>
      <c r="I84" s="42" t="s">
        <v>63</v>
      </c>
      <c r="J84" s="19" t="s">
        <v>69</v>
      </c>
    </row>
    <row r="85" spans="1:10" x14ac:dyDescent="0.3">
      <c r="A85">
        <v>86</v>
      </c>
      <c r="B85" s="15" t="s">
        <v>25</v>
      </c>
      <c r="C85" t="str">
        <f t="shared" si="5"/>
        <v>Charles</v>
      </c>
      <c r="D85">
        <v>2021</v>
      </c>
      <c r="E85" t="s">
        <v>32</v>
      </c>
      <c r="F85" s="14">
        <v>133</v>
      </c>
      <c r="G85">
        <f t="shared" si="6"/>
        <v>53</v>
      </c>
      <c r="H85" s="42" t="str">
        <f t="shared" si="2"/>
        <v>W</v>
      </c>
      <c r="I85" s="42" t="s">
        <v>63</v>
      </c>
      <c r="J85" s="19" t="s">
        <v>69</v>
      </c>
    </row>
    <row r="86" spans="1:10" x14ac:dyDescent="0.3">
      <c r="A86">
        <v>87</v>
      </c>
      <c r="B86" s="15" t="s">
        <v>30</v>
      </c>
      <c r="C86" t="str">
        <f t="shared" si="3"/>
        <v>David</v>
      </c>
      <c r="D86">
        <v>2021</v>
      </c>
      <c r="E86" t="s">
        <v>32</v>
      </c>
      <c r="F86" s="36">
        <v>135</v>
      </c>
      <c r="G86">
        <f t="shared" si="4"/>
        <v>58</v>
      </c>
      <c r="H86" s="42" t="str">
        <f t="shared" si="2"/>
        <v>W</v>
      </c>
      <c r="I86" s="42" t="s">
        <v>64</v>
      </c>
      <c r="J86" s="19" t="s">
        <v>69</v>
      </c>
    </row>
    <row r="87" spans="1:10" x14ac:dyDescent="0.3">
      <c r="A87">
        <v>88</v>
      </c>
      <c r="B87" s="15" t="s">
        <v>29</v>
      </c>
      <c r="C87" t="str">
        <f t="shared" si="5"/>
        <v>Matt</v>
      </c>
      <c r="D87">
        <v>2021</v>
      </c>
      <c r="E87" t="s">
        <v>32</v>
      </c>
      <c r="F87" s="14">
        <v>77</v>
      </c>
      <c r="G87">
        <f t="shared" si="6"/>
        <v>-58</v>
      </c>
      <c r="H87" s="42" t="str">
        <f t="shared" si="2"/>
        <v>L</v>
      </c>
      <c r="I87" s="42" t="s">
        <v>64</v>
      </c>
      <c r="J87" s="19" t="s">
        <v>69</v>
      </c>
    </row>
    <row r="88" spans="1:10" x14ac:dyDescent="0.3">
      <c r="A88">
        <v>89</v>
      </c>
      <c r="B88" s="15" t="s">
        <v>30</v>
      </c>
      <c r="C88" t="str">
        <f t="shared" si="3"/>
        <v>BR</v>
      </c>
      <c r="D88">
        <v>2021</v>
      </c>
      <c r="E88" t="s">
        <v>33</v>
      </c>
      <c r="F88" s="14">
        <v>79</v>
      </c>
      <c r="G88">
        <f t="shared" si="4"/>
        <v>-37</v>
      </c>
      <c r="H88" s="42" t="str">
        <f t="shared" si="2"/>
        <v>L</v>
      </c>
      <c r="I88" s="42" t="s">
        <v>64</v>
      </c>
      <c r="J88" s="19" t="s">
        <v>68</v>
      </c>
    </row>
    <row r="89" spans="1:10" x14ac:dyDescent="0.3">
      <c r="A89">
        <v>90</v>
      </c>
      <c r="B89" s="15" t="s">
        <v>25</v>
      </c>
      <c r="C89" t="str">
        <f t="shared" si="5"/>
        <v>Matt</v>
      </c>
      <c r="D89">
        <v>2021</v>
      </c>
      <c r="E89" t="s">
        <v>33</v>
      </c>
      <c r="F89" s="14">
        <v>116</v>
      </c>
      <c r="G89">
        <f t="shared" si="6"/>
        <v>37</v>
      </c>
      <c r="H89" s="42" t="str">
        <f t="shared" si="2"/>
        <v>W</v>
      </c>
      <c r="I89" s="42" t="s">
        <v>63</v>
      </c>
      <c r="J89" s="19" t="s">
        <v>68</v>
      </c>
    </row>
    <row r="90" spans="1:10" x14ac:dyDescent="0.3">
      <c r="A90">
        <v>91</v>
      </c>
      <c r="B90" t="s">
        <v>24</v>
      </c>
      <c r="C90" t="str">
        <f t="shared" si="3"/>
        <v>Michael</v>
      </c>
      <c r="D90">
        <v>2022</v>
      </c>
      <c r="E90" t="s">
        <v>42</v>
      </c>
      <c r="F90">
        <v>89</v>
      </c>
      <c r="G90">
        <f t="shared" si="4"/>
        <v>-8</v>
      </c>
      <c r="H90" s="42" t="str">
        <f t="shared" si="2"/>
        <v>L</v>
      </c>
      <c r="I90" s="42" t="s">
        <v>63</v>
      </c>
      <c r="J90" s="19" t="s">
        <v>69</v>
      </c>
    </row>
    <row r="91" spans="1:10" x14ac:dyDescent="0.3">
      <c r="A91">
        <v>92</v>
      </c>
      <c r="B91" t="s">
        <v>23</v>
      </c>
      <c r="C91" t="str">
        <f t="shared" si="5"/>
        <v>Watty</v>
      </c>
      <c r="D91">
        <v>2022</v>
      </c>
      <c r="E91" t="s">
        <v>42</v>
      </c>
      <c r="F91">
        <v>97</v>
      </c>
      <c r="G91">
        <f t="shared" si="6"/>
        <v>8</v>
      </c>
      <c r="H91" s="42" t="str">
        <f t="shared" si="2"/>
        <v>W</v>
      </c>
      <c r="I91" s="42" t="s">
        <v>63</v>
      </c>
      <c r="J91" s="19" t="s">
        <v>69</v>
      </c>
    </row>
    <row r="92" spans="1:10" x14ac:dyDescent="0.3">
      <c r="A92">
        <v>93</v>
      </c>
      <c r="B92" t="s">
        <v>26</v>
      </c>
      <c r="C92" t="str">
        <f t="shared" si="3"/>
        <v>Charles</v>
      </c>
      <c r="D92">
        <v>2022</v>
      </c>
      <c r="E92" t="s">
        <v>42</v>
      </c>
      <c r="F92">
        <v>76</v>
      </c>
      <c r="G92">
        <f t="shared" si="4"/>
        <v>-45</v>
      </c>
      <c r="H92" s="42" t="str">
        <f t="shared" si="2"/>
        <v>L</v>
      </c>
      <c r="I92" s="42" t="s">
        <v>64</v>
      </c>
      <c r="J92" s="19" t="s">
        <v>68</v>
      </c>
    </row>
    <row r="93" spans="1:10" x14ac:dyDescent="0.3">
      <c r="A93">
        <v>94</v>
      </c>
      <c r="B93" t="s">
        <v>48</v>
      </c>
      <c r="C93" t="str">
        <f t="shared" si="5"/>
        <v>Brian</v>
      </c>
      <c r="D93">
        <v>2022</v>
      </c>
      <c r="E93" t="s">
        <v>42</v>
      </c>
      <c r="F93">
        <v>121</v>
      </c>
      <c r="G93">
        <f t="shared" si="6"/>
        <v>45</v>
      </c>
      <c r="H93" s="42" t="str">
        <f t="shared" si="2"/>
        <v>W</v>
      </c>
      <c r="I93" s="42" t="s">
        <v>63</v>
      </c>
      <c r="J93" s="19" t="s">
        <v>68</v>
      </c>
    </row>
    <row r="94" spans="1:10" x14ac:dyDescent="0.3">
      <c r="A94">
        <v>95</v>
      </c>
      <c r="B94" t="s">
        <v>29</v>
      </c>
      <c r="C94" t="str">
        <f t="shared" si="3"/>
        <v>Mark</v>
      </c>
      <c r="D94">
        <v>2022</v>
      </c>
      <c r="E94" t="s">
        <v>42</v>
      </c>
      <c r="F94">
        <v>72</v>
      </c>
      <c r="G94">
        <f t="shared" si="4"/>
        <v>-41</v>
      </c>
      <c r="H94" s="42" t="str">
        <f t="shared" si="2"/>
        <v>L</v>
      </c>
      <c r="I94" s="42" t="s">
        <v>64</v>
      </c>
      <c r="J94" s="19" t="s">
        <v>68</v>
      </c>
    </row>
    <row r="95" spans="1:10" x14ac:dyDescent="0.3">
      <c r="A95">
        <v>96</v>
      </c>
      <c r="B95" t="s">
        <v>22</v>
      </c>
      <c r="C95" t="str">
        <f t="shared" si="5"/>
        <v>David</v>
      </c>
      <c r="D95">
        <v>2022</v>
      </c>
      <c r="E95" t="s">
        <v>42</v>
      </c>
      <c r="F95">
        <v>113</v>
      </c>
      <c r="G95">
        <f t="shared" si="6"/>
        <v>41</v>
      </c>
      <c r="H95" s="42" t="str">
        <f t="shared" si="2"/>
        <v>W</v>
      </c>
      <c r="I95" s="42" t="s">
        <v>63</v>
      </c>
      <c r="J95" s="19" t="s">
        <v>68</v>
      </c>
    </row>
    <row r="96" spans="1:10" x14ac:dyDescent="0.3">
      <c r="A96">
        <v>97</v>
      </c>
      <c r="B96" t="s">
        <v>23</v>
      </c>
      <c r="C96" t="str">
        <f t="shared" si="3"/>
        <v>Brent</v>
      </c>
      <c r="D96">
        <v>2022</v>
      </c>
      <c r="E96" t="s">
        <v>32</v>
      </c>
      <c r="F96">
        <v>74</v>
      </c>
      <c r="G96">
        <f t="shared" si="4"/>
        <v>-5</v>
      </c>
      <c r="H96" s="42" t="str">
        <f t="shared" si="2"/>
        <v>L</v>
      </c>
      <c r="I96" s="42" t="s">
        <v>63</v>
      </c>
      <c r="J96" s="19" t="s">
        <v>68</v>
      </c>
    </row>
    <row r="97" spans="1:10" x14ac:dyDescent="0.3">
      <c r="A97">
        <v>98</v>
      </c>
      <c r="B97" t="s">
        <v>47</v>
      </c>
      <c r="C97" t="str">
        <f t="shared" si="5"/>
        <v>Michael</v>
      </c>
      <c r="D97">
        <v>2022</v>
      </c>
      <c r="E97" t="s">
        <v>32</v>
      </c>
      <c r="F97">
        <v>79</v>
      </c>
      <c r="G97">
        <f t="shared" si="6"/>
        <v>5</v>
      </c>
      <c r="H97" s="42" t="str">
        <f t="shared" si="2"/>
        <v>W</v>
      </c>
      <c r="I97" s="42" t="s">
        <v>64</v>
      </c>
      <c r="J97" s="19" t="s">
        <v>68</v>
      </c>
    </row>
    <row r="98" spans="1:10" x14ac:dyDescent="0.3">
      <c r="A98">
        <v>99</v>
      </c>
      <c r="B98" t="s">
        <v>48</v>
      </c>
      <c r="C98" t="str">
        <f t="shared" si="3"/>
        <v>Mark</v>
      </c>
      <c r="D98">
        <v>2022</v>
      </c>
      <c r="E98" t="s">
        <v>32</v>
      </c>
      <c r="F98">
        <v>95</v>
      </c>
      <c r="G98">
        <f t="shared" si="4"/>
        <v>-21</v>
      </c>
      <c r="H98" s="42" t="str">
        <f>IF(G98&gt;0,"W",IF(G98&lt;0,"L","T"))</f>
        <v>L</v>
      </c>
      <c r="I98" s="42" t="s">
        <v>63</v>
      </c>
      <c r="J98" s="19" t="s">
        <v>69</v>
      </c>
    </row>
    <row r="99" spans="1:10" x14ac:dyDescent="0.3">
      <c r="A99">
        <v>100</v>
      </c>
      <c r="B99" t="s">
        <v>22</v>
      </c>
      <c r="C99" t="str">
        <f t="shared" si="5"/>
        <v>Charles</v>
      </c>
      <c r="D99">
        <v>2022</v>
      </c>
      <c r="E99" t="s">
        <v>32</v>
      </c>
      <c r="F99">
        <v>116</v>
      </c>
      <c r="G99">
        <f t="shared" si="6"/>
        <v>21</v>
      </c>
      <c r="H99" s="42" t="str">
        <f>IF(G99&gt;0,"W",IF(G99&lt;0,"L","T"))</f>
        <v>W</v>
      </c>
      <c r="I99" s="42" t="s">
        <v>63</v>
      </c>
      <c r="J99" s="19" t="s">
        <v>69</v>
      </c>
    </row>
    <row r="100" spans="1:10" x14ac:dyDescent="0.3">
      <c r="A100">
        <v>101</v>
      </c>
      <c r="B100" t="s">
        <v>22</v>
      </c>
      <c r="C100" t="str">
        <f t="shared" si="3"/>
        <v>Brent</v>
      </c>
      <c r="D100">
        <v>2022</v>
      </c>
      <c r="E100" t="s">
        <v>33</v>
      </c>
      <c r="F100">
        <v>75</v>
      </c>
      <c r="G100">
        <f t="shared" si="4"/>
        <v>2</v>
      </c>
      <c r="H100" s="42" t="str">
        <f>IF(G100&gt;0,"W",IF(G100&lt;0,"L","T"))</f>
        <v>W</v>
      </c>
      <c r="I100" s="42" t="s">
        <v>63</v>
      </c>
      <c r="J100" s="19" t="s">
        <v>68</v>
      </c>
    </row>
    <row r="101" spans="1:10" x14ac:dyDescent="0.3">
      <c r="A101">
        <v>102</v>
      </c>
      <c r="B101" t="s">
        <v>47</v>
      </c>
      <c r="C101" t="str">
        <f t="shared" si="5"/>
        <v>Mark</v>
      </c>
      <c r="D101">
        <v>2022</v>
      </c>
      <c r="E101" t="s">
        <v>33</v>
      </c>
      <c r="F101">
        <v>73</v>
      </c>
      <c r="G101">
        <f t="shared" si="6"/>
        <v>-2</v>
      </c>
      <c r="H101" s="42" t="str">
        <f>IF(G101&gt;0,"W",IF(G101&lt;0,"L","T"))</f>
        <v>L</v>
      </c>
      <c r="I101" s="42" t="s">
        <v>64</v>
      </c>
      <c r="J101" s="19" t="s">
        <v>68</v>
      </c>
    </row>
    <row r="102" spans="1:10" x14ac:dyDescent="0.3">
      <c r="A102">
        <v>115</v>
      </c>
      <c r="B102" t="s">
        <v>30</v>
      </c>
      <c r="C102" t="str">
        <f t="shared" si="3"/>
        <v>Brian</v>
      </c>
      <c r="D102">
        <v>2023</v>
      </c>
      <c r="E102" t="s">
        <v>42</v>
      </c>
      <c r="F102">
        <v>55</v>
      </c>
      <c r="G102">
        <f>F102-F103</f>
        <v>-20</v>
      </c>
      <c r="H102" s="42" t="str">
        <f t="shared" ref="H102:H113" si="7">IF(G102&gt;0,"W",IF(G102&lt;0,"L","T"))</f>
        <v>L</v>
      </c>
      <c r="I102" s="42" t="s">
        <v>64</v>
      </c>
      <c r="J102" s="19" t="s">
        <v>69</v>
      </c>
    </row>
    <row r="103" spans="1:10" x14ac:dyDescent="0.3">
      <c r="A103">
        <v>116</v>
      </c>
      <c r="B103" t="s">
        <v>26</v>
      </c>
      <c r="C103" t="str">
        <f t="shared" si="5"/>
        <v>Matt</v>
      </c>
      <c r="D103">
        <v>2023</v>
      </c>
      <c r="E103" t="s">
        <v>42</v>
      </c>
      <c r="F103">
        <v>75</v>
      </c>
      <c r="G103">
        <f>F103-F102</f>
        <v>20</v>
      </c>
      <c r="H103" s="42" t="str">
        <f t="shared" si="7"/>
        <v>W</v>
      </c>
      <c r="I103" s="42" t="s">
        <v>64</v>
      </c>
      <c r="J103" s="19" t="s">
        <v>69</v>
      </c>
    </row>
    <row r="104" spans="1:10" x14ac:dyDescent="0.3">
      <c r="A104">
        <v>117</v>
      </c>
      <c r="B104" t="s">
        <v>25</v>
      </c>
      <c r="C104" t="str">
        <f t="shared" si="3"/>
        <v>Watty</v>
      </c>
      <c r="D104">
        <v>2023</v>
      </c>
      <c r="E104" t="s">
        <v>42</v>
      </c>
      <c r="F104">
        <v>55</v>
      </c>
      <c r="G104">
        <f>F104-F105</f>
        <v>-44</v>
      </c>
      <c r="H104" s="42" t="str">
        <f t="shared" si="7"/>
        <v>L</v>
      </c>
      <c r="I104" s="42" t="s">
        <v>63</v>
      </c>
      <c r="J104" s="19" t="s">
        <v>69</v>
      </c>
    </row>
    <row r="105" spans="1:10" x14ac:dyDescent="0.3">
      <c r="A105">
        <v>118</v>
      </c>
      <c r="B105" t="s">
        <v>24</v>
      </c>
      <c r="C105" t="str">
        <f t="shared" si="5"/>
        <v>BR</v>
      </c>
      <c r="D105">
        <v>2023</v>
      </c>
      <c r="E105" t="s">
        <v>42</v>
      </c>
      <c r="F105">
        <v>99</v>
      </c>
      <c r="G105">
        <f>F105-F104</f>
        <v>44</v>
      </c>
      <c r="H105" s="42" t="str">
        <f t="shared" si="7"/>
        <v>W</v>
      </c>
      <c r="I105" s="42" t="s">
        <v>63</v>
      </c>
      <c r="J105" s="19" t="s">
        <v>69</v>
      </c>
    </row>
    <row r="106" spans="1:10" x14ac:dyDescent="0.3">
      <c r="A106">
        <v>119</v>
      </c>
      <c r="B106" t="s">
        <v>48</v>
      </c>
      <c r="C106" t="str">
        <f t="shared" si="3"/>
        <v>Brent</v>
      </c>
      <c r="D106">
        <v>2023</v>
      </c>
      <c r="E106" t="s">
        <v>42</v>
      </c>
      <c r="F106">
        <v>116</v>
      </c>
      <c r="G106">
        <f>F106-F107</f>
        <v>30</v>
      </c>
      <c r="H106" s="42" t="str">
        <f t="shared" si="7"/>
        <v>W</v>
      </c>
      <c r="I106" s="42" t="s">
        <v>63</v>
      </c>
      <c r="J106" s="19" t="s">
        <v>68</v>
      </c>
    </row>
    <row r="107" spans="1:10" x14ac:dyDescent="0.3">
      <c r="A107">
        <v>120</v>
      </c>
      <c r="B107" t="s">
        <v>47</v>
      </c>
      <c r="C107" t="str">
        <f t="shared" si="5"/>
        <v>Charles</v>
      </c>
      <c r="D107">
        <v>2023</v>
      </c>
      <c r="E107" t="s">
        <v>42</v>
      </c>
      <c r="F107">
        <v>86</v>
      </c>
      <c r="G107">
        <f>F107-F106</f>
        <v>-30</v>
      </c>
      <c r="H107" s="42" t="str">
        <f t="shared" si="7"/>
        <v>L</v>
      </c>
      <c r="I107" s="42" t="s">
        <v>64</v>
      </c>
      <c r="J107" s="19" t="s">
        <v>68</v>
      </c>
    </row>
    <row r="108" spans="1:10" x14ac:dyDescent="0.3">
      <c r="A108">
        <v>121</v>
      </c>
      <c r="B108" t="s">
        <v>26</v>
      </c>
      <c r="C108" t="str">
        <f t="shared" si="3"/>
        <v>Michael</v>
      </c>
      <c r="D108">
        <v>2023</v>
      </c>
      <c r="E108" t="s">
        <v>32</v>
      </c>
      <c r="F108">
        <v>86</v>
      </c>
      <c r="G108">
        <f>F108-F109</f>
        <v>6</v>
      </c>
      <c r="H108" s="42" t="str">
        <f t="shared" si="7"/>
        <v>W</v>
      </c>
      <c r="I108" s="42" t="s">
        <v>64</v>
      </c>
      <c r="J108" s="19" t="s">
        <v>68</v>
      </c>
    </row>
    <row r="109" spans="1:10" x14ac:dyDescent="0.3">
      <c r="A109">
        <v>122</v>
      </c>
      <c r="B109" t="s">
        <v>23</v>
      </c>
      <c r="C109" t="str">
        <f t="shared" si="5"/>
        <v>Brian</v>
      </c>
      <c r="D109">
        <v>2023</v>
      </c>
      <c r="E109" t="s">
        <v>32</v>
      </c>
      <c r="F109">
        <v>80</v>
      </c>
      <c r="G109">
        <f>F109-F108</f>
        <v>-6</v>
      </c>
      <c r="H109" s="42" t="str">
        <f t="shared" si="7"/>
        <v>L</v>
      </c>
      <c r="I109" s="42" t="s">
        <v>63</v>
      </c>
      <c r="J109" s="19" t="s">
        <v>68</v>
      </c>
    </row>
    <row r="110" spans="1:10" x14ac:dyDescent="0.3">
      <c r="A110">
        <v>123</v>
      </c>
      <c r="B110" t="s">
        <v>48</v>
      </c>
      <c r="C110" t="str">
        <f t="shared" si="3"/>
        <v>Watty</v>
      </c>
      <c r="D110">
        <v>2023</v>
      </c>
      <c r="E110" t="s">
        <v>32</v>
      </c>
      <c r="F110">
        <v>135</v>
      </c>
      <c r="G110">
        <f>F110-F111</f>
        <v>85</v>
      </c>
      <c r="H110" s="42" t="str">
        <f t="shared" si="7"/>
        <v>W</v>
      </c>
      <c r="I110" s="42" t="s">
        <v>63</v>
      </c>
      <c r="J110" s="19" t="s">
        <v>69</v>
      </c>
    </row>
    <row r="111" spans="1:10" x14ac:dyDescent="0.3">
      <c r="A111">
        <v>124</v>
      </c>
      <c r="B111" t="s">
        <v>24</v>
      </c>
      <c r="C111" t="str">
        <f t="shared" si="5"/>
        <v>Charles</v>
      </c>
      <c r="D111">
        <v>2023</v>
      </c>
      <c r="E111" t="s">
        <v>32</v>
      </c>
      <c r="F111">
        <v>50</v>
      </c>
      <c r="G111">
        <f>F111-F110</f>
        <v>-85</v>
      </c>
      <c r="H111" s="42" t="str">
        <f t="shared" si="7"/>
        <v>L</v>
      </c>
      <c r="I111" s="42" t="s">
        <v>63</v>
      </c>
      <c r="J111" s="19" t="s">
        <v>69</v>
      </c>
    </row>
    <row r="112" spans="1:10" x14ac:dyDescent="0.3">
      <c r="A112">
        <v>125</v>
      </c>
      <c r="B112" t="s">
        <v>48</v>
      </c>
      <c r="C112" t="str">
        <f t="shared" si="3"/>
        <v>Brian</v>
      </c>
      <c r="D112">
        <v>2023</v>
      </c>
      <c r="E112" t="s">
        <v>33</v>
      </c>
      <c r="F112">
        <v>96</v>
      </c>
      <c r="G112">
        <f>F112-F113</f>
        <v>39</v>
      </c>
      <c r="H112" s="42" t="str">
        <f t="shared" si="7"/>
        <v>W</v>
      </c>
      <c r="I112" s="42" t="s">
        <v>63</v>
      </c>
      <c r="J112" s="19" t="s">
        <v>68</v>
      </c>
    </row>
    <row r="113" spans="1:10" x14ac:dyDescent="0.3">
      <c r="A113">
        <v>126</v>
      </c>
      <c r="B113" t="s">
        <v>26</v>
      </c>
      <c r="C113" t="str">
        <f t="shared" si="5"/>
        <v>Charles</v>
      </c>
      <c r="D113">
        <v>2023</v>
      </c>
      <c r="E113" t="s">
        <v>33</v>
      </c>
      <c r="F113">
        <v>57</v>
      </c>
      <c r="G113">
        <f>F113-F112</f>
        <v>-39</v>
      </c>
      <c r="H113" s="42" t="str">
        <f t="shared" si="7"/>
        <v>L</v>
      </c>
      <c r="I113" s="42" t="s">
        <v>64</v>
      </c>
      <c r="J113" s="19" t="s">
        <v>68</v>
      </c>
    </row>
    <row r="114" spans="1:10" x14ac:dyDescent="0.3">
      <c r="A114">
        <v>127</v>
      </c>
      <c r="B114" t="s">
        <v>47</v>
      </c>
      <c r="C114" t="str">
        <f t="shared" si="3"/>
        <v>Emily</v>
      </c>
      <c r="D114">
        <v>2024</v>
      </c>
      <c r="E114" t="s">
        <v>42</v>
      </c>
      <c r="F114">
        <v>79</v>
      </c>
      <c r="G114">
        <f t="shared" ref="G114" si="8">F114-F115</f>
        <v>-96</v>
      </c>
      <c r="H114" s="42" t="str">
        <f t="shared" ref="H114:H127" si="9">IF(G114&gt;0,"W",IF(G114&lt;0,"L","T"))</f>
        <v>L</v>
      </c>
      <c r="I114" s="42" t="s">
        <v>64</v>
      </c>
      <c r="J114" s="19" t="s">
        <v>69</v>
      </c>
    </row>
    <row r="115" spans="1:10" x14ac:dyDescent="0.3">
      <c r="A115">
        <v>128</v>
      </c>
      <c r="B115" t="s">
        <v>43</v>
      </c>
      <c r="C115" t="str">
        <f t="shared" si="5"/>
        <v>Brent</v>
      </c>
      <c r="D115">
        <v>2024</v>
      </c>
      <c r="E115" t="s">
        <v>42</v>
      </c>
      <c r="F115">
        <v>175</v>
      </c>
      <c r="G115">
        <f t="shared" ref="G115" si="10">F115-F114</f>
        <v>96</v>
      </c>
      <c r="H115" s="42" t="str">
        <f t="shared" si="9"/>
        <v>W</v>
      </c>
      <c r="I115" s="42" t="s">
        <v>64</v>
      </c>
      <c r="J115" s="19" t="s">
        <v>69</v>
      </c>
    </row>
    <row r="116" spans="1:10" x14ac:dyDescent="0.3">
      <c r="A116">
        <v>129</v>
      </c>
      <c r="B116" t="s">
        <v>25</v>
      </c>
      <c r="C116" t="str">
        <f t="shared" si="3"/>
        <v>Arnold</v>
      </c>
      <c r="D116">
        <v>2024</v>
      </c>
      <c r="E116" t="s">
        <v>42</v>
      </c>
      <c r="F116">
        <v>113</v>
      </c>
      <c r="G116">
        <f t="shared" ref="G116" si="11">F116-F117</f>
        <v>18</v>
      </c>
      <c r="H116" s="42" t="str">
        <f t="shared" si="9"/>
        <v>W</v>
      </c>
      <c r="I116" s="42" t="s">
        <v>63</v>
      </c>
      <c r="J116" s="19" t="s">
        <v>69</v>
      </c>
    </row>
    <row r="117" spans="1:10" x14ac:dyDescent="0.3">
      <c r="A117">
        <v>130</v>
      </c>
      <c r="B117" t="s">
        <v>227</v>
      </c>
      <c r="C117" t="str">
        <f t="shared" si="5"/>
        <v>BR</v>
      </c>
      <c r="D117">
        <v>2024</v>
      </c>
      <c r="E117" t="s">
        <v>42</v>
      </c>
      <c r="F117">
        <v>95</v>
      </c>
      <c r="G117">
        <f t="shared" ref="G117" si="12">F117-F116</f>
        <v>-18</v>
      </c>
      <c r="H117" s="42" t="str">
        <f t="shared" si="9"/>
        <v>L</v>
      </c>
      <c r="I117" s="42" t="s">
        <v>63</v>
      </c>
      <c r="J117" s="19" t="s">
        <v>69</v>
      </c>
    </row>
    <row r="118" spans="1:10" x14ac:dyDescent="0.3">
      <c r="A118">
        <v>131</v>
      </c>
      <c r="B118" t="s">
        <v>28</v>
      </c>
      <c r="C118" t="str">
        <f t="shared" si="3"/>
        <v>David</v>
      </c>
      <c r="D118">
        <v>2024</v>
      </c>
      <c r="E118" t="s">
        <v>42</v>
      </c>
      <c r="F118">
        <v>123</v>
      </c>
      <c r="G118">
        <f t="shared" ref="G118" si="13">F118-F119</f>
        <v>40</v>
      </c>
      <c r="H118" s="42" t="str">
        <f t="shared" si="9"/>
        <v>W</v>
      </c>
      <c r="I118" s="42" t="s">
        <v>64</v>
      </c>
      <c r="J118" s="19" t="s">
        <v>69</v>
      </c>
    </row>
    <row r="119" spans="1:10" x14ac:dyDescent="0.3">
      <c r="A119">
        <v>132</v>
      </c>
      <c r="B119" t="s">
        <v>29</v>
      </c>
      <c r="C119" t="str">
        <f t="shared" si="5"/>
        <v>Russell</v>
      </c>
      <c r="D119">
        <v>2024</v>
      </c>
      <c r="E119" t="s">
        <v>42</v>
      </c>
      <c r="F119">
        <v>83</v>
      </c>
      <c r="G119">
        <f t="shared" ref="G119" si="14">F119-F118</f>
        <v>-40</v>
      </c>
      <c r="H119" s="42" t="str">
        <f t="shared" si="9"/>
        <v>L</v>
      </c>
      <c r="I119" s="42" t="s">
        <v>64</v>
      </c>
      <c r="J119" s="19" t="s">
        <v>69</v>
      </c>
    </row>
    <row r="120" spans="1:10" x14ac:dyDescent="0.3">
      <c r="A120">
        <v>133</v>
      </c>
      <c r="B120" t="s">
        <v>24</v>
      </c>
      <c r="C120" t="str">
        <f t="shared" si="3"/>
        <v>Charles</v>
      </c>
      <c r="D120">
        <v>2024</v>
      </c>
      <c r="E120" t="s">
        <v>42</v>
      </c>
      <c r="F120">
        <v>122</v>
      </c>
      <c r="G120">
        <f t="shared" ref="G120" si="15">F120-F121</f>
        <v>-36</v>
      </c>
      <c r="H120" s="42" t="str">
        <f t="shared" si="9"/>
        <v>L</v>
      </c>
      <c r="I120" s="42" t="s">
        <v>63</v>
      </c>
      <c r="J120" s="19" t="s">
        <v>69</v>
      </c>
    </row>
    <row r="121" spans="1:10" x14ac:dyDescent="0.3">
      <c r="A121">
        <v>134</v>
      </c>
      <c r="B121" t="s">
        <v>48</v>
      </c>
      <c r="C121" t="str">
        <f t="shared" si="5"/>
        <v>Watty</v>
      </c>
      <c r="D121">
        <v>2024</v>
      </c>
      <c r="E121" t="s">
        <v>42</v>
      </c>
      <c r="F121">
        <v>158</v>
      </c>
      <c r="G121">
        <f t="shared" ref="G121" si="16">F121-F120</f>
        <v>36</v>
      </c>
      <c r="H121" s="42" t="str">
        <f t="shared" si="9"/>
        <v>W</v>
      </c>
      <c r="I121" s="42" t="s">
        <v>63</v>
      </c>
      <c r="J121" s="19" t="s">
        <v>69</v>
      </c>
    </row>
    <row r="122" spans="1:10" x14ac:dyDescent="0.3">
      <c r="A122">
        <v>135</v>
      </c>
      <c r="B122" t="s">
        <v>28</v>
      </c>
      <c r="C122" t="str">
        <f t="shared" si="3"/>
        <v>Emily</v>
      </c>
      <c r="D122">
        <v>2024</v>
      </c>
      <c r="E122" t="s">
        <v>32</v>
      </c>
      <c r="F122">
        <v>119</v>
      </c>
      <c r="G122">
        <f t="shared" ref="G122" si="17">F122-F123</f>
        <v>2</v>
      </c>
      <c r="H122" s="42" t="str">
        <f t="shared" si="9"/>
        <v>W</v>
      </c>
      <c r="I122" s="42" t="s">
        <v>64</v>
      </c>
      <c r="J122" s="19" t="s">
        <v>69</v>
      </c>
    </row>
    <row r="123" spans="1:10" x14ac:dyDescent="0.3">
      <c r="A123">
        <v>136</v>
      </c>
      <c r="B123" t="s">
        <v>43</v>
      </c>
      <c r="C123" t="str">
        <f t="shared" si="5"/>
        <v>Russell</v>
      </c>
      <c r="D123">
        <v>2024</v>
      </c>
      <c r="E123" t="s">
        <v>32</v>
      </c>
      <c r="F123">
        <v>117</v>
      </c>
      <c r="G123">
        <f t="shared" ref="G123" si="18">F123-F122</f>
        <v>-2</v>
      </c>
      <c r="H123" s="42" t="str">
        <f t="shared" si="9"/>
        <v>L</v>
      </c>
      <c r="I123" s="42" t="s">
        <v>64</v>
      </c>
      <c r="J123" s="19" t="s">
        <v>69</v>
      </c>
    </row>
    <row r="124" spans="1:10" x14ac:dyDescent="0.3">
      <c r="A124">
        <v>137</v>
      </c>
      <c r="B124" t="s">
        <v>25</v>
      </c>
      <c r="C124" t="str">
        <f t="shared" si="3"/>
        <v>Charles</v>
      </c>
      <c r="D124">
        <v>2024</v>
      </c>
      <c r="E124" t="s">
        <v>32</v>
      </c>
      <c r="F124">
        <v>97</v>
      </c>
      <c r="G124">
        <f t="shared" ref="G124" si="19">F124-F125</f>
        <v>-56</v>
      </c>
      <c r="H124" s="42" t="str">
        <f t="shared" si="9"/>
        <v>L</v>
      </c>
      <c r="I124" s="42" t="s">
        <v>63</v>
      </c>
      <c r="J124" s="19" t="s">
        <v>69</v>
      </c>
    </row>
    <row r="125" spans="1:10" x14ac:dyDescent="0.3">
      <c r="A125">
        <v>138</v>
      </c>
      <c r="B125" t="s">
        <v>48</v>
      </c>
      <c r="C125" t="str">
        <f t="shared" si="5"/>
        <v>BR</v>
      </c>
      <c r="D125">
        <v>2024</v>
      </c>
      <c r="E125" t="s">
        <v>32</v>
      </c>
      <c r="F125">
        <v>153</v>
      </c>
      <c r="G125">
        <f t="shared" ref="G125" si="20">F125-F124</f>
        <v>56</v>
      </c>
      <c r="H125" s="42" t="str">
        <f t="shared" si="9"/>
        <v>W</v>
      </c>
      <c r="I125" s="42" t="s">
        <v>63</v>
      </c>
      <c r="J125" s="19" t="s">
        <v>69</v>
      </c>
    </row>
    <row r="126" spans="1:10" x14ac:dyDescent="0.3">
      <c r="A126">
        <v>139</v>
      </c>
      <c r="B126" t="s">
        <v>48</v>
      </c>
      <c r="C126" t="str">
        <f t="shared" si="3"/>
        <v>Russell</v>
      </c>
      <c r="D126">
        <v>2024</v>
      </c>
      <c r="E126" t="s">
        <v>33</v>
      </c>
      <c r="F126">
        <v>149</v>
      </c>
      <c r="G126">
        <f t="shared" ref="G126" si="21">F126-F127</f>
        <v>14</v>
      </c>
      <c r="H126" s="42" t="str">
        <f t="shared" si="9"/>
        <v>W</v>
      </c>
      <c r="I126" s="42" t="s">
        <v>63</v>
      </c>
      <c r="J126" s="19" t="s">
        <v>68</v>
      </c>
    </row>
    <row r="127" spans="1:10" x14ac:dyDescent="0.3">
      <c r="A127">
        <v>140</v>
      </c>
      <c r="B127" t="s">
        <v>28</v>
      </c>
      <c r="C127" t="str">
        <f t="shared" si="5"/>
        <v>Charles</v>
      </c>
      <c r="D127">
        <v>2024</v>
      </c>
      <c r="E127" t="s">
        <v>33</v>
      </c>
      <c r="F127">
        <v>135</v>
      </c>
      <c r="G127">
        <f t="shared" ref="G127" si="22">F127-F126</f>
        <v>-14</v>
      </c>
      <c r="H127" s="42" t="str">
        <f t="shared" si="9"/>
        <v>L</v>
      </c>
      <c r="I127" s="42" t="s">
        <v>64</v>
      </c>
      <c r="J127" s="19" t="s">
        <v>68</v>
      </c>
    </row>
    <row r="128" spans="1:10" x14ac:dyDescent="0.3">
      <c r="A128">
        <v>141</v>
      </c>
      <c r="B128" t="s">
        <v>29</v>
      </c>
      <c r="C128" t="str">
        <f t="shared" si="3"/>
        <v>Matt</v>
      </c>
      <c r="D128">
        <v>2025</v>
      </c>
      <c r="E128" t="s">
        <v>42</v>
      </c>
      <c r="F128">
        <v>97</v>
      </c>
      <c r="G128">
        <f t="shared" ref="G128" si="23">F128-F129</f>
        <v>6</v>
      </c>
      <c r="H128" s="42" t="str">
        <f t="shared" ref="H128:H139" si="24">IF(G128&gt;0,"W",IF(G128&lt;0,"L","T"))</f>
        <v>W</v>
      </c>
      <c r="I128" s="42" t="s">
        <v>63</v>
      </c>
      <c r="J128" s="19" t="s">
        <v>69</v>
      </c>
    </row>
    <row r="129" spans="1:10" x14ac:dyDescent="0.3">
      <c r="A129">
        <v>142</v>
      </c>
      <c r="B129" t="s">
        <v>30</v>
      </c>
      <c r="C129" t="str">
        <f t="shared" si="5"/>
        <v>David</v>
      </c>
      <c r="D129">
        <v>2025</v>
      </c>
      <c r="E129" t="s">
        <v>42</v>
      </c>
      <c r="F129">
        <v>91</v>
      </c>
      <c r="G129">
        <f t="shared" ref="G129" si="25">F129-F128</f>
        <v>-6</v>
      </c>
      <c r="H129" s="42" t="str">
        <f t="shared" si="24"/>
        <v>L</v>
      </c>
      <c r="I129" s="42" t="s">
        <v>63</v>
      </c>
      <c r="J129" s="19" t="s">
        <v>69</v>
      </c>
    </row>
    <row r="130" spans="1:10" x14ac:dyDescent="0.3">
      <c r="A130">
        <v>143</v>
      </c>
      <c r="B130" t="s">
        <v>25</v>
      </c>
      <c r="C130" t="str">
        <f t="shared" si="3"/>
        <v>Charles</v>
      </c>
      <c r="D130">
        <v>2025</v>
      </c>
      <c r="E130" t="s">
        <v>42</v>
      </c>
      <c r="F130">
        <v>92</v>
      </c>
      <c r="G130">
        <f t="shared" ref="G130" si="26">F130-F131</f>
        <v>-87</v>
      </c>
      <c r="H130" s="42" t="str">
        <f t="shared" si="24"/>
        <v>L</v>
      </c>
      <c r="I130" s="42" t="s">
        <v>63</v>
      </c>
      <c r="J130" s="19" t="s">
        <v>68</v>
      </c>
    </row>
    <row r="131" spans="1:10" x14ac:dyDescent="0.3">
      <c r="A131">
        <v>144</v>
      </c>
      <c r="B131" t="s">
        <v>48</v>
      </c>
      <c r="C131" t="str">
        <f t="shared" si="5"/>
        <v>BR</v>
      </c>
      <c r="D131">
        <v>2025</v>
      </c>
      <c r="E131" t="s">
        <v>42</v>
      </c>
      <c r="F131">
        <v>179</v>
      </c>
      <c r="G131">
        <f t="shared" ref="G131" si="27">F131-F130</f>
        <v>87</v>
      </c>
      <c r="H131" s="42" t="str">
        <f t="shared" si="24"/>
        <v>W</v>
      </c>
      <c r="I131" s="42" t="s">
        <v>64</v>
      </c>
      <c r="J131" s="19" t="s">
        <v>68</v>
      </c>
    </row>
    <row r="132" spans="1:10" x14ac:dyDescent="0.3">
      <c r="A132">
        <v>145</v>
      </c>
      <c r="B132" t="s">
        <v>47</v>
      </c>
      <c r="C132" t="str">
        <f t="shared" ref="C132:C138" si="28">B133</f>
        <v>Jordan</v>
      </c>
      <c r="D132">
        <v>2025</v>
      </c>
      <c r="E132" t="s">
        <v>42</v>
      </c>
      <c r="F132">
        <v>115</v>
      </c>
      <c r="G132">
        <f t="shared" ref="G132" si="29">F132-F133</f>
        <v>-45</v>
      </c>
      <c r="H132" s="42" t="str">
        <f t="shared" si="24"/>
        <v>L</v>
      </c>
      <c r="I132" s="42" t="s">
        <v>63</v>
      </c>
      <c r="J132" s="19" t="s">
        <v>69</v>
      </c>
    </row>
    <row r="133" spans="1:10" x14ac:dyDescent="0.3">
      <c r="A133">
        <v>146</v>
      </c>
      <c r="B133" t="s">
        <v>472</v>
      </c>
      <c r="C133" t="str">
        <f t="shared" ref="C133:C139" si="30">B132</f>
        <v>Brent</v>
      </c>
      <c r="D133">
        <v>2025</v>
      </c>
      <c r="E133" t="s">
        <v>42</v>
      </c>
      <c r="F133">
        <v>160</v>
      </c>
      <c r="G133">
        <f t="shared" ref="G133" si="31">F133-F132</f>
        <v>45</v>
      </c>
      <c r="H133" s="42" t="str">
        <f t="shared" si="24"/>
        <v>W</v>
      </c>
      <c r="I133" s="42" t="s">
        <v>63</v>
      </c>
      <c r="J133" s="19" t="s">
        <v>69</v>
      </c>
    </row>
    <row r="134" spans="1:10" x14ac:dyDescent="0.3">
      <c r="A134">
        <v>149</v>
      </c>
      <c r="B134" t="s">
        <v>29</v>
      </c>
      <c r="C134" t="str">
        <f t="shared" si="28"/>
        <v>Russell</v>
      </c>
      <c r="D134">
        <v>2025</v>
      </c>
      <c r="E134" t="s">
        <v>32</v>
      </c>
      <c r="F134">
        <v>122</v>
      </c>
      <c r="G134">
        <f t="shared" ref="G134" si="32">F134-F135</f>
        <v>-21</v>
      </c>
      <c r="H134" s="42" t="str">
        <f t="shared" si="24"/>
        <v>L</v>
      </c>
      <c r="I134" s="42" t="s">
        <v>63</v>
      </c>
      <c r="J134" s="19" t="s">
        <v>69</v>
      </c>
    </row>
    <row r="135" spans="1:10" x14ac:dyDescent="0.3">
      <c r="A135">
        <v>150</v>
      </c>
      <c r="B135" t="s">
        <v>28</v>
      </c>
      <c r="C135" t="str">
        <f t="shared" si="30"/>
        <v>David</v>
      </c>
      <c r="D135">
        <v>2025</v>
      </c>
      <c r="E135" t="s">
        <v>32</v>
      </c>
      <c r="F135">
        <v>143</v>
      </c>
      <c r="G135">
        <f t="shared" ref="G135" si="33">F135-F134</f>
        <v>21</v>
      </c>
      <c r="H135" s="42" t="str">
        <f t="shared" si="24"/>
        <v>W</v>
      </c>
      <c r="I135" s="42" t="s">
        <v>63</v>
      </c>
      <c r="J135" s="19" t="s">
        <v>69</v>
      </c>
    </row>
    <row r="136" spans="1:10" x14ac:dyDescent="0.3">
      <c r="A136">
        <v>151</v>
      </c>
      <c r="B136" t="s">
        <v>472</v>
      </c>
      <c r="C136" t="str">
        <f t="shared" si="28"/>
        <v>Charles</v>
      </c>
      <c r="D136">
        <v>2025</v>
      </c>
      <c r="E136" t="s">
        <v>32</v>
      </c>
      <c r="F136">
        <v>105</v>
      </c>
      <c r="G136">
        <f t="shared" ref="G136" si="34">F136-F137</f>
        <v>14</v>
      </c>
      <c r="H136" s="42" t="str">
        <f t="shared" si="24"/>
        <v>W</v>
      </c>
      <c r="I136" s="42" t="s">
        <v>63</v>
      </c>
      <c r="J136" s="19" t="s">
        <v>68</v>
      </c>
    </row>
    <row r="137" spans="1:10" x14ac:dyDescent="0.3">
      <c r="A137">
        <v>152</v>
      </c>
      <c r="B137" t="s">
        <v>48</v>
      </c>
      <c r="C137" t="str">
        <f t="shared" si="30"/>
        <v>Jordan</v>
      </c>
      <c r="D137">
        <v>2025</v>
      </c>
      <c r="E137" t="s">
        <v>32</v>
      </c>
      <c r="F137">
        <v>91</v>
      </c>
      <c r="G137">
        <f t="shared" ref="G137" si="35">F137-F136</f>
        <v>-14</v>
      </c>
      <c r="H137" s="42" t="str">
        <f t="shared" si="24"/>
        <v>L</v>
      </c>
      <c r="I137" s="42" t="s">
        <v>64</v>
      </c>
      <c r="J137" s="19" t="s">
        <v>68</v>
      </c>
    </row>
    <row r="138" spans="1:10" x14ac:dyDescent="0.3">
      <c r="A138">
        <v>153</v>
      </c>
      <c r="B138" t="s">
        <v>472</v>
      </c>
      <c r="C138" t="str">
        <f t="shared" si="28"/>
        <v>Russell</v>
      </c>
      <c r="D138">
        <v>2025</v>
      </c>
      <c r="E138" t="s">
        <v>33</v>
      </c>
      <c r="F138">
        <v>106</v>
      </c>
      <c r="G138">
        <f t="shared" ref="G138" si="36">F138-F139</f>
        <v>-23</v>
      </c>
      <c r="H138" s="42" t="str">
        <f t="shared" si="24"/>
        <v>L</v>
      </c>
      <c r="I138" s="42" t="s">
        <v>63</v>
      </c>
      <c r="J138" s="19" t="s">
        <v>69</v>
      </c>
    </row>
    <row r="139" spans="1:10" x14ac:dyDescent="0.3">
      <c r="A139">
        <v>154</v>
      </c>
      <c r="B139" t="s">
        <v>28</v>
      </c>
      <c r="C139" t="str">
        <f t="shared" si="30"/>
        <v>Jordan</v>
      </c>
      <c r="D139">
        <v>2025</v>
      </c>
      <c r="E139" t="s">
        <v>33</v>
      </c>
      <c r="F139">
        <v>129</v>
      </c>
      <c r="G139">
        <f t="shared" ref="G139" si="37">F139-F138</f>
        <v>23</v>
      </c>
      <c r="H139" s="42" t="str">
        <f t="shared" si="24"/>
        <v>W</v>
      </c>
      <c r="I139" s="42" t="s">
        <v>63</v>
      </c>
      <c r="J139" s="19" t="s">
        <v>69</v>
      </c>
    </row>
  </sheetData>
  <autoFilter ref="A1:J113" xr:uid="{CA52D1FC-85BF-4A18-9D9D-BC373A20E989}"/>
  <pageMargins left="0.7" right="0.7" top="0.75" bottom="0.75" header="0.3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2F74-9791-4038-87FA-57B1E18A5165}">
  <dimension ref="A1:S157"/>
  <sheetViews>
    <sheetView tabSelected="1" workbookViewId="0">
      <pane ySplit="1" topLeftCell="A6" activePane="bottomLeft" state="frozen"/>
      <selection pane="bottomLeft" sqref="A1:XFD1"/>
    </sheetView>
  </sheetViews>
  <sheetFormatPr defaultRowHeight="14.4" x14ac:dyDescent="0.3"/>
  <cols>
    <col min="2" max="2" width="18.6640625" bestFit="1" customWidth="1"/>
    <col min="3" max="3" width="8.88671875" bestFit="1" customWidth="1"/>
    <col min="4" max="4" width="17.33203125" bestFit="1" customWidth="1"/>
    <col min="5" max="5" width="16.6640625" bestFit="1" customWidth="1"/>
    <col min="6" max="6" width="18.109375" bestFit="1" customWidth="1"/>
    <col min="7" max="7" width="14.109375" bestFit="1" customWidth="1"/>
    <col min="8" max="8" width="16.6640625" bestFit="1" customWidth="1"/>
    <col min="9" max="9" width="12.109375" bestFit="1" customWidth="1"/>
    <col min="10" max="10" width="10" bestFit="1" customWidth="1"/>
    <col min="11" max="11" width="5.44140625" bestFit="1" customWidth="1"/>
    <col min="12" max="12" width="6.6640625" bestFit="1" customWidth="1"/>
    <col min="13" max="13" width="4.5546875" bestFit="1" customWidth="1"/>
    <col min="14" max="14" width="9.88671875" bestFit="1" customWidth="1"/>
    <col min="15" max="15" width="13.6640625" bestFit="1" customWidth="1"/>
    <col min="16" max="18" width="13.6640625" customWidth="1"/>
  </cols>
  <sheetData>
    <row r="1" spans="1:19" x14ac:dyDescent="0.3">
      <c r="A1" s="24" t="s">
        <v>11</v>
      </c>
      <c r="B1" s="24" t="s">
        <v>71</v>
      </c>
      <c r="C1" s="24" t="s">
        <v>72</v>
      </c>
      <c r="D1" s="24" t="s">
        <v>73</v>
      </c>
      <c r="E1" s="24" t="s">
        <v>74</v>
      </c>
      <c r="F1" s="24" t="s">
        <v>75</v>
      </c>
      <c r="G1" s="24" t="s">
        <v>76</v>
      </c>
      <c r="H1" s="24" t="s">
        <v>77</v>
      </c>
      <c r="I1" s="24" t="s">
        <v>78</v>
      </c>
      <c r="J1" s="24" t="s">
        <v>79</v>
      </c>
      <c r="K1" s="24" t="s">
        <v>8</v>
      </c>
      <c r="L1" s="24" t="s">
        <v>9</v>
      </c>
      <c r="M1" s="24" t="s">
        <v>10</v>
      </c>
      <c r="N1" s="24" t="s">
        <v>80</v>
      </c>
      <c r="O1" s="24" t="s">
        <v>81</v>
      </c>
      <c r="P1" s="24" t="s">
        <v>453</v>
      </c>
      <c r="Q1" s="24" t="s">
        <v>265</v>
      </c>
      <c r="R1" s="24" t="s">
        <v>266</v>
      </c>
      <c r="S1" s="24" t="s">
        <v>15</v>
      </c>
    </row>
    <row r="2" spans="1:19" x14ac:dyDescent="0.3">
      <c r="A2">
        <f>RANK(P2,P:P)</f>
        <v>16</v>
      </c>
      <c r="B2" t="s">
        <v>121</v>
      </c>
      <c r="C2" t="s">
        <v>122</v>
      </c>
      <c r="D2" t="s">
        <v>26</v>
      </c>
      <c r="E2" t="s">
        <v>83</v>
      </c>
      <c r="F2" t="s">
        <v>122</v>
      </c>
      <c r="G2" t="s">
        <v>114</v>
      </c>
      <c r="H2" t="s">
        <v>154</v>
      </c>
      <c r="I2">
        <v>1</v>
      </c>
      <c r="J2">
        <v>1</v>
      </c>
      <c r="K2">
        <v>9</v>
      </c>
      <c r="L2">
        <v>4</v>
      </c>
      <c r="M2">
        <v>0</v>
      </c>
      <c r="N2" s="35">
        <v>1413</v>
      </c>
      <c r="O2">
        <v>1219</v>
      </c>
      <c r="P2" s="34">
        <f>N2/SUM(K2:M2)</f>
        <v>108.69230769230769</v>
      </c>
      <c r="Q2" t="s">
        <v>68</v>
      </c>
      <c r="R2" t="s">
        <v>68</v>
      </c>
      <c r="S2">
        <v>2013</v>
      </c>
    </row>
    <row r="3" spans="1:19" x14ac:dyDescent="0.3">
      <c r="A3">
        <f t="shared" ref="A3:A66" si="0">RANK(P3,P:P)</f>
        <v>42</v>
      </c>
      <c r="B3" t="s">
        <v>87</v>
      </c>
      <c r="C3" t="s">
        <v>134</v>
      </c>
      <c r="D3" t="s">
        <v>24</v>
      </c>
      <c r="E3" t="s">
        <v>83</v>
      </c>
      <c r="F3" t="s">
        <v>134</v>
      </c>
      <c r="G3" t="s">
        <v>144</v>
      </c>
      <c r="H3" t="s">
        <v>145</v>
      </c>
      <c r="I3">
        <v>2</v>
      </c>
      <c r="J3">
        <v>3</v>
      </c>
      <c r="K3">
        <v>8</v>
      </c>
      <c r="L3">
        <v>5</v>
      </c>
      <c r="M3">
        <v>0</v>
      </c>
      <c r="N3">
        <v>1254</v>
      </c>
      <c r="O3">
        <v>1183</v>
      </c>
      <c r="P3" s="34">
        <f t="shared" ref="P3:P66" si="1">N3/SUM(K3:M3)</f>
        <v>96.461538461538467</v>
      </c>
      <c r="Q3" t="s">
        <v>68</v>
      </c>
      <c r="R3" t="s">
        <v>68</v>
      </c>
      <c r="S3">
        <v>2013</v>
      </c>
    </row>
    <row r="4" spans="1:19" x14ac:dyDescent="0.3">
      <c r="A4">
        <f t="shared" si="0"/>
        <v>83</v>
      </c>
      <c r="B4" t="s">
        <v>112</v>
      </c>
      <c r="C4" t="s">
        <v>113</v>
      </c>
      <c r="D4" t="s">
        <v>27</v>
      </c>
      <c r="E4" t="s">
        <v>96</v>
      </c>
      <c r="F4" t="s">
        <v>113</v>
      </c>
      <c r="G4" t="s">
        <v>114</v>
      </c>
      <c r="H4" t="s">
        <v>96</v>
      </c>
      <c r="I4">
        <v>3</v>
      </c>
      <c r="J4">
        <v>4</v>
      </c>
      <c r="K4">
        <v>7</v>
      </c>
      <c r="L4">
        <v>6</v>
      </c>
      <c r="M4">
        <v>0</v>
      </c>
      <c r="N4">
        <v>1172</v>
      </c>
      <c r="O4">
        <v>1138</v>
      </c>
      <c r="P4" s="34">
        <f t="shared" si="1"/>
        <v>90.15384615384616</v>
      </c>
      <c r="Q4" t="s">
        <v>68</v>
      </c>
      <c r="S4">
        <v>2013</v>
      </c>
    </row>
    <row r="5" spans="1:19" x14ac:dyDescent="0.3">
      <c r="A5">
        <f t="shared" si="0"/>
        <v>55</v>
      </c>
      <c r="B5" t="s">
        <v>82</v>
      </c>
      <c r="C5" t="s">
        <v>133</v>
      </c>
      <c r="D5" t="s">
        <v>28</v>
      </c>
      <c r="E5" t="s">
        <v>83</v>
      </c>
      <c r="F5" t="s">
        <v>133</v>
      </c>
      <c r="G5" t="s">
        <v>140</v>
      </c>
      <c r="H5" t="s">
        <v>141</v>
      </c>
      <c r="I5">
        <v>4</v>
      </c>
      <c r="J5">
        <v>2</v>
      </c>
      <c r="K5">
        <v>6</v>
      </c>
      <c r="L5">
        <v>6</v>
      </c>
      <c r="M5">
        <v>1</v>
      </c>
      <c r="N5">
        <v>1228</v>
      </c>
      <c r="O5">
        <v>1171</v>
      </c>
      <c r="P5" s="34">
        <f t="shared" si="1"/>
        <v>94.461538461538467</v>
      </c>
      <c r="Q5" t="s">
        <v>68</v>
      </c>
      <c r="S5">
        <v>2013</v>
      </c>
    </row>
    <row r="6" spans="1:19" x14ac:dyDescent="0.3">
      <c r="A6">
        <f t="shared" si="0"/>
        <v>75</v>
      </c>
      <c r="B6" t="s">
        <v>142</v>
      </c>
      <c r="C6" t="s">
        <v>136</v>
      </c>
      <c r="D6" t="s">
        <v>23</v>
      </c>
      <c r="E6" t="s">
        <v>83</v>
      </c>
      <c r="F6" t="s">
        <v>136</v>
      </c>
      <c r="G6" t="s">
        <v>143</v>
      </c>
      <c r="H6" t="s">
        <v>103</v>
      </c>
      <c r="I6">
        <v>5</v>
      </c>
      <c r="J6">
        <v>5</v>
      </c>
      <c r="K6">
        <v>6</v>
      </c>
      <c r="L6">
        <v>7</v>
      </c>
      <c r="M6">
        <v>0</v>
      </c>
      <c r="N6">
        <v>1180</v>
      </c>
      <c r="O6">
        <v>1257</v>
      </c>
      <c r="P6" s="34">
        <f t="shared" si="1"/>
        <v>90.769230769230774</v>
      </c>
      <c r="S6">
        <v>2013</v>
      </c>
    </row>
    <row r="7" spans="1:19" x14ac:dyDescent="0.3">
      <c r="A7">
        <f t="shared" si="0"/>
        <v>95</v>
      </c>
      <c r="B7" t="s">
        <v>95</v>
      </c>
      <c r="C7" t="s">
        <v>137</v>
      </c>
      <c r="D7" t="s">
        <v>22</v>
      </c>
      <c r="E7" t="s">
        <v>96</v>
      </c>
      <c r="F7" t="s">
        <v>137</v>
      </c>
      <c r="G7" t="s">
        <v>148</v>
      </c>
      <c r="H7" t="s">
        <v>149</v>
      </c>
      <c r="I7">
        <v>6</v>
      </c>
      <c r="J7">
        <v>6</v>
      </c>
      <c r="K7">
        <v>6</v>
      </c>
      <c r="L7">
        <v>7</v>
      </c>
      <c r="M7">
        <v>0</v>
      </c>
      <c r="N7">
        <v>1139</v>
      </c>
      <c r="O7">
        <v>1148</v>
      </c>
      <c r="P7" s="34">
        <f t="shared" si="1"/>
        <v>87.615384615384613</v>
      </c>
      <c r="S7">
        <v>2013</v>
      </c>
    </row>
    <row r="8" spans="1:19" x14ac:dyDescent="0.3">
      <c r="A8">
        <f t="shared" si="0"/>
        <v>97</v>
      </c>
      <c r="B8" t="s">
        <v>91</v>
      </c>
      <c r="C8" t="s">
        <v>135</v>
      </c>
      <c r="D8" t="s">
        <v>29</v>
      </c>
      <c r="E8" t="s">
        <v>83</v>
      </c>
      <c r="F8" t="s">
        <v>135</v>
      </c>
      <c r="G8" t="s">
        <v>146</v>
      </c>
      <c r="H8" t="s">
        <v>147</v>
      </c>
      <c r="I8">
        <v>7</v>
      </c>
      <c r="J8">
        <v>7</v>
      </c>
      <c r="K8">
        <v>6</v>
      </c>
      <c r="L8">
        <v>7</v>
      </c>
      <c r="M8">
        <v>0</v>
      </c>
      <c r="N8">
        <v>1136</v>
      </c>
      <c r="O8">
        <v>1136</v>
      </c>
      <c r="P8" s="34">
        <f t="shared" si="1"/>
        <v>87.384615384615387</v>
      </c>
      <c r="S8">
        <v>2013</v>
      </c>
    </row>
    <row r="9" spans="1:19" x14ac:dyDescent="0.3">
      <c r="A9">
        <f t="shared" si="0"/>
        <v>128</v>
      </c>
      <c r="B9" t="s">
        <v>104</v>
      </c>
      <c r="C9" t="s">
        <v>25</v>
      </c>
      <c r="D9" t="s">
        <v>25</v>
      </c>
      <c r="E9" t="s">
        <v>83</v>
      </c>
      <c r="F9" t="s">
        <v>25</v>
      </c>
      <c r="G9" t="s">
        <v>152</v>
      </c>
      <c r="H9" t="s">
        <v>153</v>
      </c>
      <c r="I9">
        <v>8</v>
      </c>
      <c r="J9">
        <v>8</v>
      </c>
      <c r="K9">
        <v>6</v>
      </c>
      <c r="L9">
        <v>7</v>
      </c>
      <c r="M9">
        <v>0</v>
      </c>
      <c r="N9">
        <v>1064</v>
      </c>
      <c r="O9">
        <v>1218</v>
      </c>
      <c r="P9" s="34">
        <f t="shared" si="1"/>
        <v>81.84615384615384</v>
      </c>
      <c r="S9">
        <v>2013</v>
      </c>
    </row>
    <row r="10" spans="1:19" x14ac:dyDescent="0.3">
      <c r="A10">
        <f t="shared" si="0"/>
        <v>141</v>
      </c>
      <c r="B10" t="s">
        <v>150</v>
      </c>
      <c r="C10" t="s">
        <v>139</v>
      </c>
      <c r="D10" t="s">
        <v>138</v>
      </c>
      <c r="E10" t="s">
        <v>83</v>
      </c>
      <c r="F10" t="s">
        <v>139</v>
      </c>
      <c r="G10" t="s">
        <v>114</v>
      </c>
      <c r="H10" t="s">
        <v>151</v>
      </c>
      <c r="I10">
        <v>9</v>
      </c>
      <c r="J10">
        <v>9</v>
      </c>
      <c r="K10">
        <v>6</v>
      </c>
      <c r="L10">
        <v>7</v>
      </c>
      <c r="M10">
        <v>0</v>
      </c>
      <c r="N10">
        <v>1017</v>
      </c>
      <c r="O10">
        <v>1087</v>
      </c>
      <c r="P10" s="34">
        <f t="shared" si="1"/>
        <v>78.230769230769226</v>
      </c>
      <c r="S10">
        <v>2013</v>
      </c>
    </row>
    <row r="11" spans="1:19" x14ac:dyDescent="0.3">
      <c r="A11">
        <f t="shared" si="0"/>
        <v>91</v>
      </c>
      <c r="B11" t="s">
        <v>155</v>
      </c>
      <c r="C11" t="s">
        <v>118</v>
      </c>
      <c r="D11" t="s">
        <v>30</v>
      </c>
      <c r="E11" t="s">
        <v>117</v>
      </c>
      <c r="F11" t="s">
        <v>118</v>
      </c>
      <c r="G11" t="s">
        <v>156</v>
      </c>
      <c r="H11" t="s">
        <v>157</v>
      </c>
      <c r="I11">
        <v>10</v>
      </c>
      <c r="J11">
        <v>10</v>
      </c>
      <c r="K11">
        <v>4</v>
      </c>
      <c r="L11">
        <v>8</v>
      </c>
      <c r="M11">
        <v>1</v>
      </c>
      <c r="N11">
        <v>1148</v>
      </c>
      <c r="O11">
        <v>1194</v>
      </c>
      <c r="P11" s="34">
        <f t="shared" si="1"/>
        <v>88.307692307692307</v>
      </c>
      <c r="S11">
        <v>2013</v>
      </c>
    </row>
    <row r="12" spans="1:19" x14ac:dyDescent="0.3">
      <c r="A12">
        <f t="shared" si="0"/>
        <v>24</v>
      </c>
      <c r="B12" t="s">
        <v>91</v>
      </c>
      <c r="C12" t="s">
        <v>135</v>
      </c>
      <c r="D12" t="s">
        <v>29</v>
      </c>
      <c r="E12" t="s">
        <v>83</v>
      </c>
      <c r="F12" t="s">
        <v>135</v>
      </c>
      <c r="G12" t="s">
        <v>146</v>
      </c>
      <c r="H12" t="s">
        <v>147</v>
      </c>
      <c r="I12">
        <v>1</v>
      </c>
      <c r="J12">
        <v>4</v>
      </c>
      <c r="K12">
        <v>9</v>
      </c>
      <c r="L12">
        <v>4</v>
      </c>
      <c r="M12">
        <v>0</v>
      </c>
      <c r="N12">
        <v>1369</v>
      </c>
      <c r="O12">
        <v>1188</v>
      </c>
      <c r="P12" s="34">
        <f t="shared" si="1"/>
        <v>105.30769230769231</v>
      </c>
      <c r="Q12" t="s">
        <v>68</v>
      </c>
      <c r="R12" t="s">
        <v>68</v>
      </c>
      <c r="S12">
        <v>2014</v>
      </c>
    </row>
    <row r="13" spans="1:19" x14ac:dyDescent="0.3">
      <c r="A13">
        <f t="shared" si="0"/>
        <v>46</v>
      </c>
      <c r="B13" t="s">
        <v>95</v>
      </c>
      <c r="C13" t="s">
        <v>164</v>
      </c>
      <c r="D13" t="s">
        <v>22</v>
      </c>
      <c r="E13" t="s">
        <v>96</v>
      </c>
      <c r="F13" t="s">
        <v>164</v>
      </c>
      <c r="G13" t="s">
        <v>165</v>
      </c>
      <c r="H13" t="s">
        <v>124</v>
      </c>
      <c r="I13">
        <v>2</v>
      </c>
      <c r="J13">
        <v>2</v>
      </c>
      <c r="K13">
        <v>9</v>
      </c>
      <c r="L13">
        <v>4</v>
      </c>
      <c r="M13">
        <v>0</v>
      </c>
      <c r="N13">
        <v>1247</v>
      </c>
      <c r="O13">
        <v>1148</v>
      </c>
      <c r="P13" s="34">
        <f t="shared" si="1"/>
        <v>95.92307692307692</v>
      </c>
      <c r="Q13" t="s">
        <v>68</v>
      </c>
      <c r="R13" t="s">
        <v>68</v>
      </c>
      <c r="S13">
        <v>2014</v>
      </c>
    </row>
    <row r="14" spans="1:19" x14ac:dyDescent="0.3">
      <c r="A14">
        <f t="shared" si="0"/>
        <v>121</v>
      </c>
      <c r="B14" t="s">
        <v>112</v>
      </c>
      <c r="C14" t="s">
        <v>113</v>
      </c>
      <c r="D14" t="s">
        <v>27</v>
      </c>
      <c r="E14" t="s">
        <v>96</v>
      </c>
      <c r="F14" t="s">
        <v>113</v>
      </c>
      <c r="G14" t="s">
        <v>114</v>
      </c>
      <c r="H14" t="s">
        <v>96</v>
      </c>
      <c r="I14">
        <v>3</v>
      </c>
      <c r="J14">
        <v>6</v>
      </c>
      <c r="K14">
        <v>8</v>
      </c>
      <c r="L14">
        <v>5</v>
      </c>
      <c r="M14">
        <v>0</v>
      </c>
      <c r="N14">
        <v>1081</v>
      </c>
      <c r="O14">
        <v>977</v>
      </c>
      <c r="P14" s="34">
        <f t="shared" si="1"/>
        <v>83.15384615384616</v>
      </c>
      <c r="Q14" t="s">
        <v>68</v>
      </c>
      <c r="S14">
        <v>2014</v>
      </c>
    </row>
    <row r="15" spans="1:19" x14ac:dyDescent="0.3">
      <c r="A15">
        <f t="shared" si="0"/>
        <v>58</v>
      </c>
      <c r="B15" t="s">
        <v>121</v>
      </c>
      <c r="C15" t="s">
        <v>122</v>
      </c>
      <c r="D15" t="s">
        <v>26</v>
      </c>
      <c r="E15" t="s">
        <v>83</v>
      </c>
      <c r="F15" t="s">
        <v>122</v>
      </c>
      <c r="G15" t="s">
        <v>114</v>
      </c>
      <c r="H15" t="s">
        <v>154</v>
      </c>
      <c r="I15">
        <v>4</v>
      </c>
      <c r="J15">
        <v>5</v>
      </c>
      <c r="K15">
        <v>7</v>
      </c>
      <c r="L15">
        <v>6</v>
      </c>
      <c r="M15">
        <v>0</v>
      </c>
      <c r="N15">
        <v>1224</v>
      </c>
      <c r="O15">
        <v>1226</v>
      </c>
      <c r="P15" s="34">
        <f t="shared" si="1"/>
        <v>94.15384615384616</v>
      </c>
      <c r="Q15" t="s">
        <v>68</v>
      </c>
      <c r="S15">
        <v>2014</v>
      </c>
    </row>
    <row r="16" spans="1:19" x14ac:dyDescent="0.3">
      <c r="A16">
        <f t="shared" si="0"/>
        <v>53</v>
      </c>
      <c r="B16" t="s">
        <v>82</v>
      </c>
      <c r="C16" t="s">
        <v>158</v>
      </c>
      <c r="D16" t="s">
        <v>28</v>
      </c>
      <c r="E16" t="s">
        <v>83</v>
      </c>
      <c r="F16" t="s">
        <v>158</v>
      </c>
      <c r="G16" t="s">
        <v>159</v>
      </c>
      <c r="H16" t="s">
        <v>160</v>
      </c>
      <c r="I16">
        <v>5</v>
      </c>
      <c r="J16">
        <v>1</v>
      </c>
      <c r="K16">
        <v>6</v>
      </c>
      <c r="L16">
        <v>6</v>
      </c>
      <c r="M16">
        <v>1</v>
      </c>
      <c r="N16">
        <v>1233</v>
      </c>
      <c r="O16">
        <v>1189</v>
      </c>
      <c r="P16" s="34">
        <f t="shared" si="1"/>
        <v>94.84615384615384</v>
      </c>
      <c r="Q16" t="s">
        <v>68</v>
      </c>
      <c r="S16">
        <v>2014</v>
      </c>
    </row>
    <row r="17" spans="1:19" x14ac:dyDescent="0.3">
      <c r="A17">
        <f t="shared" si="0"/>
        <v>126</v>
      </c>
      <c r="B17" t="s">
        <v>125</v>
      </c>
      <c r="C17" t="s">
        <v>166</v>
      </c>
      <c r="D17" t="s">
        <v>25</v>
      </c>
      <c r="E17" t="s">
        <v>83</v>
      </c>
      <c r="F17" t="s">
        <v>166</v>
      </c>
      <c r="G17" t="s">
        <v>166</v>
      </c>
      <c r="H17" t="s">
        <v>167</v>
      </c>
      <c r="I17">
        <v>6</v>
      </c>
      <c r="J17">
        <v>3</v>
      </c>
      <c r="K17">
        <v>6</v>
      </c>
      <c r="L17">
        <v>6</v>
      </c>
      <c r="M17">
        <v>1</v>
      </c>
      <c r="N17">
        <v>1070</v>
      </c>
      <c r="O17">
        <v>1094</v>
      </c>
      <c r="P17" s="34">
        <f t="shared" si="1"/>
        <v>82.307692307692307</v>
      </c>
      <c r="Q17" t="s">
        <v>68</v>
      </c>
      <c r="S17">
        <v>2014</v>
      </c>
    </row>
    <row r="18" spans="1:19" x14ac:dyDescent="0.3">
      <c r="A18">
        <f t="shared" si="0"/>
        <v>68</v>
      </c>
      <c r="B18" t="s">
        <v>155</v>
      </c>
      <c r="C18" t="s">
        <v>118</v>
      </c>
      <c r="D18" t="s">
        <v>30</v>
      </c>
      <c r="E18" t="s">
        <v>117</v>
      </c>
      <c r="F18" t="s">
        <v>118</v>
      </c>
      <c r="G18" t="s">
        <v>156</v>
      </c>
      <c r="H18" t="s">
        <v>157</v>
      </c>
      <c r="I18">
        <v>7</v>
      </c>
      <c r="J18">
        <v>7</v>
      </c>
      <c r="K18">
        <v>6</v>
      </c>
      <c r="L18">
        <v>7</v>
      </c>
      <c r="M18">
        <v>0</v>
      </c>
      <c r="N18">
        <v>1190</v>
      </c>
      <c r="O18">
        <v>1208</v>
      </c>
      <c r="P18" s="34">
        <f t="shared" si="1"/>
        <v>91.538461538461533</v>
      </c>
      <c r="S18">
        <v>2014</v>
      </c>
    </row>
    <row r="19" spans="1:19" x14ac:dyDescent="0.3">
      <c r="A19">
        <f t="shared" si="0"/>
        <v>73</v>
      </c>
      <c r="B19" t="s">
        <v>87</v>
      </c>
      <c r="C19" t="s">
        <v>161</v>
      </c>
      <c r="D19" t="s">
        <v>24</v>
      </c>
      <c r="E19" t="s">
        <v>83</v>
      </c>
      <c r="F19" t="s">
        <v>161</v>
      </c>
      <c r="G19" t="s">
        <v>162</v>
      </c>
      <c r="H19" t="s">
        <v>163</v>
      </c>
      <c r="I19">
        <v>8</v>
      </c>
      <c r="J19">
        <v>8</v>
      </c>
      <c r="K19">
        <v>5</v>
      </c>
      <c r="L19">
        <v>8</v>
      </c>
      <c r="M19">
        <v>0</v>
      </c>
      <c r="N19">
        <v>1182</v>
      </c>
      <c r="O19">
        <v>1159</v>
      </c>
      <c r="P19" s="34">
        <f t="shared" si="1"/>
        <v>90.92307692307692</v>
      </c>
      <c r="S19">
        <v>2014</v>
      </c>
    </row>
    <row r="20" spans="1:19" x14ac:dyDescent="0.3">
      <c r="A20">
        <f t="shared" si="0"/>
        <v>147</v>
      </c>
      <c r="B20" t="s">
        <v>168</v>
      </c>
      <c r="C20" t="s">
        <v>139</v>
      </c>
      <c r="D20" t="s">
        <v>138</v>
      </c>
      <c r="E20" t="s">
        <v>83</v>
      </c>
      <c r="F20" t="s">
        <v>139</v>
      </c>
      <c r="G20" t="s">
        <v>114</v>
      </c>
      <c r="H20" t="s">
        <v>151</v>
      </c>
      <c r="I20">
        <v>9</v>
      </c>
      <c r="J20">
        <v>9</v>
      </c>
      <c r="K20">
        <v>4</v>
      </c>
      <c r="L20">
        <v>8</v>
      </c>
      <c r="M20">
        <v>1</v>
      </c>
      <c r="N20">
        <v>985</v>
      </c>
      <c r="O20">
        <v>1228</v>
      </c>
      <c r="P20" s="34">
        <f t="shared" si="1"/>
        <v>75.769230769230774</v>
      </c>
      <c r="S20">
        <v>2014</v>
      </c>
    </row>
    <row r="21" spans="1:19" x14ac:dyDescent="0.3">
      <c r="A21">
        <f t="shared" si="0"/>
        <v>132</v>
      </c>
      <c r="B21" t="s">
        <v>142</v>
      </c>
      <c r="C21" t="s">
        <v>136</v>
      </c>
      <c r="D21" t="s">
        <v>23</v>
      </c>
      <c r="E21" t="s">
        <v>83</v>
      </c>
      <c r="F21" t="s">
        <v>136</v>
      </c>
      <c r="G21" t="s">
        <v>143</v>
      </c>
      <c r="H21" t="s">
        <v>103</v>
      </c>
      <c r="I21">
        <v>10</v>
      </c>
      <c r="J21">
        <v>10</v>
      </c>
      <c r="K21">
        <v>3</v>
      </c>
      <c r="L21">
        <v>9</v>
      </c>
      <c r="M21">
        <v>1</v>
      </c>
      <c r="N21">
        <v>1053</v>
      </c>
      <c r="O21">
        <v>1217</v>
      </c>
      <c r="P21" s="34">
        <f t="shared" si="1"/>
        <v>81</v>
      </c>
      <c r="S21">
        <v>2014</v>
      </c>
    </row>
    <row r="22" spans="1:19" x14ac:dyDescent="0.3">
      <c r="A22">
        <f t="shared" si="0"/>
        <v>87</v>
      </c>
      <c r="B22" t="s">
        <v>125</v>
      </c>
      <c r="C22" t="s">
        <v>166</v>
      </c>
      <c r="D22" t="s">
        <v>48</v>
      </c>
      <c r="E22" t="s">
        <v>83</v>
      </c>
      <c r="F22" t="s">
        <v>166</v>
      </c>
      <c r="G22" t="s">
        <v>166</v>
      </c>
      <c r="H22" t="s">
        <v>167</v>
      </c>
      <c r="I22">
        <v>8</v>
      </c>
      <c r="J22">
        <v>8</v>
      </c>
      <c r="K22">
        <v>6</v>
      </c>
      <c r="L22">
        <v>7</v>
      </c>
      <c r="M22">
        <v>0</v>
      </c>
      <c r="N22">
        <v>1152</v>
      </c>
      <c r="O22">
        <v>1038</v>
      </c>
      <c r="P22" s="34">
        <f t="shared" si="1"/>
        <v>88.615384615384613</v>
      </c>
      <c r="S22">
        <v>2015</v>
      </c>
    </row>
    <row r="23" spans="1:19" x14ac:dyDescent="0.3">
      <c r="A23">
        <f t="shared" si="0"/>
        <v>79</v>
      </c>
      <c r="B23" t="s">
        <v>129</v>
      </c>
      <c r="C23" t="s">
        <v>130</v>
      </c>
      <c r="D23" t="s">
        <v>43</v>
      </c>
      <c r="E23" t="s">
        <v>117</v>
      </c>
      <c r="F23" t="s">
        <v>130</v>
      </c>
      <c r="G23" t="s">
        <v>179</v>
      </c>
      <c r="H23" t="s">
        <v>180</v>
      </c>
      <c r="I23">
        <v>3</v>
      </c>
      <c r="J23">
        <v>5</v>
      </c>
      <c r="K23">
        <v>8</v>
      </c>
      <c r="L23">
        <v>5</v>
      </c>
      <c r="M23">
        <v>0</v>
      </c>
      <c r="N23">
        <v>1178</v>
      </c>
      <c r="O23">
        <v>1056</v>
      </c>
      <c r="P23" s="34">
        <f t="shared" si="1"/>
        <v>90.615384615384613</v>
      </c>
      <c r="Q23" t="s">
        <v>68</v>
      </c>
      <c r="S23">
        <v>2015</v>
      </c>
    </row>
    <row r="24" spans="1:19" x14ac:dyDescent="0.3">
      <c r="A24">
        <f t="shared" si="0"/>
        <v>117</v>
      </c>
      <c r="B24" t="s">
        <v>104</v>
      </c>
      <c r="C24" t="s">
        <v>105</v>
      </c>
      <c r="D24" t="s">
        <v>25</v>
      </c>
      <c r="E24" t="s">
        <v>83</v>
      </c>
      <c r="F24" t="s">
        <v>105</v>
      </c>
      <c r="G24" t="s">
        <v>105</v>
      </c>
      <c r="H24" t="s">
        <v>174</v>
      </c>
      <c r="I24">
        <v>5</v>
      </c>
      <c r="J24">
        <v>3</v>
      </c>
      <c r="K24">
        <v>7</v>
      </c>
      <c r="L24">
        <v>6</v>
      </c>
      <c r="M24">
        <v>0</v>
      </c>
      <c r="N24">
        <v>1091</v>
      </c>
      <c r="O24">
        <v>1153</v>
      </c>
      <c r="P24" s="34">
        <f t="shared" si="1"/>
        <v>83.92307692307692</v>
      </c>
      <c r="Q24" t="s">
        <v>68</v>
      </c>
      <c r="S24">
        <v>2015</v>
      </c>
    </row>
    <row r="25" spans="1:19" x14ac:dyDescent="0.3">
      <c r="A25">
        <f t="shared" si="0"/>
        <v>44</v>
      </c>
      <c r="B25" t="s">
        <v>142</v>
      </c>
      <c r="C25" t="s">
        <v>136</v>
      </c>
      <c r="D25" t="s">
        <v>23</v>
      </c>
      <c r="E25" t="s">
        <v>83</v>
      </c>
      <c r="F25" t="s">
        <v>136</v>
      </c>
      <c r="G25" t="s">
        <v>143</v>
      </c>
      <c r="H25" t="s">
        <v>103</v>
      </c>
      <c r="I25">
        <v>2</v>
      </c>
      <c r="J25">
        <v>1</v>
      </c>
      <c r="K25">
        <v>7</v>
      </c>
      <c r="L25">
        <v>6</v>
      </c>
      <c r="M25">
        <v>0</v>
      </c>
      <c r="N25">
        <v>1249</v>
      </c>
      <c r="O25">
        <v>1153</v>
      </c>
      <c r="P25" s="34">
        <f t="shared" si="1"/>
        <v>96.07692307692308</v>
      </c>
      <c r="Q25" t="s">
        <v>68</v>
      </c>
      <c r="R25" t="s">
        <v>68</v>
      </c>
      <c r="S25">
        <v>2015</v>
      </c>
    </row>
    <row r="26" spans="1:19" x14ac:dyDescent="0.3">
      <c r="A26">
        <f t="shared" si="0"/>
        <v>71</v>
      </c>
      <c r="B26" t="s">
        <v>116</v>
      </c>
      <c r="C26" t="s">
        <v>118</v>
      </c>
      <c r="D26" t="s">
        <v>30</v>
      </c>
      <c r="E26" t="s">
        <v>117</v>
      </c>
      <c r="F26" t="s">
        <v>118</v>
      </c>
      <c r="G26" t="s">
        <v>177</v>
      </c>
      <c r="H26" t="s">
        <v>178</v>
      </c>
      <c r="I26">
        <v>7</v>
      </c>
      <c r="J26">
        <v>7</v>
      </c>
      <c r="K26">
        <v>6</v>
      </c>
      <c r="L26">
        <v>7</v>
      </c>
      <c r="M26">
        <v>0</v>
      </c>
      <c r="N26">
        <v>1183</v>
      </c>
      <c r="O26">
        <v>1065</v>
      </c>
      <c r="P26" s="34">
        <f t="shared" si="1"/>
        <v>91</v>
      </c>
      <c r="S26">
        <v>2015</v>
      </c>
    </row>
    <row r="27" spans="1:19" x14ac:dyDescent="0.3">
      <c r="A27">
        <f t="shared" si="0"/>
        <v>112</v>
      </c>
      <c r="B27" t="s">
        <v>121</v>
      </c>
      <c r="C27" t="s">
        <v>122</v>
      </c>
      <c r="D27" t="s">
        <v>26</v>
      </c>
      <c r="E27" t="s">
        <v>83</v>
      </c>
      <c r="F27" t="s">
        <v>122</v>
      </c>
      <c r="G27" t="s">
        <v>114</v>
      </c>
      <c r="H27" t="s">
        <v>154</v>
      </c>
      <c r="I27">
        <v>9</v>
      </c>
      <c r="J27">
        <v>9</v>
      </c>
      <c r="K27">
        <v>6</v>
      </c>
      <c r="L27">
        <v>7</v>
      </c>
      <c r="M27">
        <v>0</v>
      </c>
      <c r="N27">
        <v>1098</v>
      </c>
      <c r="O27">
        <v>1021</v>
      </c>
      <c r="P27" s="34">
        <f t="shared" si="1"/>
        <v>84.461538461538467</v>
      </c>
      <c r="S27">
        <v>2015</v>
      </c>
    </row>
    <row r="28" spans="1:19" x14ac:dyDescent="0.3">
      <c r="A28">
        <f t="shared" si="0"/>
        <v>51</v>
      </c>
      <c r="B28" t="s">
        <v>107</v>
      </c>
      <c r="C28" t="s">
        <v>109</v>
      </c>
      <c r="D28" t="s">
        <v>47</v>
      </c>
      <c r="E28" t="s">
        <v>108</v>
      </c>
      <c r="F28" t="s">
        <v>109</v>
      </c>
      <c r="G28" t="s">
        <v>175</v>
      </c>
      <c r="H28" t="s">
        <v>176</v>
      </c>
      <c r="I28">
        <v>1</v>
      </c>
      <c r="J28">
        <v>2</v>
      </c>
      <c r="K28">
        <v>10</v>
      </c>
      <c r="L28">
        <v>3</v>
      </c>
      <c r="M28">
        <v>0</v>
      </c>
      <c r="N28">
        <v>1237</v>
      </c>
      <c r="O28">
        <v>1174</v>
      </c>
      <c r="P28" s="34">
        <f t="shared" si="1"/>
        <v>95.15384615384616</v>
      </c>
      <c r="Q28" t="s">
        <v>68</v>
      </c>
      <c r="R28" t="s">
        <v>68</v>
      </c>
      <c r="S28">
        <v>2015</v>
      </c>
    </row>
    <row r="29" spans="1:19" x14ac:dyDescent="0.3">
      <c r="A29">
        <f t="shared" si="0"/>
        <v>107</v>
      </c>
      <c r="B29" t="s">
        <v>82</v>
      </c>
      <c r="C29" t="s">
        <v>169</v>
      </c>
      <c r="D29" t="s">
        <v>28</v>
      </c>
      <c r="E29" t="s">
        <v>83</v>
      </c>
      <c r="F29" t="s">
        <v>169</v>
      </c>
      <c r="G29" t="s">
        <v>159</v>
      </c>
      <c r="H29" t="s">
        <v>170</v>
      </c>
      <c r="I29">
        <v>4</v>
      </c>
      <c r="J29">
        <v>6</v>
      </c>
      <c r="K29">
        <v>7</v>
      </c>
      <c r="L29">
        <v>6</v>
      </c>
      <c r="M29">
        <v>0</v>
      </c>
      <c r="N29">
        <v>1109</v>
      </c>
      <c r="O29">
        <v>1197</v>
      </c>
      <c r="P29" s="34">
        <f t="shared" si="1"/>
        <v>85.307692307692307</v>
      </c>
      <c r="Q29" t="s">
        <v>68</v>
      </c>
      <c r="S29">
        <v>2015</v>
      </c>
    </row>
    <row r="30" spans="1:19" x14ac:dyDescent="0.3">
      <c r="A30">
        <f t="shared" si="0"/>
        <v>155</v>
      </c>
      <c r="B30" t="s">
        <v>112</v>
      </c>
      <c r="C30" t="s">
        <v>113</v>
      </c>
      <c r="D30" t="s">
        <v>27</v>
      </c>
      <c r="E30" t="s">
        <v>96</v>
      </c>
      <c r="F30" t="s">
        <v>113</v>
      </c>
      <c r="G30" t="s">
        <v>114</v>
      </c>
      <c r="H30" t="s">
        <v>96</v>
      </c>
      <c r="I30">
        <v>11</v>
      </c>
      <c r="J30">
        <v>11</v>
      </c>
      <c r="K30">
        <v>5</v>
      </c>
      <c r="L30">
        <v>8</v>
      </c>
      <c r="M30">
        <v>0</v>
      </c>
      <c r="N30">
        <v>896</v>
      </c>
      <c r="O30">
        <v>1047</v>
      </c>
      <c r="P30" s="34">
        <f t="shared" si="1"/>
        <v>68.92307692307692</v>
      </c>
      <c r="S30">
        <v>2015</v>
      </c>
    </row>
    <row r="31" spans="1:19" x14ac:dyDescent="0.3">
      <c r="A31">
        <f t="shared" si="0"/>
        <v>146</v>
      </c>
      <c r="B31" t="s">
        <v>91</v>
      </c>
      <c r="C31" t="s">
        <v>135</v>
      </c>
      <c r="D31" t="s">
        <v>29</v>
      </c>
      <c r="E31" t="s">
        <v>83</v>
      </c>
      <c r="F31" t="s">
        <v>135</v>
      </c>
      <c r="G31" t="s">
        <v>146</v>
      </c>
      <c r="H31" t="s">
        <v>147</v>
      </c>
      <c r="I31">
        <v>6</v>
      </c>
      <c r="J31">
        <v>4</v>
      </c>
      <c r="K31">
        <v>7</v>
      </c>
      <c r="L31">
        <v>6</v>
      </c>
      <c r="M31">
        <v>0</v>
      </c>
      <c r="N31">
        <v>989</v>
      </c>
      <c r="O31">
        <v>1007</v>
      </c>
      <c r="P31" s="34">
        <f t="shared" si="1"/>
        <v>76.07692307692308</v>
      </c>
      <c r="Q31" t="s">
        <v>68</v>
      </c>
      <c r="S31">
        <v>2015</v>
      </c>
    </row>
    <row r="32" spans="1:19" x14ac:dyDescent="0.3">
      <c r="A32">
        <f t="shared" si="0"/>
        <v>154</v>
      </c>
      <c r="B32" t="s">
        <v>87</v>
      </c>
      <c r="C32" t="s">
        <v>161</v>
      </c>
      <c r="D32" t="s">
        <v>24</v>
      </c>
      <c r="E32" t="s">
        <v>83</v>
      </c>
      <c r="F32" t="s">
        <v>161</v>
      </c>
      <c r="G32" t="s">
        <v>162</v>
      </c>
      <c r="H32" t="s">
        <v>163</v>
      </c>
      <c r="I32">
        <v>10</v>
      </c>
      <c r="J32">
        <v>10</v>
      </c>
      <c r="K32">
        <v>5</v>
      </c>
      <c r="L32">
        <v>8</v>
      </c>
      <c r="M32">
        <v>0</v>
      </c>
      <c r="N32">
        <v>906</v>
      </c>
      <c r="O32">
        <v>1069</v>
      </c>
      <c r="P32" s="34">
        <f t="shared" si="1"/>
        <v>69.692307692307693</v>
      </c>
      <c r="S32">
        <v>2015</v>
      </c>
    </row>
    <row r="33" spans="1:19" x14ac:dyDescent="0.3">
      <c r="A33">
        <f t="shared" si="0"/>
        <v>144</v>
      </c>
      <c r="B33" t="s">
        <v>95</v>
      </c>
      <c r="C33" t="s">
        <v>171</v>
      </c>
      <c r="D33" t="s">
        <v>22</v>
      </c>
      <c r="E33" t="s">
        <v>96</v>
      </c>
      <c r="F33" t="s">
        <v>171</v>
      </c>
      <c r="G33" t="s">
        <v>172</v>
      </c>
      <c r="H33" t="s">
        <v>173</v>
      </c>
      <c r="I33">
        <v>12</v>
      </c>
      <c r="J33">
        <v>12</v>
      </c>
      <c r="K33">
        <v>4</v>
      </c>
      <c r="L33">
        <v>9</v>
      </c>
      <c r="M33">
        <v>0</v>
      </c>
      <c r="N33">
        <v>997</v>
      </c>
      <c r="O33">
        <v>1105</v>
      </c>
      <c r="P33" s="34">
        <f t="shared" si="1"/>
        <v>76.692307692307693</v>
      </c>
      <c r="S33">
        <v>2015</v>
      </c>
    </row>
    <row r="34" spans="1:19" x14ac:dyDescent="0.3">
      <c r="A34">
        <f t="shared" si="0"/>
        <v>22</v>
      </c>
      <c r="B34" t="s">
        <v>107</v>
      </c>
      <c r="C34" t="s">
        <v>109</v>
      </c>
      <c r="D34" t="s">
        <v>47</v>
      </c>
      <c r="E34" t="s">
        <v>108</v>
      </c>
      <c r="F34" t="s">
        <v>109</v>
      </c>
      <c r="G34" t="s">
        <v>189</v>
      </c>
      <c r="H34" t="s">
        <v>190</v>
      </c>
      <c r="I34">
        <v>1</v>
      </c>
      <c r="J34">
        <v>1</v>
      </c>
      <c r="K34">
        <v>12</v>
      </c>
      <c r="L34">
        <v>1</v>
      </c>
      <c r="M34">
        <v>0</v>
      </c>
      <c r="N34">
        <v>1384</v>
      </c>
      <c r="O34">
        <v>1052</v>
      </c>
      <c r="P34" s="34">
        <f t="shared" si="1"/>
        <v>106.46153846153847</v>
      </c>
      <c r="Q34" t="s">
        <v>68</v>
      </c>
      <c r="R34" t="s">
        <v>68</v>
      </c>
      <c r="S34">
        <v>2016</v>
      </c>
    </row>
    <row r="35" spans="1:19" x14ac:dyDescent="0.3">
      <c r="A35">
        <f t="shared" si="0"/>
        <v>38</v>
      </c>
      <c r="B35" t="s">
        <v>125</v>
      </c>
      <c r="C35" t="s">
        <v>194</v>
      </c>
      <c r="D35" t="s">
        <v>48</v>
      </c>
      <c r="E35" t="s">
        <v>83</v>
      </c>
      <c r="F35" t="s">
        <v>194</v>
      </c>
      <c r="G35" t="s">
        <v>195</v>
      </c>
      <c r="H35" t="s">
        <v>196</v>
      </c>
      <c r="I35">
        <v>2</v>
      </c>
      <c r="J35">
        <v>4</v>
      </c>
      <c r="K35">
        <v>8</v>
      </c>
      <c r="L35">
        <v>5</v>
      </c>
      <c r="M35">
        <v>0</v>
      </c>
      <c r="N35">
        <v>1272</v>
      </c>
      <c r="O35">
        <v>1102</v>
      </c>
      <c r="P35" s="34">
        <f t="shared" si="1"/>
        <v>97.84615384615384</v>
      </c>
      <c r="Q35" t="s">
        <v>68</v>
      </c>
      <c r="R35" t="s">
        <v>68</v>
      </c>
      <c r="S35">
        <v>2016</v>
      </c>
    </row>
    <row r="36" spans="1:19" x14ac:dyDescent="0.3">
      <c r="A36">
        <f t="shared" si="0"/>
        <v>58</v>
      </c>
      <c r="B36" t="s">
        <v>116</v>
      </c>
      <c r="C36" t="s">
        <v>118</v>
      </c>
      <c r="D36" t="s">
        <v>30</v>
      </c>
      <c r="E36" t="s">
        <v>117</v>
      </c>
      <c r="F36" t="s">
        <v>118</v>
      </c>
      <c r="G36" t="s">
        <v>191</v>
      </c>
      <c r="H36" t="s">
        <v>192</v>
      </c>
      <c r="I36">
        <v>3</v>
      </c>
      <c r="J36">
        <v>5</v>
      </c>
      <c r="K36">
        <v>8</v>
      </c>
      <c r="L36">
        <v>5</v>
      </c>
      <c r="M36">
        <v>0</v>
      </c>
      <c r="N36">
        <v>1224</v>
      </c>
      <c r="O36">
        <v>1044</v>
      </c>
      <c r="P36" s="34">
        <f t="shared" si="1"/>
        <v>94.15384615384616</v>
      </c>
      <c r="Q36" t="s">
        <v>68</v>
      </c>
      <c r="S36">
        <v>2016</v>
      </c>
    </row>
    <row r="37" spans="1:19" x14ac:dyDescent="0.3">
      <c r="A37">
        <f t="shared" si="0"/>
        <v>82</v>
      </c>
      <c r="B37" t="s">
        <v>82</v>
      </c>
      <c r="C37" t="s">
        <v>84</v>
      </c>
      <c r="D37" t="s">
        <v>28</v>
      </c>
      <c r="E37" t="s">
        <v>83</v>
      </c>
      <c r="F37" t="s">
        <v>84</v>
      </c>
      <c r="G37" t="s">
        <v>181</v>
      </c>
      <c r="H37" t="s">
        <v>182</v>
      </c>
      <c r="I37">
        <v>4</v>
      </c>
      <c r="J37">
        <v>6</v>
      </c>
      <c r="K37">
        <v>8</v>
      </c>
      <c r="L37">
        <v>5</v>
      </c>
      <c r="M37">
        <v>0</v>
      </c>
      <c r="N37">
        <v>1173</v>
      </c>
      <c r="O37">
        <v>1129</v>
      </c>
      <c r="P37" s="34">
        <f t="shared" si="1"/>
        <v>90.230769230769226</v>
      </c>
      <c r="Q37" t="s">
        <v>68</v>
      </c>
      <c r="S37">
        <v>2016</v>
      </c>
    </row>
    <row r="38" spans="1:19" x14ac:dyDescent="0.3">
      <c r="A38">
        <f t="shared" si="0"/>
        <v>120</v>
      </c>
      <c r="B38" t="s">
        <v>91</v>
      </c>
      <c r="C38" t="s">
        <v>183</v>
      </c>
      <c r="D38" t="s">
        <v>29</v>
      </c>
      <c r="E38" t="s">
        <v>83</v>
      </c>
      <c r="F38" t="s">
        <v>183</v>
      </c>
      <c r="G38" t="s">
        <v>184</v>
      </c>
      <c r="H38" t="s">
        <v>183</v>
      </c>
      <c r="I38">
        <v>5</v>
      </c>
      <c r="J38">
        <v>3</v>
      </c>
      <c r="K38">
        <v>8</v>
      </c>
      <c r="L38">
        <v>5</v>
      </c>
      <c r="M38">
        <v>0</v>
      </c>
      <c r="N38">
        <v>1082</v>
      </c>
      <c r="O38">
        <v>1036</v>
      </c>
      <c r="P38" s="34">
        <f t="shared" si="1"/>
        <v>83.230769230769226</v>
      </c>
      <c r="Q38" t="s">
        <v>68</v>
      </c>
      <c r="S38">
        <v>2016</v>
      </c>
    </row>
    <row r="39" spans="1:19" x14ac:dyDescent="0.3">
      <c r="A39">
        <f t="shared" si="0"/>
        <v>95</v>
      </c>
      <c r="B39" t="s">
        <v>129</v>
      </c>
      <c r="C39" t="s">
        <v>130</v>
      </c>
      <c r="D39" t="s">
        <v>43</v>
      </c>
      <c r="E39" t="s">
        <v>117</v>
      </c>
      <c r="F39" t="s">
        <v>130</v>
      </c>
      <c r="G39" t="s">
        <v>179</v>
      </c>
      <c r="H39" t="s">
        <v>180</v>
      </c>
      <c r="I39">
        <v>6</v>
      </c>
      <c r="J39">
        <v>2</v>
      </c>
      <c r="K39">
        <v>6</v>
      </c>
      <c r="L39">
        <v>7</v>
      </c>
      <c r="M39">
        <v>0</v>
      </c>
      <c r="N39">
        <v>1139</v>
      </c>
      <c r="O39">
        <v>1193</v>
      </c>
      <c r="P39" s="34">
        <f t="shared" si="1"/>
        <v>87.615384615384613</v>
      </c>
      <c r="Q39" t="s">
        <v>68</v>
      </c>
      <c r="S39">
        <v>2016</v>
      </c>
    </row>
    <row r="40" spans="1:19" x14ac:dyDescent="0.3">
      <c r="A40">
        <f t="shared" si="0"/>
        <v>102</v>
      </c>
      <c r="B40" t="s">
        <v>112</v>
      </c>
      <c r="C40" t="s">
        <v>113</v>
      </c>
      <c r="D40" t="s">
        <v>27</v>
      </c>
      <c r="E40" t="s">
        <v>96</v>
      </c>
      <c r="F40" t="s">
        <v>113</v>
      </c>
      <c r="G40" t="s">
        <v>114</v>
      </c>
      <c r="H40" t="s">
        <v>96</v>
      </c>
      <c r="I40">
        <v>7</v>
      </c>
      <c r="J40">
        <v>7</v>
      </c>
      <c r="K40">
        <v>6</v>
      </c>
      <c r="L40">
        <v>7</v>
      </c>
      <c r="M40">
        <v>0</v>
      </c>
      <c r="N40">
        <v>1125</v>
      </c>
      <c r="O40">
        <v>1180</v>
      </c>
      <c r="P40" s="34">
        <f t="shared" si="1"/>
        <v>86.538461538461533</v>
      </c>
      <c r="S40">
        <v>2016</v>
      </c>
    </row>
    <row r="41" spans="1:19" x14ac:dyDescent="0.3">
      <c r="A41">
        <f t="shared" si="0"/>
        <v>148</v>
      </c>
      <c r="B41" t="s">
        <v>142</v>
      </c>
      <c r="C41" t="s">
        <v>101</v>
      </c>
      <c r="D41" t="s">
        <v>23</v>
      </c>
      <c r="E41" t="s">
        <v>83</v>
      </c>
      <c r="F41" t="s">
        <v>101</v>
      </c>
      <c r="G41" t="s">
        <v>102</v>
      </c>
      <c r="H41" t="s">
        <v>103</v>
      </c>
      <c r="I41">
        <v>8</v>
      </c>
      <c r="J41">
        <v>8</v>
      </c>
      <c r="K41">
        <v>6</v>
      </c>
      <c r="L41">
        <v>7</v>
      </c>
      <c r="M41">
        <v>0</v>
      </c>
      <c r="N41">
        <v>981</v>
      </c>
      <c r="O41">
        <v>1123</v>
      </c>
      <c r="P41" s="34">
        <f t="shared" si="1"/>
        <v>75.461538461538467</v>
      </c>
      <c r="S41">
        <v>2016</v>
      </c>
    </row>
    <row r="42" spans="1:19" x14ac:dyDescent="0.3">
      <c r="A42">
        <f t="shared" si="0"/>
        <v>103</v>
      </c>
      <c r="B42" t="s">
        <v>104</v>
      </c>
      <c r="C42" t="s">
        <v>105</v>
      </c>
      <c r="D42" t="s">
        <v>25</v>
      </c>
      <c r="E42" t="s">
        <v>83</v>
      </c>
      <c r="F42" t="s">
        <v>105</v>
      </c>
      <c r="G42" t="s">
        <v>105</v>
      </c>
      <c r="H42" t="s">
        <v>188</v>
      </c>
      <c r="I42">
        <v>9</v>
      </c>
      <c r="J42">
        <v>9</v>
      </c>
      <c r="K42">
        <v>4</v>
      </c>
      <c r="L42">
        <v>9</v>
      </c>
      <c r="M42">
        <v>0</v>
      </c>
      <c r="N42">
        <v>1122</v>
      </c>
      <c r="O42">
        <v>1248</v>
      </c>
      <c r="P42" s="34">
        <f t="shared" si="1"/>
        <v>86.307692307692307</v>
      </c>
      <c r="S42">
        <v>2016</v>
      </c>
    </row>
    <row r="43" spans="1:19" x14ac:dyDescent="0.3">
      <c r="A43">
        <f t="shared" si="0"/>
        <v>104</v>
      </c>
      <c r="B43" t="s">
        <v>87</v>
      </c>
      <c r="C43" t="s">
        <v>88</v>
      </c>
      <c r="D43" t="s">
        <v>24</v>
      </c>
      <c r="E43" t="s">
        <v>83</v>
      </c>
      <c r="F43" t="s">
        <v>88</v>
      </c>
      <c r="G43" t="s">
        <v>89</v>
      </c>
      <c r="H43" t="s">
        <v>90</v>
      </c>
      <c r="I43">
        <v>10</v>
      </c>
      <c r="J43">
        <v>10</v>
      </c>
      <c r="K43">
        <v>4</v>
      </c>
      <c r="L43">
        <v>9</v>
      </c>
      <c r="M43">
        <v>0</v>
      </c>
      <c r="N43">
        <v>1121</v>
      </c>
      <c r="O43">
        <v>1210</v>
      </c>
      <c r="P43" s="34">
        <f t="shared" si="1"/>
        <v>86.230769230769226</v>
      </c>
      <c r="S43">
        <v>2016</v>
      </c>
    </row>
    <row r="44" spans="1:19" x14ac:dyDescent="0.3">
      <c r="A44">
        <f t="shared" si="0"/>
        <v>138</v>
      </c>
      <c r="B44" t="s">
        <v>95</v>
      </c>
      <c r="C44" t="s">
        <v>185</v>
      </c>
      <c r="D44" t="s">
        <v>22</v>
      </c>
      <c r="E44" t="s">
        <v>96</v>
      </c>
      <c r="F44" t="s">
        <v>185</v>
      </c>
      <c r="G44" t="s">
        <v>186</v>
      </c>
      <c r="H44" t="s">
        <v>187</v>
      </c>
      <c r="I44">
        <v>11</v>
      </c>
      <c r="J44">
        <v>11</v>
      </c>
      <c r="K44">
        <v>4</v>
      </c>
      <c r="L44">
        <v>9</v>
      </c>
      <c r="M44">
        <v>0</v>
      </c>
      <c r="N44">
        <v>1031</v>
      </c>
      <c r="O44">
        <v>1139</v>
      </c>
      <c r="P44" s="34">
        <f t="shared" si="1"/>
        <v>79.307692307692307</v>
      </c>
      <c r="S44">
        <v>2016</v>
      </c>
    </row>
    <row r="45" spans="1:19" x14ac:dyDescent="0.3">
      <c r="A45">
        <f t="shared" si="0"/>
        <v>140</v>
      </c>
      <c r="B45" t="s">
        <v>121</v>
      </c>
      <c r="C45" t="s">
        <v>122</v>
      </c>
      <c r="D45" t="s">
        <v>26</v>
      </c>
      <c r="E45" t="s">
        <v>83</v>
      </c>
      <c r="F45" t="s">
        <v>122</v>
      </c>
      <c r="G45" t="s">
        <v>114</v>
      </c>
      <c r="H45" t="s">
        <v>193</v>
      </c>
      <c r="I45">
        <v>12</v>
      </c>
      <c r="J45">
        <v>12</v>
      </c>
      <c r="K45">
        <v>4</v>
      </c>
      <c r="L45">
        <v>9</v>
      </c>
      <c r="M45">
        <v>0</v>
      </c>
      <c r="N45">
        <v>1024</v>
      </c>
      <c r="O45">
        <v>1222</v>
      </c>
      <c r="P45" s="34">
        <f t="shared" si="1"/>
        <v>78.769230769230774</v>
      </c>
      <c r="S45">
        <v>2016</v>
      </c>
    </row>
    <row r="46" spans="1:19" x14ac:dyDescent="0.3">
      <c r="A46">
        <f t="shared" si="0"/>
        <v>66</v>
      </c>
      <c r="B46" t="s">
        <v>125</v>
      </c>
      <c r="C46" t="s">
        <v>204</v>
      </c>
      <c r="D46" t="s">
        <v>48</v>
      </c>
      <c r="E46" t="s">
        <v>83</v>
      </c>
      <c r="F46" t="s">
        <v>204</v>
      </c>
      <c r="G46" t="s">
        <v>204</v>
      </c>
      <c r="H46" t="s">
        <v>205</v>
      </c>
      <c r="I46">
        <v>1</v>
      </c>
      <c r="J46">
        <v>3</v>
      </c>
      <c r="K46">
        <v>10</v>
      </c>
      <c r="L46">
        <v>3</v>
      </c>
      <c r="M46">
        <v>0</v>
      </c>
      <c r="N46">
        <v>1196</v>
      </c>
      <c r="O46">
        <v>1035</v>
      </c>
      <c r="P46" s="34">
        <f t="shared" si="1"/>
        <v>92</v>
      </c>
      <c r="Q46" t="s">
        <v>68</v>
      </c>
      <c r="R46" t="s">
        <v>68</v>
      </c>
      <c r="S46">
        <v>2017</v>
      </c>
    </row>
    <row r="47" spans="1:19" x14ac:dyDescent="0.3">
      <c r="A47">
        <f t="shared" si="0"/>
        <v>100</v>
      </c>
      <c r="B47" t="s">
        <v>116</v>
      </c>
      <c r="C47" t="s">
        <v>118</v>
      </c>
      <c r="D47" t="s">
        <v>30</v>
      </c>
      <c r="E47" t="s">
        <v>117</v>
      </c>
      <c r="F47" t="s">
        <v>118</v>
      </c>
      <c r="G47" t="s">
        <v>191</v>
      </c>
      <c r="H47" t="s">
        <v>192</v>
      </c>
      <c r="I47">
        <v>2</v>
      </c>
      <c r="J47">
        <v>4</v>
      </c>
      <c r="K47">
        <v>7</v>
      </c>
      <c r="L47">
        <v>6</v>
      </c>
      <c r="M47">
        <v>0</v>
      </c>
      <c r="N47">
        <v>1132</v>
      </c>
      <c r="O47">
        <v>1057</v>
      </c>
      <c r="P47" s="34">
        <f t="shared" si="1"/>
        <v>87.07692307692308</v>
      </c>
      <c r="Q47" t="s">
        <v>68</v>
      </c>
      <c r="R47" t="s">
        <v>68</v>
      </c>
      <c r="S47">
        <v>2017</v>
      </c>
    </row>
    <row r="48" spans="1:19" x14ac:dyDescent="0.3">
      <c r="A48">
        <f t="shared" si="0"/>
        <v>63</v>
      </c>
      <c r="B48" t="s">
        <v>112</v>
      </c>
      <c r="C48" t="s">
        <v>113</v>
      </c>
      <c r="D48" t="s">
        <v>27</v>
      </c>
      <c r="E48" t="s">
        <v>96</v>
      </c>
      <c r="F48" t="s">
        <v>113</v>
      </c>
      <c r="G48" t="s">
        <v>114</v>
      </c>
      <c r="H48" t="s">
        <v>96</v>
      </c>
      <c r="I48">
        <v>3</v>
      </c>
      <c r="J48">
        <v>2</v>
      </c>
      <c r="K48">
        <v>8</v>
      </c>
      <c r="L48">
        <v>5</v>
      </c>
      <c r="M48">
        <v>0</v>
      </c>
      <c r="N48">
        <v>1215</v>
      </c>
      <c r="O48">
        <v>1091</v>
      </c>
      <c r="P48" s="34">
        <f t="shared" si="1"/>
        <v>93.461538461538467</v>
      </c>
      <c r="Q48" t="s">
        <v>68</v>
      </c>
      <c r="S48">
        <v>2017</v>
      </c>
    </row>
    <row r="49" spans="1:19" x14ac:dyDescent="0.3">
      <c r="A49">
        <f t="shared" si="0"/>
        <v>110</v>
      </c>
      <c r="B49" t="s">
        <v>82</v>
      </c>
      <c r="C49" t="s">
        <v>84</v>
      </c>
      <c r="D49" t="s">
        <v>28</v>
      </c>
      <c r="E49" t="s">
        <v>83</v>
      </c>
      <c r="F49" t="s">
        <v>84</v>
      </c>
      <c r="G49" t="s">
        <v>85</v>
      </c>
      <c r="H49" t="s">
        <v>86</v>
      </c>
      <c r="I49">
        <v>4</v>
      </c>
      <c r="J49">
        <v>5</v>
      </c>
      <c r="K49">
        <v>7</v>
      </c>
      <c r="L49">
        <v>6</v>
      </c>
      <c r="M49">
        <v>0</v>
      </c>
      <c r="N49">
        <v>1099</v>
      </c>
      <c r="O49">
        <v>1087</v>
      </c>
      <c r="P49" s="34">
        <f t="shared" si="1"/>
        <v>84.538461538461533</v>
      </c>
      <c r="Q49" t="s">
        <v>68</v>
      </c>
      <c r="S49">
        <v>2017</v>
      </c>
    </row>
    <row r="50" spans="1:19" x14ac:dyDescent="0.3">
      <c r="A50">
        <f t="shared" si="0"/>
        <v>126</v>
      </c>
      <c r="B50" t="s">
        <v>87</v>
      </c>
      <c r="C50" t="s">
        <v>88</v>
      </c>
      <c r="D50" t="s">
        <v>24</v>
      </c>
      <c r="E50" t="s">
        <v>83</v>
      </c>
      <c r="F50" t="s">
        <v>88</v>
      </c>
      <c r="G50" t="s">
        <v>89</v>
      </c>
      <c r="H50" t="s">
        <v>90</v>
      </c>
      <c r="I50">
        <v>5</v>
      </c>
      <c r="J50">
        <v>1</v>
      </c>
      <c r="K50">
        <v>7</v>
      </c>
      <c r="L50">
        <v>6</v>
      </c>
      <c r="M50">
        <v>0</v>
      </c>
      <c r="N50">
        <v>1070</v>
      </c>
      <c r="O50">
        <v>999</v>
      </c>
      <c r="P50" s="34">
        <f t="shared" si="1"/>
        <v>82.307692307692307</v>
      </c>
      <c r="Q50" t="s">
        <v>68</v>
      </c>
      <c r="S50">
        <v>2017</v>
      </c>
    </row>
    <row r="51" spans="1:19" x14ac:dyDescent="0.3">
      <c r="A51">
        <f t="shared" si="0"/>
        <v>134</v>
      </c>
      <c r="B51" t="s">
        <v>142</v>
      </c>
      <c r="C51" t="s">
        <v>101</v>
      </c>
      <c r="D51" t="s">
        <v>23</v>
      </c>
      <c r="E51" t="s">
        <v>83</v>
      </c>
      <c r="F51" t="s">
        <v>101</v>
      </c>
      <c r="G51" t="s">
        <v>102</v>
      </c>
      <c r="H51" t="s">
        <v>103</v>
      </c>
      <c r="I51">
        <v>6</v>
      </c>
      <c r="J51">
        <v>6</v>
      </c>
      <c r="K51">
        <v>7</v>
      </c>
      <c r="L51">
        <v>6</v>
      </c>
      <c r="M51">
        <v>0</v>
      </c>
      <c r="N51">
        <v>1043</v>
      </c>
      <c r="O51">
        <v>1021</v>
      </c>
      <c r="P51" s="34">
        <f t="shared" si="1"/>
        <v>80.230769230769226</v>
      </c>
      <c r="Q51" t="s">
        <v>68</v>
      </c>
      <c r="S51">
        <v>2017</v>
      </c>
    </row>
    <row r="52" spans="1:19" x14ac:dyDescent="0.3">
      <c r="A52">
        <f t="shared" si="0"/>
        <v>87</v>
      </c>
      <c r="B52" t="s">
        <v>107</v>
      </c>
      <c r="C52" t="s">
        <v>109</v>
      </c>
      <c r="D52" t="s">
        <v>47</v>
      </c>
      <c r="E52" t="s">
        <v>108</v>
      </c>
      <c r="F52" t="s">
        <v>109</v>
      </c>
      <c r="G52" t="s">
        <v>200</v>
      </c>
      <c r="H52" t="s">
        <v>201</v>
      </c>
      <c r="I52">
        <v>7</v>
      </c>
      <c r="J52">
        <v>7</v>
      </c>
      <c r="K52">
        <v>6</v>
      </c>
      <c r="L52">
        <v>7</v>
      </c>
      <c r="M52">
        <v>0</v>
      </c>
      <c r="N52">
        <v>1152</v>
      </c>
      <c r="O52">
        <v>1182</v>
      </c>
      <c r="P52" s="34">
        <f t="shared" si="1"/>
        <v>88.615384615384613</v>
      </c>
      <c r="S52">
        <v>2017</v>
      </c>
    </row>
    <row r="53" spans="1:19" x14ac:dyDescent="0.3">
      <c r="A53">
        <f t="shared" si="0"/>
        <v>115</v>
      </c>
      <c r="B53" t="s">
        <v>104</v>
      </c>
      <c r="C53" t="s">
        <v>105</v>
      </c>
      <c r="D53" t="s">
        <v>25</v>
      </c>
      <c r="E53" t="s">
        <v>83</v>
      </c>
      <c r="F53" t="s">
        <v>105</v>
      </c>
      <c r="G53" t="s">
        <v>105</v>
      </c>
      <c r="H53" t="s">
        <v>106</v>
      </c>
      <c r="I53">
        <v>8</v>
      </c>
      <c r="J53">
        <v>8</v>
      </c>
      <c r="K53">
        <v>6</v>
      </c>
      <c r="L53">
        <v>7</v>
      </c>
      <c r="M53">
        <v>0</v>
      </c>
      <c r="N53">
        <v>1093</v>
      </c>
      <c r="O53">
        <v>1087</v>
      </c>
      <c r="P53" s="34">
        <f t="shared" si="1"/>
        <v>84.07692307692308</v>
      </c>
      <c r="S53">
        <v>2017</v>
      </c>
    </row>
    <row r="54" spans="1:19" x14ac:dyDescent="0.3">
      <c r="A54">
        <f t="shared" si="0"/>
        <v>116</v>
      </c>
      <c r="B54" t="s">
        <v>129</v>
      </c>
      <c r="C54" t="s">
        <v>130</v>
      </c>
      <c r="D54" t="s">
        <v>43</v>
      </c>
      <c r="E54" t="s">
        <v>117</v>
      </c>
      <c r="F54" t="s">
        <v>130</v>
      </c>
      <c r="G54" t="s">
        <v>179</v>
      </c>
      <c r="H54" t="s">
        <v>180</v>
      </c>
      <c r="I54">
        <v>9</v>
      </c>
      <c r="J54">
        <v>9</v>
      </c>
      <c r="K54">
        <v>6</v>
      </c>
      <c r="L54">
        <v>7</v>
      </c>
      <c r="M54">
        <v>0</v>
      </c>
      <c r="N54">
        <v>1092</v>
      </c>
      <c r="O54">
        <v>1083</v>
      </c>
      <c r="P54" s="34">
        <f t="shared" si="1"/>
        <v>84</v>
      </c>
      <c r="S54">
        <v>2017</v>
      </c>
    </row>
    <row r="55" spans="1:19" x14ac:dyDescent="0.3">
      <c r="A55">
        <f t="shared" si="0"/>
        <v>124</v>
      </c>
      <c r="B55" t="s">
        <v>121</v>
      </c>
      <c r="C55" t="s">
        <v>122</v>
      </c>
      <c r="D55" t="s">
        <v>26</v>
      </c>
      <c r="E55" t="s">
        <v>83</v>
      </c>
      <c r="F55" t="s">
        <v>122</v>
      </c>
      <c r="G55" t="s">
        <v>202</v>
      </c>
      <c r="H55" t="s">
        <v>203</v>
      </c>
      <c r="I55">
        <v>10</v>
      </c>
      <c r="J55">
        <v>10</v>
      </c>
      <c r="K55">
        <v>6</v>
      </c>
      <c r="L55">
        <v>7</v>
      </c>
      <c r="M55">
        <v>0</v>
      </c>
      <c r="N55">
        <v>1078</v>
      </c>
      <c r="O55">
        <v>1086</v>
      </c>
      <c r="P55" s="34">
        <f t="shared" si="1"/>
        <v>82.92307692307692</v>
      </c>
      <c r="S55">
        <v>2017</v>
      </c>
    </row>
    <row r="56" spans="1:19" x14ac:dyDescent="0.3">
      <c r="A56">
        <f t="shared" si="0"/>
        <v>149</v>
      </c>
      <c r="B56" t="s">
        <v>91</v>
      </c>
      <c r="C56" t="s">
        <v>92</v>
      </c>
      <c r="D56" t="s">
        <v>29</v>
      </c>
      <c r="E56" t="s">
        <v>83</v>
      </c>
      <c r="F56" t="s">
        <v>92</v>
      </c>
      <c r="G56" t="s">
        <v>93</v>
      </c>
      <c r="H56" t="s">
        <v>94</v>
      </c>
      <c r="I56">
        <v>11</v>
      </c>
      <c r="J56">
        <v>11</v>
      </c>
      <c r="K56">
        <v>5</v>
      </c>
      <c r="L56">
        <v>7</v>
      </c>
      <c r="M56">
        <v>1</v>
      </c>
      <c r="N56">
        <v>975</v>
      </c>
      <c r="O56">
        <v>1135</v>
      </c>
      <c r="P56" s="34">
        <f t="shared" si="1"/>
        <v>75</v>
      </c>
      <c r="S56">
        <v>2017</v>
      </c>
    </row>
    <row r="57" spans="1:19" x14ac:dyDescent="0.3">
      <c r="A57">
        <f t="shared" si="0"/>
        <v>153</v>
      </c>
      <c r="B57" t="s">
        <v>95</v>
      </c>
      <c r="C57" t="s">
        <v>197</v>
      </c>
      <c r="D57" t="s">
        <v>22</v>
      </c>
      <c r="E57" t="s">
        <v>96</v>
      </c>
      <c r="F57" t="s">
        <v>197</v>
      </c>
      <c r="G57" t="s">
        <v>198</v>
      </c>
      <c r="H57" t="s">
        <v>199</v>
      </c>
      <c r="I57">
        <v>12</v>
      </c>
      <c r="J57">
        <v>12</v>
      </c>
      <c r="K57">
        <v>2</v>
      </c>
      <c r="L57">
        <v>10</v>
      </c>
      <c r="M57">
        <v>1</v>
      </c>
      <c r="N57">
        <v>922</v>
      </c>
      <c r="O57">
        <v>1204</v>
      </c>
      <c r="P57" s="34">
        <f t="shared" si="1"/>
        <v>70.92307692307692</v>
      </c>
      <c r="S57">
        <v>2017</v>
      </c>
    </row>
    <row r="58" spans="1:19" x14ac:dyDescent="0.3">
      <c r="A58">
        <f t="shared" si="0"/>
        <v>57</v>
      </c>
      <c r="B58" t="s">
        <v>104</v>
      </c>
      <c r="C58" t="s">
        <v>105</v>
      </c>
      <c r="D58" t="s">
        <v>25</v>
      </c>
      <c r="E58" t="s">
        <v>83</v>
      </c>
      <c r="F58" t="s">
        <v>105</v>
      </c>
      <c r="G58" t="s">
        <v>105</v>
      </c>
      <c r="H58" t="s">
        <v>106</v>
      </c>
      <c r="I58">
        <v>1</v>
      </c>
      <c r="J58">
        <v>1</v>
      </c>
      <c r="K58">
        <v>9</v>
      </c>
      <c r="L58">
        <v>3</v>
      </c>
      <c r="M58">
        <v>1</v>
      </c>
      <c r="N58">
        <v>1225</v>
      </c>
      <c r="O58">
        <v>1127</v>
      </c>
      <c r="P58" s="34">
        <f t="shared" si="1"/>
        <v>94.230769230769226</v>
      </c>
      <c r="Q58" t="s">
        <v>68</v>
      </c>
      <c r="R58" t="s">
        <v>68</v>
      </c>
      <c r="S58">
        <v>2018</v>
      </c>
    </row>
    <row r="59" spans="1:19" x14ac:dyDescent="0.3">
      <c r="A59">
        <f t="shared" si="0"/>
        <v>30</v>
      </c>
      <c r="B59" t="s">
        <v>107</v>
      </c>
      <c r="C59" t="s">
        <v>109</v>
      </c>
      <c r="D59" t="s">
        <v>47</v>
      </c>
      <c r="E59" t="s">
        <v>108</v>
      </c>
      <c r="F59" t="s">
        <v>109</v>
      </c>
      <c r="G59" t="s">
        <v>209</v>
      </c>
      <c r="H59" t="s">
        <v>210</v>
      </c>
      <c r="I59">
        <v>2</v>
      </c>
      <c r="J59">
        <v>4</v>
      </c>
      <c r="K59">
        <v>9</v>
      </c>
      <c r="L59">
        <v>4</v>
      </c>
      <c r="M59">
        <v>0</v>
      </c>
      <c r="N59">
        <v>1316</v>
      </c>
      <c r="O59">
        <v>1132</v>
      </c>
      <c r="P59" s="34">
        <f t="shared" si="1"/>
        <v>101.23076923076923</v>
      </c>
      <c r="Q59" t="s">
        <v>68</v>
      </c>
      <c r="R59" t="s">
        <v>68</v>
      </c>
      <c r="S59">
        <v>2018</v>
      </c>
    </row>
    <row r="60" spans="1:19" x14ac:dyDescent="0.3">
      <c r="A60">
        <f t="shared" si="0"/>
        <v>44</v>
      </c>
      <c r="B60" t="s">
        <v>129</v>
      </c>
      <c r="C60" t="s">
        <v>130</v>
      </c>
      <c r="D60" t="s">
        <v>43</v>
      </c>
      <c r="E60" t="s">
        <v>117</v>
      </c>
      <c r="F60" t="s">
        <v>130</v>
      </c>
      <c r="G60" t="s">
        <v>179</v>
      </c>
      <c r="H60" t="s">
        <v>180</v>
      </c>
      <c r="I60">
        <v>3</v>
      </c>
      <c r="J60">
        <v>2</v>
      </c>
      <c r="K60">
        <v>9</v>
      </c>
      <c r="L60">
        <v>4</v>
      </c>
      <c r="M60">
        <v>0</v>
      </c>
      <c r="N60">
        <v>1249</v>
      </c>
      <c r="O60">
        <v>1175</v>
      </c>
      <c r="P60" s="34">
        <f t="shared" si="1"/>
        <v>96.07692307692308</v>
      </c>
      <c r="Q60" t="s">
        <v>68</v>
      </c>
      <c r="S60">
        <v>2018</v>
      </c>
    </row>
    <row r="61" spans="1:19" x14ac:dyDescent="0.3">
      <c r="A61">
        <f t="shared" si="0"/>
        <v>37</v>
      </c>
      <c r="B61" t="s">
        <v>100</v>
      </c>
      <c r="C61" t="s">
        <v>101</v>
      </c>
      <c r="D61" t="s">
        <v>23</v>
      </c>
      <c r="E61" t="s">
        <v>83</v>
      </c>
      <c r="F61" t="s">
        <v>101</v>
      </c>
      <c r="G61" t="s">
        <v>102</v>
      </c>
      <c r="H61" t="s">
        <v>103</v>
      </c>
      <c r="I61">
        <v>4</v>
      </c>
      <c r="J61">
        <v>5</v>
      </c>
      <c r="K61">
        <v>8</v>
      </c>
      <c r="L61">
        <v>5</v>
      </c>
      <c r="M61">
        <v>0</v>
      </c>
      <c r="N61">
        <v>1274</v>
      </c>
      <c r="O61">
        <v>1178</v>
      </c>
      <c r="P61" s="34">
        <f t="shared" si="1"/>
        <v>98</v>
      </c>
      <c r="Q61" t="s">
        <v>68</v>
      </c>
      <c r="S61">
        <v>2018</v>
      </c>
    </row>
    <row r="62" spans="1:19" x14ac:dyDescent="0.3">
      <c r="A62">
        <f t="shared" si="0"/>
        <v>58</v>
      </c>
      <c r="B62" t="s">
        <v>82</v>
      </c>
      <c r="C62" t="s">
        <v>84</v>
      </c>
      <c r="D62" t="s">
        <v>28</v>
      </c>
      <c r="E62" t="s">
        <v>83</v>
      </c>
      <c r="F62" t="s">
        <v>84</v>
      </c>
      <c r="G62" t="s">
        <v>85</v>
      </c>
      <c r="H62" t="s">
        <v>86</v>
      </c>
      <c r="I62">
        <v>5</v>
      </c>
      <c r="J62">
        <v>3</v>
      </c>
      <c r="K62">
        <v>8</v>
      </c>
      <c r="L62">
        <v>5</v>
      </c>
      <c r="M62">
        <v>0</v>
      </c>
      <c r="N62">
        <v>1224</v>
      </c>
      <c r="O62">
        <v>1068</v>
      </c>
      <c r="P62" s="34">
        <f t="shared" si="1"/>
        <v>94.15384615384616</v>
      </c>
      <c r="Q62" t="s">
        <v>68</v>
      </c>
      <c r="S62">
        <v>2018</v>
      </c>
    </row>
    <row r="63" spans="1:19" x14ac:dyDescent="0.3">
      <c r="A63">
        <f t="shared" si="0"/>
        <v>52</v>
      </c>
      <c r="B63" t="s">
        <v>116</v>
      </c>
      <c r="C63" t="s">
        <v>118</v>
      </c>
      <c r="D63" t="s">
        <v>30</v>
      </c>
      <c r="E63" t="s">
        <v>117</v>
      </c>
      <c r="F63" t="s">
        <v>118</v>
      </c>
      <c r="G63" t="s">
        <v>211</v>
      </c>
      <c r="H63" t="s">
        <v>212</v>
      </c>
      <c r="I63">
        <v>6</v>
      </c>
      <c r="J63">
        <v>6</v>
      </c>
      <c r="K63">
        <v>7</v>
      </c>
      <c r="L63">
        <v>6</v>
      </c>
      <c r="M63">
        <v>0</v>
      </c>
      <c r="N63">
        <v>1236</v>
      </c>
      <c r="O63">
        <v>1223</v>
      </c>
      <c r="P63" s="34">
        <f t="shared" si="1"/>
        <v>95.07692307692308</v>
      </c>
      <c r="Q63" t="s">
        <v>68</v>
      </c>
      <c r="S63">
        <v>2018</v>
      </c>
    </row>
    <row r="64" spans="1:19" x14ac:dyDescent="0.3">
      <c r="A64">
        <f t="shared" si="0"/>
        <v>73</v>
      </c>
      <c r="B64" t="s">
        <v>95</v>
      </c>
      <c r="C64" t="s">
        <v>206</v>
      </c>
      <c r="D64" t="s">
        <v>22</v>
      </c>
      <c r="E64" t="s">
        <v>96</v>
      </c>
      <c r="F64" t="s">
        <v>206</v>
      </c>
      <c r="G64" t="s">
        <v>207</v>
      </c>
      <c r="H64" t="s">
        <v>208</v>
      </c>
      <c r="I64">
        <v>7</v>
      </c>
      <c r="J64">
        <v>7</v>
      </c>
      <c r="K64">
        <v>6</v>
      </c>
      <c r="L64">
        <v>7</v>
      </c>
      <c r="M64">
        <v>0</v>
      </c>
      <c r="N64">
        <v>1182</v>
      </c>
      <c r="O64">
        <v>1249</v>
      </c>
      <c r="P64" s="34">
        <f t="shared" si="1"/>
        <v>90.92307692307692</v>
      </c>
      <c r="S64">
        <v>2018</v>
      </c>
    </row>
    <row r="65" spans="1:19" x14ac:dyDescent="0.3">
      <c r="A65">
        <f t="shared" si="0"/>
        <v>65</v>
      </c>
      <c r="B65" t="s">
        <v>121</v>
      </c>
      <c r="C65" t="s">
        <v>122</v>
      </c>
      <c r="D65" t="s">
        <v>26</v>
      </c>
      <c r="E65" t="s">
        <v>83</v>
      </c>
      <c r="F65" t="s">
        <v>122</v>
      </c>
      <c r="G65" t="s">
        <v>123</v>
      </c>
      <c r="H65" t="s">
        <v>124</v>
      </c>
      <c r="I65">
        <v>8</v>
      </c>
      <c r="J65">
        <v>8</v>
      </c>
      <c r="K65">
        <v>5</v>
      </c>
      <c r="L65">
        <v>7</v>
      </c>
      <c r="M65">
        <v>1</v>
      </c>
      <c r="N65">
        <v>1201</v>
      </c>
      <c r="O65">
        <v>1263</v>
      </c>
      <c r="P65" s="34">
        <f t="shared" si="1"/>
        <v>92.384615384615387</v>
      </c>
      <c r="S65">
        <v>2018</v>
      </c>
    </row>
    <row r="66" spans="1:19" x14ac:dyDescent="0.3">
      <c r="A66">
        <f t="shared" si="0"/>
        <v>61</v>
      </c>
      <c r="B66" t="s">
        <v>125</v>
      </c>
      <c r="C66" t="s">
        <v>213</v>
      </c>
      <c r="D66" t="s">
        <v>48</v>
      </c>
      <c r="E66" t="s">
        <v>83</v>
      </c>
      <c r="F66" t="s">
        <v>213</v>
      </c>
      <c r="G66" t="s">
        <v>214</v>
      </c>
      <c r="H66" t="s">
        <v>215</v>
      </c>
      <c r="I66">
        <v>9</v>
      </c>
      <c r="J66">
        <v>9</v>
      </c>
      <c r="K66">
        <v>5</v>
      </c>
      <c r="L66">
        <v>8</v>
      </c>
      <c r="M66">
        <v>0</v>
      </c>
      <c r="N66">
        <v>1219</v>
      </c>
      <c r="O66">
        <v>1247</v>
      </c>
      <c r="P66" s="34">
        <f t="shared" si="1"/>
        <v>93.769230769230774</v>
      </c>
      <c r="S66">
        <v>2018</v>
      </c>
    </row>
    <row r="67" spans="1:19" x14ac:dyDescent="0.3">
      <c r="A67">
        <f t="shared" ref="A67:A131" si="2">RANK(P67,P:P)</f>
        <v>84</v>
      </c>
      <c r="B67" t="s">
        <v>87</v>
      </c>
      <c r="C67" t="s">
        <v>88</v>
      </c>
      <c r="D67" t="s">
        <v>24</v>
      </c>
      <c r="E67" t="s">
        <v>83</v>
      </c>
      <c r="F67" t="s">
        <v>88</v>
      </c>
      <c r="G67" t="s">
        <v>89</v>
      </c>
      <c r="H67" t="s">
        <v>90</v>
      </c>
      <c r="I67">
        <v>10</v>
      </c>
      <c r="J67">
        <v>10</v>
      </c>
      <c r="K67">
        <v>5</v>
      </c>
      <c r="L67">
        <v>8</v>
      </c>
      <c r="M67">
        <v>0</v>
      </c>
      <c r="N67">
        <v>1165</v>
      </c>
      <c r="O67">
        <v>1159</v>
      </c>
      <c r="P67" s="34">
        <f t="shared" ref="P67:P131" si="3">N67/SUM(K67:M67)</f>
        <v>89.615384615384613</v>
      </c>
      <c r="S67">
        <v>2018</v>
      </c>
    </row>
    <row r="68" spans="1:19" x14ac:dyDescent="0.3">
      <c r="A68">
        <f t="shared" si="2"/>
        <v>108</v>
      </c>
      <c r="B68" t="s">
        <v>91</v>
      </c>
      <c r="C68" t="s">
        <v>92</v>
      </c>
      <c r="D68" t="s">
        <v>29</v>
      </c>
      <c r="E68" t="s">
        <v>83</v>
      </c>
      <c r="F68" t="s">
        <v>92</v>
      </c>
      <c r="G68" t="s">
        <v>93</v>
      </c>
      <c r="H68" t="s">
        <v>94</v>
      </c>
      <c r="I68">
        <v>11</v>
      </c>
      <c r="J68">
        <v>11</v>
      </c>
      <c r="K68">
        <v>3</v>
      </c>
      <c r="L68">
        <v>10</v>
      </c>
      <c r="M68">
        <v>0</v>
      </c>
      <c r="N68">
        <v>1108</v>
      </c>
      <c r="O68">
        <v>1287</v>
      </c>
      <c r="P68" s="34">
        <f t="shared" si="3"/>
        <v>85.230769230769226</v>
      </c>
      <c r="S68">
        <v>2018</v>
      </c>
    </row>
    <row r="69" spans="1:19" x14ac:dyDescent="0.3">
      <c r="A69">
        <f t="shared" si="2"/>
        <v>156</v>
      </c>
      <c r="B69" t="s">
        <v>112</v>
      </c>
      <c r="C69" t="s">
        <v>113</v>
      </c>
      <c r="D69" t="s">
        <v>27</v>
      </c>
      <c r="E69" t="s">
        <v>96</v>
      </c>
      <c r="F69" t="s">
        <v>113</v>
      </c>
      <c r="G69" t="s">
        <v>114</v>
      </c>
      <c r="H69" t="s">
        <v>96</v>
      </c>
      <c r="I69">
        <v>12</v>
      </c>
      <c r="J69">
        <v>12</v>
      </c>
      <c r="K69">
        <v>3</v>
      </c>
      <c r="L69">
        <v>10</v>
      </c>
      <c r="M69">
        <v>0</v>
      </c>
      <c r="N69">
        <v>884</v>
      </c>
      <c r="O69">
        <v>1175</v>
      </c>
      <c r="P69" s="34">
        <f t="shared" si="3"/>
        <v>68</v>
      </c>
      <c r="S69">
        <v>2018</v>
      </c>
    </row>
    <row r="70" spans="1:19" x14ac:dyDescent="0.3">
      <c r="A70">
        <f t="shared" si="2"/>
        <v>99</v>
      </c>
      <c r="B70" t="s">
        <v>100</v>
      </c>
      <c r="C70" t="s">
        <v>101</v>
      </c>
      <c r="D70" t="s">
        <v>23</v>
      </c>
      <c r="E70" t="s">
        <v>83</v>
      </c>
      <c r="F70" t="s">
        <v>101</v>
      </c>
      <c r="G70" t="s">
        <v>102</v>
      </c>
      <c r="H70" t="s">
        <v>103</v>
      </c>
      <c r="I70">
        <v>1</v>
      </c>
      <c r="J70">
        <v>1</v>
      </c>
      <c r="K70">
        <v>9</v>
      </c>
      <c r="L70">
        <v>4</v>
      </c>
      <c r="M70">
        <v>0</v>
      </c>
      <c r="N70">
        <v>1135</v>
      </c>
      <c r="O70">
        <v>1119</v>
      </c>
      <c r="P70" s="34">
        <f t="shared" si="3"/>
        <v>87.307692307692307</v>
      </c>
      <c r="Q70" t="s">
        <v>68</v>
      </c>
      <c r="R70" t="s">
        <v>68</v>
      </c>
      <c r="S70">
        <v>2019</v>
      </c>
    </row>
    <row r="71" spans="1:19" x14ac:dyDescent="0.3">
      <c r="A71">
        <f t="shared" si="2"/>
        <v>85</v>
      </c>
      <c r="B71" t="s">
        <v>116</v>
      </c>
      <c r="C71" t="s">
        <v>118</v>
      </c>
      <c r="D71" t="s">
        <v>30</v>
      </c>
      <c r="E71" t="s">
        <v>117</v>
      </c>
      <c r="F71" t="s">
        <v>118</v>
      </c>
      <c r="G71" t="s">
        <v>219</v>
      </c>
      <c r="H71" t="s">
        <v>212</v>
      </c>
      <c r="I71">
        <v>2</v>
      </c>
      <c r="J71">
        <v>2</v>
      </c>
      <c r="K71">
        <v>7</v>
      </c>
      <c r="L71">
        <v>6</v>
      </c>
      <c r="M71">
        <v>0</v>
      </c>
      <c r="N71">
        <v>1164</v>
      </c>
      <c r="O71">
        <v>1275</v>
      </c>
      <c r="P71" s="34">
        <f t="shared" si="3"/>
        <v>89.538461538461533</v>
      </c>
      <c r="Q71" t="s">
        <v>68</v>
      </c>
      <c r="R71" t="s">
        <v>68</v>
      </c>
      <c r="S71">
        <v>2019</v>
      </c>
    </row>
    <row r="72" spans="1:19" x14ac:dyDescent="0.3">
      <c r="A72">
        <f t="shared" si="2"/>
        <v>47</v>
      </c>
      <c r="B72" t="s">
        <v>95</v>
      </c>
      <c r="C72" t="s">
        <v>97</v>
      </c>
      <c r="D72" t="s">
        <v>22</v>
      </c>
      <c r="E72" t="s">
        <v>96</v>
      </c>
      <c r="F72" t="s">
        <v>97</v>
      </c>
      <c r="G72" t="s">
        <v>98</v>
      </c>
      <c r="H72" t="s">
        <v>99</v>
      </c>
      <c r="I72">
        <v>3</v>
      </c>
      <c r="J72">
        <v>6</v>
      </c>
      <c r="K72">
        <v>8</v>
      </c>
      <c r="L72">
        <v>5</v>
      </c>
      <c r="M72">
        <v>0</v>
      </c>
      <c r="N72">
        <v>1244</v>
      </c>
      <c r="O72">
        <v>1196</v>
      </c>
      <c r="P72" s="34">
        <f t="shared" si="3"/>
        <v>95.692307692307693</v>
      </c>
      <c r="Q72" t="s">
        <v>68</v>
      </c>
      <c r="S72">
        <v>2019</v>
      </c>
    </row>
    <row r="73" spans="1:19" x14ac:dyDescent="0.3">
      <c r="A73">
        <f t="shared" si="2"/>
        <v>78</v>
      </c>
      <c r="B73" t="s">
        <v>112</v>
      </c>
      <c r="C73" t="s">
        <v>113</v>
      </c>
      <c r="D73" t="s">
        <v>27</v>
      </c>
      <c r="E73" t="s">
        <v>96</v>
      </c>
      <c r="F73" t="s">
        <v>113</v>
      </c>
      <c r="G73" t="s">
        <v>114</v>
      </c>
      <c r="H73" t="s">
        <v>115</v>
      </c>
      <c r="I73">
        <v>4</v>
      </c>
      <c r="J73">
        <v>4</v>
      </c>
      <c r="K73">
        <v>8</v>
      </c>
      <c r="L73">
        <v>5</v>
      </c>
      <c r="M73">
        <v>0</v>
      </c>
      <c r="N73">
        <v>1179</v>
      </c>
      <c r="O73">
        <v>1061</v>
      </c>
      <c r="P73" s="34">
        <f t="shared" si="3"/>
        <v>90.692307692307693</v>
      </c>
      <c r="Q73" t="s">
        <v>68</v>
      </c>
      <c r="S73">
        <v>2019</v>
      </c>
    </row>
    <row r="74" spans="1:19" x14ac:dyDescent="0.3">
      <c r="A74">
        <f t="shared" si="2"/>
        <v>87</v>
      </c>
      <c r="B74" t="s">
        <v>104</v>
      </c>
      <c r="C74" t="s">
        <v>105</v>
      </c>
      <c r="D74" t="s">
        <v>25</v>
      </c>
      <c r="E74" t="s">
        <v>83</v>
      </c>
      <c r="F74" t="s">
        <v>105</v>
      </c>
      <c r="G74" t="s">
        <v>216</v>
      </c>
      <c r="H74" t="s">
        <v>106</v>
      </c>
      <c r="I74">
        <v>5</v>
      </c>
      <c r="J74">
        <v>5</v>
      </c>
      <c r="K74">
        <v>7</v>
      </c>
      <c r="L74">
        <v>6</v>
      </c>
      <c r="M74">
        <v>0</v>
      </c>
      <c r="N74">
        <v>1152</v>
      </c>
      <c r="O74">
        <v>1119</v>
      </c>
      <c r="P74" s="34">
        <f t="shared" si="3"/>
        <v>88.615384615384613</v>
      </c>
      <c r="Q74" t="s">
        <v>68</v>
      </c>
      <c r="S74">
        <v>2019</v>
      </c>
    </row>
    <row r="75" spans="1:19" x14ac:dyDescent="0.3">
      <c r="A75">
        <f t="shared" si="2"/>
        <v>43</v>
      </c>
      <c r="B75" t="s">
        <v>91</v>
      </c>
      <c r="C75" t="s">
        <v>92</v>
      </c>
      <c r="D75" t="s">
        <v>29</v>
      </c>
      <c r="E75" t="s">
        <v>83</v>
      </c>
      <c r="F75" t="s">
        <v>92</v>
      </c>
      <c r="G75" t="s">
        <v>93</v>
      </c>
      <c r="H75" t="s">
        <v>94</v>
      </c>
      <c r="I75">
        <v>6</v>
      </c>
      <c r="J75">
        <v>3</v>
      </c>
      <c r="K75">
        <v>6</v>
      </c>
      <c r="L75">
        <v>7</v>
      </c>
      <c r="M75">
        <v>0</v>
      </c>
      <c r="N75">
        <v>1251</v>
      </c>
      <c r="O75">
        <v>1157</v>
      </c>
      <c r="P75" s="34">
        <f t="shared" si="3"/>
        <v>96.230769230769226</v>
      </c>
      <c r="Q75" t="s">
        <v>68</v>
      </c>
      <c r="S75">
        <v>2019</v>
      </c>
    </row>
    <row r="76" spans="1:19" x14ac:dyDescent="0.3">
      <c r="A76">
        <f t="shared" si="2"/>
        <v>75</v>
      </c>
      <c r="B76" t="s">
        <v>87</v>
      </c>
      <c r="C76" t="s">
        <v>88</v>
      </c>
      <c r="D76" t="s">
        <v>24</v>
      </c>
      <c r="E76" t="s">
        <v>83</v>
      </c>
      <c r="F76" t="s">
        <v>88</v>
      </c>
      <c r="G76" t="s">
        <v>89</v>
      </c>
      <c r="H76" t="s">
        <v>90</v>
      </c>
      <c r="I76">
        <v>7</v>
      </c>
      <c r="J76">
        <v>7</v>
      </c>
      <c r="K76">
        <v>6</v>
      </c>
      <c r="L76">
        <v>7</v>
      </c>
      <c r="M76">
        <v>0</v>
      </c>
      <c r="N76">
        <v>1180</v>
      </c>
      <c r="O76">
        <v>1092</v>
      </c>
      <c r="P76" s="34">
        <f t="shared" si="3"/>
        <v>90.769230769230774</v>
      </c>
      <c r="S76">
        <v>2019</v>
      </c>
    </row>
    <row r="77" spans="1:19" x14ac:dyDescent="0.3">
      <c r="A77">
        <f t="shared" si="2"/>
        <v>90</v>
      </c>
      <c r="B77" t="s">
        <v>125</v>
      </c>
      <c r="C77" t="s">
        <v>126</v>
      </c>
      <c r="D77" t="s">
        <v>48</v>
      </c>
      <c r="E77" t="s">
        <v>83</v>
      </c>
      <c r="F77" t="s">
        <v>126</v>
      </c>
      <c r="G77" t="s">
        <v>220</v>
      </c>
      <c r="H77" t="s">
        <v>221</v>
      </c>
      <c r="I77">
        <v>8</v>
      </c>
      <c r="J77">
        <v>8</v>
      </c>
      <c r="K77">
        <v>6</v>
      </c>
      <c r="L77">
        <v>7</v>
      </c>
      <c r="M77">
        <v>0</v>
      </c>
      <c r="N77">
        <v>1151</v>
      </c>
      <c r="O77">
        <v>1239</v>
      </c>
      <c r="P77" s="34">
        <f t="shared" si="3"/>
        <v>88.538461538461533</v>
      </c>
      <c r="S77">
        <v>2019</v>
      </c>
    </row>
    <row r="78" spans="1:19" x14ac:dyDescent="0.3">
      <c r="A78">
        <f t="shared" si="2"/>
        <v>145</v>
      </c>
      <c r="B78" t="s">
        <v>121</v>
      </c>
      <c r="C78" t="s">
        <v>122</v>
      </c>
      <c r="D78" t="s">
        <v>26</v>
      </c>
      <c r="E78" t="s">
        <v>83</v>
      </c>
      <c r="F78" t="s">
        <v>122</v>
      </c>
      <c r="G78" t="s">
        <v>123</v>
      </c>
      <c r="H78" t="s">
        <v>124</v>
      </c>
      <c r="I78">
        <v>9</v>
      </c>
      <c r="J78">
        <v>9</v>
      </c>
      <c r="K78">
        <v>6</v>
      </c>
      <c r="L78">
        <v>7</v>
      </c>
      <c r="M78">
        <v>0</v>
      </c>
      <c r="N78">
        <v>991</v>
      </c>
      <c r="O78">
        <v>1041</v>
      </c>
      <c r="P78" s="34">
        <f t="shared" si="3"/>
        <v>76.230769230769226</v>
      </c>
      <c r="S78">
        <v>2019</v>
      </c>
    </row>
    <row r="79" spans="1:19" x14ac:dyDescent="0.3">
      <c r="A79">
        <f t="shared" si="2"/>
        <v>64</v>
      </c>
      <c r="B79" t="s">
        <v>107</v>
      </c>
      <c r="C79" t="s">
        <v>109</v>
      </c>
      <c r="D79" t="s">
        <v>47</v>
      </c>
      <c r="E79" t="s">
        <v>108</v>
      </c>
      <c r="F79" t="s">
        <v>109</v>
      </c>
      <c r="G79" t="s">
        <v>217</v>
      </c>
      <c r="H79" t="s">
        <v>218</v>
      </c>
      <c r="I79">
        <v>10</v>
      </c>
      <c r="J79">
        <v>10</v>
      </c>
      <c r="K79">
        <v>5</v>
      </c>
      <c r="L79">
        <v>8</v>
      </c>
      <c r="M79">
        <v>0</v>
      </c>
      <c r="N79">
        <v>1205</v>
      </c>
      <c r="O79">
        <v>1171</v>
      </c>
      <c r="P79" s="34">
        <f t="shared" si="3"/>
        <v>92.692307692307693</v>
      </c>
      <c r="S79">
        <v>2019</v>
      </c>
    </row>
    <row r="80" spans="1:19" x14ac:dyDescent="0.3">
      <c r="A80">
        <f t="shared" si="2"/>
        <v>93</v>
      </c>
      <c r="B80" t="s">
        <v>82</v>
      </c>
      <c r="C80" t="s">
        <v>84</v>
      </c>
      <c r="D80" t="s">
        <v>28</v>
      </c>
      <c r="E80" t="s">
        <v>83</v>
      </c>
      <c r="F80" t="s">
        <v>84</v>
      </c>
      <c r="G80" t="s">
        <v>85</v>
      </c>
      <c r="H80" t="s">
        <v>86</v>
      </c>
      <c r="I80">
        <v>11</v>
      </c>
      <c r="J80">
        <v>11</v>
      </c>
      <c r="K80">
        <v>5</v>
      </c>
      <c r="L80">
        <v>8</v>
      </c>
      <c r="M80">
        <v>0</v>
      </c>
      <c r="N80">
        <v>1142</v>
      </c>
      <c r="O80">
        <v>1158</v>
      </c>
      <c r="P80" s="34">
        <f t="shared" si="3"/>
        <v>87.84615384615384</v>
      </c>
      <c r="S80">
        <v>2019</v>
      </c>
    </row>
    <row r="81" spans="1:19" x14ac:dyDescent="0.3">
      <c r="A81">
        <f t="shared" si="2"/>
        <v>134</v>
      </c>
      <c r="B81" t="s">
        <v>129</v>
      </c>
      <c r="C81" t="s">
        <v>130</v>
      </c>
      <c r="D81" t="s">
        <v>43</v>
      </c>
      <c r="E81" t="s">
        <v>117</v>
      </c>
      <c r="F81" t="s">
        <v>130</v>
      </c>
      <c r="G81" t="s">
        <v>131</v>
      </c>
      <c r="H81" t="s">
        <v>132</v>
      </c>
      <c r="I81">
        <v>12</v>
      </c>
      <c r="J81">
        <v>12</v>
      </c>
      <c r="K81">
        <v>5</v>
      </c>
      <c r="L81">
        <v>8</v>
      </c>
      <c r="M81">
        <v>0</v>
      </c>
      <c r="N81">
        <v>1043</v>
      </c>
      <c r="O81">
        <v>1209</v>
      </c>
      <c r="P81" s="34">
        <f t="shared" si="3"/>
        <v>80.230769230769226</v>
      </c>
      <c r="S81">
        <v>2019</v>
      </c>
    </row>
    <row r="82" spans="1:19" x14ac:dyDescent="0.3">
      <c r="A82">
        <f t="shared" si="2"/>
        <v>125</v>
      </c>
      <c r="B82" t="s">
        <v>121</v>
      </c>
      <c r="C82" t="s">
        <v>122</v>
      </c>
      <c r="D82" t="s">
        <v>26</v>
      </c>
      <c r="E82" t="s">
        <v>83</v>
      </c>
      <c r="F82" t="s">
        <v>122</v>
      </c>
      <c r="G82" t="s">
        <v>123</v>
      </c>
      <c r="H82" t="s">
        <v>124</v>
      </c>
      <c r="I82">
        <v>1</v>
      </c>
      <c r="J82">
        <v>4</v>
      </c>
      <c r="K82">
        <v>11</v>
      </c>
      <c r="L82">
        <v>2</v>
      </c>
      <c r="M82">
        <v>0</v>
      </c>
      <c r="N82">
        <v>1075</v>
      </c>
      <c r="O82">
        <v>966</v>
      </c>
      <c r="P82" s="34">
        <f t="shared" si="3"/>
        <v>82.692307692307693</v>
      </c>
      <c r="Q82" t="s">
        <v>68</v>
      </c>
      <c r="R82" t="s">
        <v>68</v>
      </c>
      <c r="S82">
        <v>2020</v>
      </c>
    </row>
    <row r="83" spans="1:19" x14ac:dyDescent="0.3">
      <c r="A83">
        <f t="shared" si="2"/>
        <v>17</v>
      </c>
      <c r="B83" t="s">
        <v>125</v>
      </c>
      <c r="C83" t="s">
        <v>126</v>
      </c>
      <c r="D83" t="s">
        <v>48</v>
      </c>
      <c r="E83" t="s">
        <v>83</v>
      </c>
      <c r="F83" t="s">
        <v>126</v>
      </c>
      <c r="G83" t="s">
        <v>127</v>
      </c>
      <c r="H83" t="s">
        <v>128</v>
      </c>
      <c r="I83">
        <v>2</v>
      </c>
      <c r="J83">
        <v>3</v>
      </c>
      <c r="K83">
        <v>9</v>
      </c>
      <c r="L83">
        <v>4</v>
      </c>
      <c r="M83">
        <v>0</v>
      </c>
      <c r="N83" s="35">
        <v>1408</v>
      </c>
      <c r="O83">
        <v>1077</v>
      </c>
      <c r="P83" s="34">
        <f t="shared" si="3"/>
        <v>108.30769230769231</v>
      </c>
      <c r="Q83" t="s">
        <v>68</v>
      </c>
      <c r="R83" t="s">
        <v>68</v>
      </c>
      <c r="S83">
        <v>2020</v>
      </c>
    </row>
    <row r="84" spans="1:19" x14ac:dyDescent="0.3">
      <c r="A84">
        <f t="shared" si="2"/>
        <v>92</v>
      </c>
      <c r="B84" t="s">
        <v>107</v>
      </c>
      <c r="C84" t="s">
        <v>109</v>
      </c>
      <c r="D84" t="s">
        <v>47</v>
      </c>
      <c r="E84" t="s">
        <v>108</v>
      </c>
      <c r="F84" t="s">
        <v>109</v>
      </c>
      <c r="G84" t="s">
        <v>110</v>
      </c>
      <c r="H84" t="s">
        <v>111</v>
      </c>
      <c r="I84">
        <v>3</v>
      </c>
      <c r="J84">
        <v>5</v>
      </c>
      <c r="K84">
        <v>9</v>
      </c>
      <c r="L84">
        <v>4</v>
      </c>
      <c r="M84">
        <v>0</v>
      </c>
      <c r="N84">
        <v>1144</v>
      </c>
      <c r="O84">
        <v>1075</v>
      </c>
      <c r="P84" s="34">
        <f t="shared" si="3"/>
        <v>88</v>
      </c>
      <c r="Q84" t="s">
        <v>68</v>
      </c>
      <c r="S84">
        <v>2020</v>
      </c>
    </row>
    <row r="85" spans="1:19" x14ac:dyDescent="0.3">
      <c r="A85">
        <f t="shared" si="2"/>
        <v>19</v>
      </c>
      <c r="B85" t="s">
        <v>82</v>
      </c>
      <c r="C85" t="s">
        <v>84</v>
      </c>
      <c r="D85" t="s">
        <v>28</v>
      </c>
      <c r="E85" t="s">
        <v>83</v>
      </c>
      <c r="F85" t="s">
        <v>84</v>
      </c>
      <c r="G85" t="s">
        <v>85</v>
      </c>
      <c r="H85" t="s">
        <v>86</v>
      </c>
      <c r="I85">
        <v>4</v>
      </c>
      <c r="J85">
        <v>2</v>
      </c>
      <c r="K85">
        <v>8</v>
      </c>
      <c r="L85">
        <v>5</v>
      </c>
      <c r="M85">
        <v>0</v>
      </c>
      <c r="N85">
        <v>1392</v>
      </c>
      <c r="O85">
        <v>1215</v>
      </c>
      <c r="P85" s="34">
        <f t="shared" si="3"/>
        <v>107.07692307692308</v>
      </c>
      <c r="Q85" t="s">
        <v>68</v>
      </c>
      <c r="S85">
        <v>2020</v>
      </c>
    </row>
    <row r="86" spans="1:19" x14ac:dyDescent="0.3">
      <c r="A86">
        <f t="shared" si="2"/>
        <v>49</v>
      </c>
      <c r="B86" t="s">
        <v>100</v>
      </c>
      <c r="C86" t="s">
        <v>101</v>
      </c>
      <c r="D86" t="s">
        <v>23</v>
      </c>
      <c r="E86" t="s">
        <v>83</v>
      </c>
      <c r="F86" t="s">
        <v>101</v>
      </c>
      <c r="G86" t="s">
        <v>102</v>
      </c>
      <c r="H86" t="s">
        <v>103</v>
      </c>
      <c r="I86">
        <v>5</v>
      </c>
      <c r="J86">
        <v>6</v>
      </c>
      <c r="K86">
        <v>8</v>
      </c>
      <c r="L86">
        <v>5</v>
      </c>
      <c r="M86">
        <v>0</v>
      </c>
      <c r="N86">
        <v>1239</v>
      </c>
      <c r="O86">
        <v>1182</v>
      </c>
      <c r="P86" s="34">
        <f t="shared" si="3"/>
        <v>95.307692307692307</v>
      </c>
      <c r="Q86" t="s">
        <v>68</v>
      </c>
      <c r="S86">
        <v>2020</v>
      </c>
    </row>
    <row r="87" spans="1:19" x14ac:dyDescent="0.3">
      <c r="A87">
        <f t="shared" si="2"/>
        <v>62</v>
      </c>
      <c r="B87" t="s">
        <v>87</v>
      </c>
      <c r="C87" t="s">
        <v>88</v>
      </c>
      <c r="D87" t="s">
        <v>24</v>
      </c>
      <c r="E87" t="s">
        <v>83</v>
      </c>
      <c r="F87" t="s">
        <v>88</v>
      </c>
      <c r="G87" t="s">
        <v>89</v>
      </c>
      <c r="H87" t="s">
        <v>90</v>
      </c>
      <c r="I87">
        <v>6</v>
      </c>
      <c r="J87">
        <v>1</v>
      </c>
      <c r="K87">
        <v>7</v>
      </c>
      <c r="L87">
        <v>6</v>
      </c>
      <c r="M87">
        <v>0</v>
      </c>
      <c r="N87">
        <v>1218</v>
      </c>
      <c r="O87">
        <v>1054</v>
      </c>
      <c r="P87" s="34">
        <f t="shared" si="3"/>
        <v>93.692307692307693</v>
      </c>
      <c r="Q87" t="s">
        <v>68</v>
      </c>
      <c r="S87">
        <v>2020</v>
      </c>
    </row>
    <row r="88" spans="1:19" x14ac:dyDescent="0.3">
      <c r="A88">
        <f t="shared" si="2"/>
        <v>70</v>
      </c>
      <c r="B88" t="s">
        <v>129</v>
      </c>
      <c r="C88" t="s">
        <v>130</v>
      </c>
      <c r="D88" t="s">
        <v>43</v>
      </c>
      <c r="E88" t="s">
        <v>117</v>
      </c>
      <c r="F88" t="s">
        <v>130</v>
      </c>
      <c r="G88" t="s">
        <v>131</v>
      </c>
      <c r="H88" t="s">
        <v>132</v>
      </c>
      <c r="I88">
        <v>7</v>
      </c>
      <c r="J88">
        <v>7</v>
      </c>
      <c r="K88">
        <v>6</v>
      </c>
      <c r="L88">
        <v>7</v>
      </c>
      <c r="M88">
        <v>0</v>
      </c>
      <c r="N88">
        <v>1186</v>
      </c>
      <c r="O88">
        <v>1175</v>
      </c>
      <c r="P88" s="34">
        <f t="shared" si="3"/>
        <v>91.230769230769226</v>
      </c>
      <c r="S88">
        <v>2020</v>
      </c>
    </row>
    <row r="89" spans="1:19" x14ac:dyDescent="0.3">
      <c r="A89">
        <f t="shared" si="2"/>
        <v>106</v>
      </c>
      <c r="B89" t="s">
        <v>116</v>
      </c>
      <c r="C89" t="s">
        <v>118</v>
      </c>
      <c r="D89" t="s">
        <v>30</v>
      </c>
      <c r="E89" t="s">
        <v>117</v>
      </c>
      <c r="F89" t="s">
        <v>118</v>
      </c>
      <c r="G89" t="s">
        <v>119</v>
      </c>
      <c r="H89" t="s">
        <v>120</v>
      </c>
      <c r="I89">
        <v>8</v>
      </c>
      <c r="J89">
        <v>8</v>
      </c>
      <c r="K89">
        <v>5</v>
      </c>
      <c r="L89">
        <v>8</v>
      </c>
      <c r="M89">
        <v>0</v>
      </c>
      <c r="N89">
        <v>1110</v>
      </c>
      <c r="O89">
        <v>1167</v>
      </c>
      <c r="P89" s="34">
        <f t="shared" si="3"/>
        <v>85.384615384615387</v>
      </c>
      <c r="S89">
        <v>2020</v>
      </c>
    </row>
    <row r="90" spans="1:19" x14ac:dyDescent="0.3">
      <c r="A90">
        <f t="shared" si="2"/>
        <v>137</v>
      </c>
      <c r="B90" t="s">
        <v>104</v>
      </c>
      <c r="C90" t="s">
        <v>105</v>
      </c>
      <c r="D90" t="s">
        <v>25</v>
      </c>
      <c r="E90" t="s">
        <v>83</v>
      </c>
      <c r="F90" t="s">
        <v>105</v>
      </c>
      <c r="G90" t="s">
        <v>105</v>
      </c>
      <c r="H90" t="s">
        <v>106</v>
      </c>
      <c r="I90">
        <v>9</v>
      </c>
      <c r="J90">
        <v>9</v>
      </c>
      <c r="K90">
        <v>4</v>
      </c>
      <c r="L90">
        <v>9</v>
      </c>
      <c r="M90">
        <v>0</v>
      </c>
      <c r="N90">
        <v>1033</v>
      </c>
      <c r="O90">
        <v>1106</v>
      </c>
      <c r="P90" s="34">
        <f t="shared" si="3"/>
        <v>79.461538461538467</v>
      </c>
      <c r="S90">
        <v>2020</v>
      </c>
    </row>
    <row r="91" spans="1:19" x14ac:dyDescent="0.3">
      <c r="A91">
        <f t="shared" si="2"/>
        <v>150</v>
      </c>
      <c r="B91" t="s">
        <v>91</v>
      </c>
      <c r="C91" t="s">
        <v>92</v>
      </c>
      <c r="D91" t="s">
        <v>29</v>
      </c>
      <c r="E91" t="s">
        <v>83</v>
      </c>
      <c r="F91" t="s">
        <v>92</v>
      </c>
      <c r="G91" t="s">
        <v>93</v>
      </c>
      <c r="H91" t="s">
        <v>94</v>
      </c>
      <c r="I91">
        <v>10</v>
      </c>
      <c r="J91">
        <v>10</v>
      </c>
      <c r="K91">
        <v>4</v>
      </c>
      <c r="L91">
        <v>9</v>
      </c>
      <c r="M91">
        <v>0</v>
      </c>
      <c r="N91">
        <v>974</v>
      </c>
      <c r="O91">
        <v>1134</v>
      </c>
      <c r="P91" s="34">
        <f t="shared" si="3"/>
        <v>74.92307692307692</v>
      </c>
      <c r="S91">
        <v>2020</v>
      </c>
    </row>
    <row r="92" spans="1:19" x14ac:dyDescent="0.3">
      <c r="A92">
        <f t="shared" si="2"/>
        <v>152</v>
      </c>
      <c r="B92" t="s">
        <v>112</v>
      </c>
      <c r="C92" t="s">
        <v>113</v>
      </c>
      <c r="D92" t="s">
        <v>27</v>
      </c>
      <c r="E92" t="s">
        <v>96</v>
      </c>
      <c r="F92" t="s">
        <v>113</v>
      </c>
      <c r="G92" t="s">
        <v>114</v>
      </c>
      <c r="H92" t="s">
        <v>115</v>
      </c>
      <c r="I92">
        <v>11</v>
      </c>
      <c r="J92">
        <v>11</v>
      </c>
      <c r="K92">
        <v>4</v>
      </c>
      <c r="L92">
        <v>9</v>
      </c>
      <c r="M92">
        <v>0</v>
      </c>
      <c r="N92">
        <v>959</v>
      </c>
      <c r="O92">
        <v>1311</v>
      </c>
      <c r="P92" s="34">
        <f t="shared" si="3"/>
        <v>73.769230769230774</v>
      </c>
      <c r="S92">
        <v>2020</v>
      </c>
    </row>
    <row r="93" spans="1:19" x14ac:dyDescent="0.3">
      <c r="A93">
        <f t="shared" si="2"/>
        <v>119</v>
      </c>
      <c r="B93" t="s">
        <v>95</v>
      </c>
      <c r="C93" t="s">
        <v>97</v>
      </c>
      <c r="D93" t="s">
        <v>22</v>
      </c>
      <c r="E93" t="s">
        <v>96</v>
      </c>
      <c r="F93" t="s">
        <v>97</v>
      </c>
      <c r="G93" t="s">
        <v>98</v>
      </c>
      <c r="H93" t="s">
        <v>99</v>
      </c>
      <c r="I93">
        <v>12</v>
      </c>
      <c r="J93">
        <v>12</v>
      </c>
      <c r="K93">
        <v>3</v>
      </c>
      <c r="L93">
        <v>10</v>
      </c>
      <c r="M93">
        <v>0</v>
      </c>
      <c r="N93">
        <v>1084</v>
      </c>
      <c r="O93">
        <v>1360</v>
      </c>
      <c r="P93" s="34">
        <f t="shared" si="3"/>
        <v>83.384615384615387</v>
      </c>
      <c r="S93">
        <v>2020</v>
      </c>
    </row>
    <row r="94" spans="1:19" x14ac:dyDescent="0.3">
      <c r="A94">
        <f t="shared" si="2"/>
        <v>34</v>
      </c>
      <c r="B94" t="s">
        <v>104</v>
      </c>
      <c r="C94" t="s">
        <v>224</v>
      </c>
      <c r="D94" t="s">
        <v>25</v>
      </c>
      <c r="E94" t="s">
        <v>83</v>
      </c>
      <c r="F94" t="s">
        <v>224</v>
      </c>
      <c r="G94" t="s">
        <v>105</v>
      </c>
      <c r="H94" t="s">
        <v>106</v>
      </c>
      <c r="I94">
        <v>1</v>
      </c>
      <c r="J94">
        <v>1</v>
      </c>
      <c r="K94">
        <v>11</v>
      </c>
      <c r="L94">
        <v>3</v>
      </c>
      <c r="M94">
        <v>0</v>
      </c>
      <c r="N94">
        <v>1388</v>
      </c>
      <c r="O94">
        <v>1242</v>
      </c>
      <c r="P94" s="34">
        <f t="shared" si="3"/>
        <v>99.142857142857139</v>
      </c>
      <c r="Q94" t="s">
        <v>68</v>
      </c>
      <c r="R94" t="s">
        <v>68</v>
      </c>
      <c r="S94">
        <v>2021</v>
      </c>
    </row>
    <row r="95" spans="1:19" x14ac:dyDescent="0.3">
      <c r="A95">
        <f t="shared" si="2"/>
        <v>50</v>
      </c>
      <c r="B95" t="s">
        <v>121</v>
      </c>
      <c r="C95" t="s">
        <v>122</v>
      </c>
      <c r="D95" t="s">
        <v>26</v>
      </c>
      <c r="E95" t="s">
        <v>83</v>
      </c>
      <c r="F95" t="s">
        <v>122</v>
      </c>
      <c r="G95" t="s">
        <v>123</v>
      </c>
      <c r="H95" t="s">
        <v>124</v>
      </c>
      <c r="I95">
        <v>2</v>
      </c>
      <c r="J95">
        <v>5</v>
      </c>
      <c r="K95">
        <v>10</v>
      </c>
      <c r="L95">
        <v>4</v>
      </c>
      <c r="M95">
        <v>0</v>
      </c>
      <c r="N95">
        <v>1334</v>
      </c>
      <c r="O95">
        <v>1276</v>
      </c>
      <c r="P95" s="34">
        <f t="shared" si="3"/>
        <v>95.285714285714292</v>
      </c>
      <c r="Q95" t="s">
        <v>68</v>
      </c>
      <c r="R95" t="s">
        <v>68</v>
      </c>
      <c r="S95">
        <v>2021</v>
      </c>
    </row>
    <row r="96" spans="1:19" x14ac:dyDescent="0.3">
      <c r="A96">
        <f t="shared" si="2"/>
        <v>40</v>
      </c>
      <c r="B96" t="s">
        <v>100</v>
      </c>
      <c r="C96" t="s">
        <v>101</v>
      </c>
      <c r="D96" t="s">
        <v>23</v>
      </c>
      <c r="E96" t="s">
        <v>83</v>
      </c>
      <c r="F96" t="s">
        <v>101</v>
      </c>
      <c r="G96" t="s">
        <v>102</v>
      </c>
      <c r="H96" t="s">
        <v>103</v>
      </c>
      <c r="I96">
        <v>3</v>
      </c>
      <c r="J96">
        <v>7</v>
      </c>
      <c r="K96">
        <v>9</v>
      </c>
      <c r="L96">
        <v>5</v>
      </c>
      <c r="M96">
        <v>0</v>
      </c>
      <c r="N96">
        <v>1363</v>
      </c>
      <c r="O96">
        <v>1101</v>
      </c>
      <c r="P96" s="34">
        <f t="shared" si="3"/>
        <v>97.357142857142861</v>
      </c>
      <c r="Q96" t="s">
        <v>68</v>
      </c>
      <c r="S96">
        <v>2021</v>
      </c>
    </row>
    <row r="97" spans="1:19" x14ac:dyDescent="0.3">
      <c r="A97">
        <f t="shared" si="2"/>
        <v>29</v>
      </c>
      <c r="B97" t="s">
        <v>125</v>
      </c>
      <c r="C97" t="s">
        <v>126</v>
      </c>
      <c r="D97" t="s">
        <v>48</v>
      </c>
      <c r="E97" t="s">
        <v>83</v>
      </c>
      <c r="F97" t="s">
        <v>126</v>
      </c>
      <c r="G97" t="s">
        <v>127</v>
      </c>
      <c r="H97" t="s">
        <v>128</v>
      </c>
      <c r="I97">
        <v>4</v>
      </c>
      <c r="J97">
        <v>4</v>
      </c>
      <c r="K97">
        <v>8</v>
      </c>
      <c r="L97">
        <v>6</v>
      </c>
      <c r="M97">
        <v>0</v>
      </c>
      <c r="N97" s="35">
        <v>1427</v>
      </c>
      <c r="O97">
        <v>1304</v>
      </c>
      <c r="P97" s="34">
        <f t="shared" si="3"/>
        <v>101.92857142857143</v>
      </c>
      <c r="Q97" t="s">
        <v>68</v>
      </c>
      <c r="S97">
        <v>2021</v>
      </c>
    </row>
    <row r="98" spans="1:19" x14ac:dyDescent="0.3">
      <c r="A98">
        <f t="shared" si="2"/>
        <v>122</v>
      </c>
      <c r="B98" t="s">
        <v>107</v>
      </c>
      <c r="C98" t="s">
        <v>109</v>
      </c>
      <c r="D98" t="s">
        <v>47</v>
      </c>
      <c r="E98" t="s">
        <v>108</v>
      </c>
      <c r="F98" t="s">
        <v>109</v>
      </c>
      <c r="G98" t="s">
        <v>110</v>
      </c>
      <c r="H98" t="s">
        <v>111</v>
      </c>
      <c r="I98">
        <v>5</v>
      </c>
      <c r="J98">
        <v>6</v>
      </c>
      <c r="K98">
        <v>8</v>
      </c>
      <c r="L98">
        <v>6</v>
      </c>
      <c r="M98">
        <v>0</v>
      </c>
      <c r="N98">
        <v>1163</v>
      </c>
      <c r="O98">
        <v>1171</v>
      </c>
      <c r="P98" s="34">
        <f t="shared" si="3"/>
        <v>83.071428571428569</v>
      </c>
      <c r="Q98" t="s">
        <v>68</v>
      </c>
      <c r="S98">
        <v>2021</v>
      </c>
    </row>
    <row r="99" spans="1:19" x14ac:dyDescent="0.3">
      <c r="A99">
        <f t="shared" si="2"/>
        <v>86</v>
      </c>
      <c r="B99" t="s">
        <v>91</v>
      </c>
      <c r="C99" t="s">
        <v>92</v>
      </c>
      <c r="D99" t="s">
        <v>29</v>
      </c>
      <c r="E99" t="s">
        <v>83</v>
      </c>
      <c r="F99" t="s">
        <v>92</v>
      </c>
      <c r="G99" t="s">
        <v>93</v>
      </c>
      <c r="H99" t="s">
        <v>94</v>
      </c>
      <c r="I99">
        <v>6</v>
      </c>
      <c r="J99">
        <v>3</v>
      </c>
      <c r="K99">
        <v>7</v>
      </c>
      <c r="L99">
        <v>7</v>
      </c>
      <c r="M99">
        <v>0</v>
      </c>
      <c r="N99">
        <v>1251</v>
      </c>
      <c r="O99">
        <v>1144</v>
      </c>
      <c r="P99" s="34">
        <f t="shared" si="3"/>
        <v>89.357142857142861</v>
      </c>
      <c r="Q99" t="s">
        <v>68</v>
      </c>
      <c r="S99">
        <v>2021</v>
      </c>
    </row>
    <row r="100" spans="1:19" x14ac:dyDescent="0.3">
      <c r="A100">
        <f t="shared" si="2"/>
        <v>109</v>
      </c>
      <c r="B100" t="s">
        <v>116</v>
      </c>
      <c r="C100" t="s">
        <v>118</v>
      </c>
      <c r="D100" t="s">
        <v>30</v>
      </c>
      <c r="E100" t="s">
        <v>117</v>
      </c>
      <c r="F100" t="s">
        <v>118</v>
      </c>
      <c r="G100" t="s">
        <v>229</v>
      </c>
      <c r="H100" t="s">
        <v>212</v>
      </c>
      <c r="I100">
        <v>7</v>
      </c>
      <c r="J100">
        <v>2</v>
      </c>
      <c r="K100">
        <v>7</v>
      </c>
      <c r="L100">
        <v>7</v>
      </c>
      <c r="M100">
        <v>0</v>
      </c>
      <c r="N100">
        <v>1191</v>
      </c>
      <c r="O100">
        <v>1249</v>
      </c>
      <c r="P100" s="34">
        <f t="shared" si="3"/>
        <v>85.071428571428569</v>
      </c>
      <c r="Q100" t="s">
        <v>68</v>
      </c>
      <c r="S100">
        <v>2021</v>
      </c>
    </row>
    <row r="101" spans="1:19" x14ac:dyDescent="0.3">
      <c r="A101">
        <f t="shared" si="2"/>
        <v>80</v>
      </c>
      <c r="B101" t="s">
        <v>82</v>
      </c>
      <c r="C101" t="s">
        <v>84</v>
      </c>
      <c r="D101" t="s">
        <v>28</v>
      </c>
      <c r="E101" t="s">
        <v>83</v>
      </c>
      <c r="F101" t="s">
        <v>84</v>
      </c>
      <c r="G101" t="s">
        <v>85</v>
      </c>
      <c r="H101" t="s">
        <v>86</v>
      </c>
      <c r="I101">
        <v>8</v>
      </c>
      <c r="J101">
        <v>8</v>
      </c>
      <c r="K101">
        <v>6</v>
      </c>
      <c r="L101">
        <v>8</v>
      </c>
      <c r="M101">
        <v>0</v>
      </c>
      <c r="N101">
        <v>1268</v>
      </c>
      <c r="O101">
        <v>1218</v>
      </c>
      <c r="P101" s="34">
        <f t="shared" si="3"/>
        <v>90.571428571428569</v>
      </c>
      <c r="S101">
        <v>2021</v>
      </c>
    </row>
    <row r="102" spans="1:19" x14ac:dyDescent="0.3">
      <c r="A102">
        <f t="shared" si="2"/>
        <v>118</v>
      </c>
      <c r="B102" t="s">
        <v>225</v>
      </c>
      <c r="C102" t="s">
        <v>226</v>
      </c>
      <c r="D102" t="s">
        <v>227</v>
      </c>
      <c r="E102" t="s">
        <v>228</v>
      </c>
      <c r="F102" t="s">
        <v>226</v>
      </c>
      <c r="G102" t="s">
        <v>114</v>
      </c>
      <c r="H102" t="s">
        <v>228</v>
      </c>
      <c r="I102">
        <v>9</v>
      </c>
      <c r="J102">
        <v>9</v>
      </c>
      <c r="K102">
        <v>6</v>
      </c>
      <c r="L102">
        <v>8</v>
      </c>
      <c r="M102">
        <v>0</v>
      </c>
      <c r="N102">
        <v>1174</v>
      </c>
      <c r="O102">
        <v>1306</v>
      </c>
      <c r="P102" s="34">
        <f t="shared" si="3"/>
        <v>83.857142857142861</v>
      </c>
      <c r="S102">
        <v>2021</v>
      </c>
    </row>
    <row r="103" spans="1:19" x14ac:dyDescent="0.3">
      <c r="A103">
        <f t="shared" si="2"/>
        <v>94</v>
      </c>
      <c r="B103" t="s">
        <v>87</v>
      </c>
      <c r="C103" t="s">
        <v>88</v>
      </c>
      <c r="D103" t="s">
        <v>24</v>
      </c>
      <c r="E103" t="s">
        <v>83</v>
      </c>
      <c r="F103" t="s">
        <v>88</v>
      </c>
      <c r="G103" t="s">
        <v>89</v>
      </c>
      <c r="H103" t="s">
        <v>90</v>
      </c>
      <c r="I103">
        <v>10</v>
      </c>
      <c r="J103">
        <v>10</v>
      </c>
      <c r="K103">
        <v>5</v>
      </c>
      <c r="L103">
        <v>9</v>
      </c>
      <c r="M103">
        <v>0</v>
      </c>
      <c r="N103">
        <v>1228</v>
      </c>
      <c r="O103">
        <v>1271</v>
      </c>
      <c r="P103" s="34">
        <f t="shared" si="3"/>
        <v>87.714285714285708</v>
      </c>
      <c r="S103">
        <v>2021</v>
      </c>
    </row>
    <row r="104" spans="1:19" x14ac:dyDescent="0.3">
      <c r="A104">
        <f t="shared" si="2"/>
        <v>143</v>
      </c>
      <c r="B104" t="s">
        <v>129</v>
      </c>
      <c r="C104" t="s">
        <v>130</v>
      </c>
      <c r="D104" t="s">
        <v>43</v>
      </c>
      <c r="E104" t="s">
        <v>117</v>
      </c>
      <c r="F104" t="s">
        <v>130</v>
      </c>
      <c r="G104" t="s">
        <v>230</v>
      </c>
      <c r="H104" t="s">
        <v>231</v>
      </c>
      <c r="I104">
        <v>11</v>
      </c>
      <c r="J104">
        <v>11</v>
      </c>
      <c r="K104">
        <v>4</v>
      </c>
      <c r="L104">
        <v>10</v>
      </c>
      <c r="M104">
        <v>0</v>
      </c>
      <c r="N104">
        <v>1081</v>
      </c>
      <c r="O104">
        <v>1304</v>
      </c>
      <c r="P104" s="34">
        <f t="shared" si="3"/>
        <v>77.214285714285708</v>
      </c>
      <c r="S104">
        <v>2021</v>
      </c>
    </row>
    <row r="105" spans="1:19" x14ac:dyDescent="0.3">
      <c r="A105">
        <f t="shared" si="2"/>
        <v>136</v>
      </c>
      <c r="B105" t="s">
        <v>95</v>
      </c>
      <c r="C105" t="s">
        <v>97</v>
      </c>
      <c r="D105" t="s">
        <v>22</v>
      </c>
      <c r="E105" t="s">
        <v>96</v>
      </c>
      <c r="F105" t="s">
        <v>97</v>
      </c>
      <c r="G105" t="s">
        <v>222</v>
      </c>
      <c r="H105" t="s">
        <v>223</v>
      </c>
      <c r="I105">
        <v>12</v>
      </c>
      <c r="J105">
        <v>12</v>
      </c>
      <c r="K105">
        <v>3</v>
      </c>
      <c r="L105">
        <v>11</v>
      </c>
      <c r="M105">
        <v>0</v>
      </c>
      <c r="N105">
        <v>1120</v>
      </c>
      <c r="O105">
        <v>1402</v>
      </c>
      <c r="P105" s="34">
        <f t="shared" si="3"/>
        <v>80</v>
      </c>
      <c r="S105">
        <v>2021</v>
      </c>
    </row>
    <row r="106" spans="1:19" x14ac:dyDescent="0.3">
      <c r="A106">
        <f t="shared" si="2"/>
        <v>39</v>
      </c>
      <c r="B106" t="s">
        <v>107</v>
      </c>
      <c r="C106" t="s">
        <v>109</v>
      </c>
      <c r="D106" t="s">
        <v>47</v>
      </c>
      <c r="E106" t="s">
        <v>108</v>
      </c>
      <c r="F106" t="s">
        <v>109</v>
      </c>
      <c r="G106" t="s">
        <v>110</v>
      </c>
      <c r="H106" t="s">
        <v>111</v>
      </c>
      <c r="I106">
        <v>1</v>
      </c>
      <c r="J106">
        <v>2</v>
      </c>
      <c r="K106">
        <v>11</v>
      </c>
      <c r="L106">
        <v>3</v>
      </c>
      <c r="M106">
        <v>0</v>
      </c>
      <c r="N106">
        <v>1368</v>
      </c>
      <c r="O106">
        <v>1057</v>
      </c>
      <c r="P106" s="34">
        <f t="shared" si="3"/>
        <v>97.714285714285708</v>
      </c>
      <c r="Q106" t="s">
        <v>68</v>
      </c>
      <c r="R106" t="s">
        <v>68</v>
      </c>
      <c r="S106">
        <v>2022</v>
      </c>
    </row>
    <row r="107" spans="1:19" x14ac:dyDescent="0.3">
      <c r="A107">
        <f t="shared" si="2"/>
        <v>81</v>
      </c>
      <c r="B107" t="s">
        <v>95</v>
      </c>
      <c r="C107" t="s">
        <v>97</v>
      </c>
      <c r="D107" t="s">
        <v>22</v>
      </c>
      <c r="E107" t="s">
        <v>96</v>
      </c>
      <c r="F107" t="s">
        <v>97</v>
      </c>
      <c r="G107" t="s">
        <v>222</v>
      </c>
      <c r="H107" t="s">
        <v>223</v>
      </c>
      <c r="I107">
        <v>2</v>
      </c>
      <c r="J107">
        <v>1</v>
      </c>
      <c r="K107">
        <v>8</v>
      </c>
      <c r="L107">
        <v>6</v>
      </c>
      <c r="M107">
        <v>0</v>
      </c>
      <c r="N107">
        <v>1264</v>
      </c>
      <c r="O107">
        <v>1184</v>
      </c>
      <c r="P107" s="34">
        <f t="shared" si="3"/>
        <v>90.285714285714292</v>
      </c>
      <c r="Q107" t="s">
        <v>68</v>
      </c>
      <c r="R107" t="s">
        <v>68</v>
      </c>
      <c r="S107">
        <v>2022</v>
      </c>
    </row>
    <row r="108" spans="1:19" x14ac:dyDescent="0.3">
      <c r="A108">
        <f t="shared" si="2"/>
        <v>36</v>
      </c>
      <c r="B108" t="s">
        <v>121</v>
      </c>
      <c r="C108" t="s">
        <v>122</v>
      </c>
      <c r="D108" t="s">
        <v>26</v>
      </c>
      <c r="E108" t="s">
        <v>83</v>
      </c>
      <c r="F108" t="s">
        <v>122</v>
      </c>
      <c r="G108" t="s">
        <v>123</v>
      </c>
      <c r="H108" t="s">
        <v>124</v>
      </c>
      <c r="I108">
        <v>3</v>
      </c>
      <c r="J108">
        <v>7</v>
      </c>
      <c r="K108">
        <v>8</v>
      </c>
      <c r="L108">
        <v>6</v>
      </c>
      <c r="M108">
        <v>0</v>
      </c>
      <c r="N108">
        <v>1378</v>
      </c>
      <c r="O108">
        <v>1176</v>
      </c>
      <c r="P108" s="34">
        <f t="shared" si="3"/>
        <v>98.428571428571431</v>
      </c>
      <c r="Q108" t="s">
        <v>68</v>
      </c>
      <c r="S108">
        <v>2022</v>
      </c>
    </row>
    <row r="109" spans="1:19" x14ac:dyDescent="0.3">
      <c r="A109">
        <f t="shared" si="2"/>
        <v>105</v>
      </c>
      <c r="B109" t="s">
        <v>87</v>
      </c>
      <c r="C109" t="s">
        <v>88</v>
      </c>
      <c r="D109" t="s">
        <v>24</v>
      </c>
      <c r="E109" t="s">
        <v>83</v>
      </c>
      <c r="F109" t="s">
        <v>88</v>
      </c>
      <c r="G109" t="s">
        <v>89</v>
      </c>
      <c r="H109" t="s">
        <v>90</v>
      </c>
      <c r="I109">
        <v>4</v>
      </c>
      <c r="J109">
        <v>6</v>
      </c>
      <c r="K109">
        <v>8</v>
      </c>
      <c r="L109">
        <v>6</v>
      </c>
      <c r="M109">
        <v>0</v>
      </c>
      <c r="N109">
        <v>1201</v>
      </c>
      <c r="O109">
        <v>1118</v>
      </c>
      <c r="P109" s="34">
        <f t="shared" si="3"/>
        <v>85.785714285714292</v>
      </c>
      <c r="Q109" t="s">
        <v>68</v>
      </c>
      <c r="S109">
        <v>2022</v>
      </c>
    </row>
    <row r="110" spans="1:19" x14ac:dyDescent="0.3">
      <c r="A110">
        <f t="shared" si="2"/>
        <v>77</v>
      </c>
      <c r="B110" t="s">
        <v>100</v>
      </c>
      <c r="C110" t="s">
        <v>101</v>
      </c>
      <c r="D110" t="s">
        <v>23</v>
      </c>
      <c r="E110" t="s">
        <v>83</v>
      </c>
      <c r="F110" t="s">
        <v>101</v>
      </c>
      <c r="G110" t="s">
        <v>102</v>
      </c>
      <c r="H110" t="s">
        <v>103</v>
      </c>
      <c r="I110">
        <v>5</v>
      </c>
      <c r="J110">
        <v>3</v>
      </c>
      <c r="K110">
        <v>7</v>
      </c>
      <c r="L110">
        <v>7</v>
      </c>
      <c r="M110">
        <v>0</v>
      </c>
      <c r="N110">
        <v>1270</v>
      </c>
      <c r="O110">
        <v>1289</v>
      </c>
      <c r="P110" s="34">
        <f t="shared" si="3"/>
        <v>90.714285714285708</v>
      </c>
      <c r="Q110" t="s">
        <v>68</v>
      </c>
      <c r="S110">
        <v>2022</v>
      </c>
    </row>
    <row r="111" spans="1:19" x14ac:dyDescent="0.3">
      <c r="A111">
        <f t="shared" si="2"/>
        <v>101</v>
      </c>
      <c r="B111" t="s">
        <v>235</v>
      </c>
      <c r="C111" t="s">
        <v>236</v>
      </c>
      <c r="D111" t="s">
        <v>48</v>
      </c>
      <c r="E111" t="s">
        <v>83</v>
      </c>
      <c r="F111" t="s">
        <v>236</v>
      </c>
      <c r="G111" t="s">
        <v>237</v>
      </c>
      <c r="H111" t="s">
        <v>238</v>
      </c>
      <c r="I111">
        <v>6</v>
      </c>
      <c r="J111">
        <v>4</v>
      </c>
      <c r="K111">
        <v>7</v>
      </c>
      <c r="L111">
        <v>7</v>
      </c>
      <c r="M111">
        <v>0</v>
      </c>
      <c r="N111">
        <v>1215</v>
      </c>
      <c r="O111">
        <v>1292</v>
      </c>
      <c r="P111" s="34">
        <f t="shared" si="3"/>
        <v>86.785714285714292</v>
      </c>
      <c r="Q111" t="s">
        <v>68</v>
      </c>
      <c r="S111">
        <v>2022</v>
      </c>
    </row>
    <row r="112" spans="1:19" x14ac:dyDescent="0.3">
      <c r="A112">
        <f t="shared" si="2"/>
        <v>131</v>
      </c>
      <c r="B112" t="s">
        <v>91</v>
      </c>
      <c r="C112" t="s">
        <v>92</v>
      </c>
      <c r="D112" t="s">
        <v>29</v>
      </c>
      <c r="E112" t="s">
        <v>83</v>
      </c>
      <c r="F112" t="s">
        <v>92</v>
      </c>
      <c r="G112" t="s">
        <v>93</v>
      </c>
      <c r="H112" t="s">
        <v>94</v>
      </c>
      <c r="I112">
        <v>7</v>
      </c>
      <c r="J112">
        <v>5</v>
      </c>
      <c r="K112">
        <v>7</v>
      </c>
      <c r="L112">
        <v>7</v>
      </c>
      <c r="M112">
        <v>0</v>
      </c>
      <c r="N112">
        <v>1138</v>
      </c>
      <c r="O112">
        <v>1303</v>
      </c>
      <c r="P112" s="34">
        <f t="shared" si="3"/>
        <v>81.285714285714292</v>
      </c>
      <c r="Q112" t="s">
        <v>68</v>
      </c>
      <c r="S112">
        <v>2022</v>
      </c>
    </row>
    <row r="113" spans="1:19" x14ac:dyDescent="0.3">
      <c r="A113">
        <f t="shared" si="2"/>
        <v>98</v>
      </c>
      <c r="B113" t="s">
        <v>225</v>
      </c>
      <c r="C113" t="s">
        <v>226</v>
      </c>
      <c r="D113" t="s">
        <v>227</v>
      </c>
      <c r="E113" t="s">
        <v>228</v>
      </c>
      <c r="F113" t="s">
        <v>226</v>
      </c>
      <c r="G113" t="s">
        <v>114</v>
      </c>
      <c r="H113" t="s">
        <v>228</v>
      </c>
      <c r="I113">
        <v>8</v>
      </c>
      <c r="J113">
        <v>8</v>
      </c>
      <c r="K113">
        <v>6</v>
      </c>
      <c r="L113">
        <v>8</v>
      </c>
      <c r="M113">
        <v>0</v>
      </c>
      <c r="N113">
        <v>1223</v>
      </c>
      <c r="O113">
        <v>1318</v>
      </c>
      <c r="P113" s="34">
        <f t="shared" si="3"/>
        <v>87.357142857142861</v>
      </c>
      <c r="S113">
        <v>2022</v>
      </c>
    </row>
    <row r="114" spans="1:19" x14ac:dyDescent="0.3">
      <c r="A114">
        <f t="shared" si="2"/>
        <v>111</v>
      </c>
      <c r="B114" t="s">
        <v>82</v>
      </c>
      <c r="C114" t="s">
        <v>232</v>
      </c>
      <c r="D114" t="s">
        <v>28</v>
      </c>
      <c r="E114" t="s">
        <v>83</v>
      </c>
      <c r="F114" t="s">
        <v>232</v>
      </c>
      <c r="G114" t="s">
        <v>85</v>
      </c>
      <c r="H114" t="s">
        <v>86</v>
      </c>
      <c r="I114">
        <v>9</v>
      </c>
      <c r="J114">
        <v>9</v>
      </c>
      <c r="K114">
        <v>6</v>
      </c>
      <c r="L114">
        <v>8</v>
      </c>
      <c r="M114">
        <v>0</v>
      </c>
      <c r="N114">
        <v>1183</v>
      </c>
      <c r="O114">
        <v>1181</v>
      </c>
      <c r="P114" s="34">
        <f t="shared" si="3"/>
        <v>84.5</v>
      </c>
      <c r="S114">
        <v>2022</v>
      </c>
    </row>
    <row r="115" spans="1:19" x14ac:dyDescent="0.3">
      <c r="A115">
        <f t="shared" si="2"/>
        <v>130</v>
      </c>
      <c r="B115" t="s">
        <v>104</v>
      </c>
      <c r="C115" t="s">
        <v>233</v>
      </c>
      <c r="D115" t="s">
        <v>25</v>
      </c>
      <c r="E115" t="s">
        <v>83</v>
      </c>
      <c r="F115" t="s">
        <v>233</v>
      </c>
      <c r="G115" t="s">
        <v>105</v>
      </c>
      <c r="H115" t="s">
        <v>234</v>
      </c>
      <c r="I115">
        <v>10</v>
      </c>
      <c r="J115">
        <v>10</v>
      </c>
      <c r="K115">
        <v>6</v>
      </c>
      <c r="L115">
        <v>8</v>
      </c>
      <c r="M115">
        <v>0</v>
      </c>
      <c r="N115">
        <v>1142</v>
      </c>
      <c r="O115">
        <v>1196</v>
      </c>
      <c r="P115" s="34">
        <f t="shared" si="3"/>
        <v>81.571428571428569</v>
      </c>
      <c r="S115">
        <v>2022</v>
      </c>
    </row>
    <row r="116" spans="1:19" x14ac:dyDescent="0.3">
      <c r="A116">
        <f t="shared" si="2"/>
        <v>139</v>
      </c>
      <c r="B116" t="s">
        <v>129</v>
      </c>
      <c r="C116" t="s">
        <v>130</v>
      </c>
      <c r="D116" t="s">
        <v>43</v>
      </c>
      <c r="E116" t="s">
        <v>117</v>
      </c>
      <c r="F116" t="s">
        <v>130</v>
      </c>
      <c r="G116" t="s">
        <v>230</v>
      </c>
      <c r="H116" t="s">
        <v>231</v>
      </c>
      <c r="I116">
        <v>11</v>
      </c>
      <c r="J116">
        <v>11</v>
      </c>
      <c r="K116">
        <v>6</v>
      </c>
      <c r="L116">
        <v>8</v>
      </c>
      <c r="M116">
        <v>0</v>
      </c>
      <c r="N116">
        <v>1110</v>
      </c>
      <c r="O116">
        <v>1233</v>
      </c>
      <c r="P116" s="34">
        <f t="shared" si="3"/>
        <v>79.285714285714292</v>
      </c>
      <c r="S116">
        <v>2022</v>
      </c>
    </row>
    <row r="117" spans="1:19" x14ac:dyDescent="0.3">
      <c r="A117">
        <f t="shared" si="2"/>
        <v>151</v>
      </c>
      <c r="B117" t="s">
        <v>116</v>
      </c>
      <c r="C117" t="s">
        <v>118</v>
      </c>
      <c r="D117" t="s">
        <v>30</v>
      </c>
      <c r="E117" t="s">
        <v>117</v>
      </c>
      <c r="F117" t="s">
        <v>118</v>
      </c>
      <c r="G117" t="s">
        <v>239</v>
      </c>
      <c r="H117" t="s">
        <v>240</v>
      </c>
      <c r="I117">
        <v>12</v>
      </c>
      <c r="J117">
        <v>12</v>
      </c>
      <c r="K117">
        <v>4</v>
      </c>
      <c r="L117">
        <v>10</v>
      </c>
      <c r="M117">
        <v>0</v>
      </c>
      <c r="N117">
        <v>1034</v>
      </c>
      <c r="O117">
        <v>1179</v>
      </c>
      <c r="P117" s="34">
        <f t="shared" si="3"/>
        <v>73.857142857142861</v>
      </c>
      <c r="S117">
        <v>2022</v>
      </c>
    </row>
    <row r="118" spans="1:19" x14ac:dyDescent="0.3">
      <c r="A118">
        <f t="shared" si="2"/>
        <v>28</v>
      </c>
      <c r="B118" t="s">
        <v>100</v>
      </c>
      <c r="C118" t="s">
        <v>101</v>
      </c>
      <c r="D118" t="s">
        <v>23</v>
      </c>
      <c r="E118" t="s">
        <v>83</v>
      </c>
      <c r="F118" t="s">
        <v>101</v>
      </c>
      <c r="G118" t="s">
        <v>102</v>
      </c>
      <c r="H118" t="s">
        <v>103</v>
      </c>
      <c r="I118">
        <v>1</v>
      </c>
      <c r="J118">
        <v>3</v>
      </c>
      <c r="K118">
        <v>11</v>
      </c>
      <c r="L118">
        <v>3</v>
      </c>
      <c r="M118">
        <v>0</v>
      </c>
      <c r="N118">
        <v>1455</v>
      </c>
      <c r="O118">
        <v>1169</v>
      </c>
      <c r="P118" s="34">
        <f t="shared" si="3"/>
        <v>103.92857142857143</v>
      </c>
      <c r="Q118" t="s">
        <v>68</v>
      </c>
      <c r="R118" t="s">
        <v>68</v>
      </c>
      <c r="S118">
        <v>2023</v>
      </c>
    </row>
    <row r="119" spans="1:19" x14ac:dyDescent="0.3">
      <c r="A119">
        <f t="shared" si="2"/>
        <v>35</v>
      </c>
      <c r="B119" t="s">
        <v>107</v>
      </c>
      <c r="C119" t="s">
        <v>109</v>
      </c>
      <c r="D119" t="s">
        <v>47</v>
      </c>
      <c r="E119" t="s">
        <v>108</v>
      </c>
      <c r="F119" t="s">
        <v>109</v>
      </c>
      <c r="G119" t="s">
        <v>110</v>
      </c>
      <c r="H119" t="s">
        <v>111</v>
      </c>
      <c r="I119">
        <v>2</v>
      </c>
      <c r="J119">
        <v>5</v>
      </c>
      <c r="K119">
        <v>9</v>
      </c>
      <c r="L119">
        <v>5</v>
      </c>
      <c r="M119">
        <v>0</v>
      </c>
      <c r="N119">
        <v>1382</v>
      </c>
      <c r="O119">
        <v>1249</v>
      </c>
      <c r="P119" s="34">
        <f t="shared" si="3"/>
        <v>98.714285714285708</v>
      </c>
      <c r="Q119" t="s">
        <v>68</v>
      </c>
      <c r="R119" t="s">
        <v>68</v>
      </c>
      <c r="S119">
        <v>2023</v>
      </c>
    </row>
    <row r="120" spans="1:19" x14ac:dyDescent="0.3">
      <c r="A120">
        <f t="shared" si="2"/>
        <v>56</v>
      </c>
      <c r="B120" t="s">
        <v>87</v>
      </c>
      <c r="C120" t="s">
        <v>88</v>
      </c>
      <c r="D120" t="s">
        <v>24</v>
      </c>
      <c r="E120" t="s">
        <v>83</v>
      </c>
      <c r="F120" t="s">
        <v>88</v>
      </c>
      <c r="G120" t="s">
        <v>89</v>
      </c>
      <c r="H120" t="s">
        <v>90</v>
      </c>
      <c r="I120">
        <v>3</v>
      </c>
      <c r="J120">
        <v>4</v>
      </c>
      <c r="K120">
        <v>9</v>
      </c>
      <c r="L120">
        <v>5</v>
      </c>
      <c r="M120">
        <v>0</v>
      </c>
      <c r="N120">
        <v>1321</v>
      </c>
      <c r="O120">
        <v>1211</v>
      </c>
      <c r="P120" s="34">
        <f t="shared" si="3"/>
        <v>94.357142857142861</v>
      </c>
      <c r="Q120" t="s">
        <v>68</v>
      </c>
      <c r="S120">
        <v>2023</v>
      </c>
    </row>
    <row r="121" spans="1:19" x14ac:dyDescent="0.3">
      <c r="A121">
        <f t="shared" si="2"/>
        <v>69</v>
      </c>
      <c r="B121" t="s">
        <v>121</v>
      </c>
      <c r="C121" t="s">
        <v>122</v>
      </c>
      <c r="D121" t="s">
        <v>26</v>
      </c>
      <c r="E121" t="s">
        <v>83</v>
      </c>
      <c r="F121" t="s">
        <v>122</v>
      </c>
      <c r="G121" t="s">
        <v>123</v>
      </c>
      <c r="H121" t="s">
        <v>124</v>
      </c>
      <c r="I121">
        <v>4</v>
      </c>
      <c r="J121">
        <v>2</v>
      </c>
      <c r="K121">
        <v>9</v>
      </c>
      <c r="L121">
        <v>5</v>
      </c>
      <c r="M121">
        <v>0</v>
      </c>
      <c r="N121">
        <v>1279</v>
      </c>
      <c r="O121">
        <v>1278</v>
      </c>
      <c r="P121" s="34">
        <f t="shared" si="3"/>
        <v>91.357142857142861</v>
      </c>
      <c r="Q121" t="s">
        <v>68</v>
      </c>
      <c r="S121">
        <v>2023</v>
      </c>
    </row>
    <row r="122" spans="1:19" x14ac:dyDescent="0.3">
      <c r="A122">
        <f t="shared" si="2"/>
        <v>67</v>
      </c>
      <c r="B122" t="s">
        <v>116</v>
      </c>
      <c r="C122" t="s">
        <v>118</v>
      </c>
      <c r="D122" t="s">
        <v>30</v>
      </c>
      <c r="E122" t="s">
        <v>117</v>
      </c>
      <c r="F122" t="s">
        <v>118</v>
      </c>
      <c r="G122" t="s">
        <v>239</v>
      </c>
      <c r="H122" t="s">
        <v>240</v>
      </c>
      <c r="I122">
        <v>5</v>
      </c>
      <c r="J122">
        <v>6</v>
      </c>
      <c r="K122">
        <v>8</v>
      </c>
      <c r="L122">
        <v>6</v>
      </c>
      <c r="M122">
        <v>0</v>
      </c>
      <c r="N122">
        <v>1284</v>
      </c>
      <c r="O122">
        <v>1159</v>
      </c>
      <c r="P122" s="34">
        <f t="shared" si="3"/>
        <v>91.714285714285708</v>
      </c>
      <c r="Q122" t="s">
        <v>68</v>
      </c>
      <c r="S122">
        <v>2023</v>
      </c>
    </row>
    <row r="123" spans="1:19" x14ac:dyDescent="0.3">
      <c r="A123">
        <f t="shared" si="2"/>
        <v>72</v>
      </c>
      <c r="B123" t="s">
        <v>104</v>
      </c>
      <c r="C123" t="s">
        <v>233</v>
      </c>
      <c r="D123" t="s">
        <v>25</v>
      </c>
      <c r="E123" t="s">
        <v>83</v>
      </c>
      <c r="F123" t="s">
        <v>233</v>
      </c>
      <c r="G123" t="s">
        <v>105</v>
      </c>
      <c r="H123" t="s">
        <v>234</v>
      </c>
      <c r="I123">
        <v>6</v>
      </c>
      <c r="J123">
        <v>7</v>
      </c>
      <c r="K123">
        <v>7</v>
      </c>
      <c r="L123">
        <v>7</v>
      </c>
      <c r="M123">
        <v>0</v>
      </c>
      <c r="N123">
        <v>1273</v>
      </c>
      <c r="O123">
        <v>1322</v>
      </c>
      <c r="P123" s="34">
        <f t="shared" si="3"/>
        <v>90.928571428571431</v>
      </c>
      <c r="Q123" t="s">
        <v>68</v>
      </c>
      <c r="S123">
        <v>2023</v>
      </c>
    </row>
    <row r="124" spans="1:19" x14ac:dyDescent="0.3">
      <c r="A124">
        <f t="shared" si="2"/>
        <v>133</v>
      </c>
      <c r="B124" t="s">
        <v>235</v>
      </c>
      <c r="C124" t="s">
        <v>236</v>
      </c>
      <c r="D124" t="s">
        <v>48</v>
      </c>
      <c r="E124" t="s">
        <v>83</v>
      </c>
      <c r="F124" t="s">
        <v>236</v>
      </c>
      <c r="G124" t="s">
        <v>237</v>
      </c>
      <c r="H124" t="s">
        <v>238</v>
      </c>
      <c r="I124">
        <v>7</v>
      </c>
      <c r="J124">
        <v>1</v>
      </c>
      <c r="K124">
        <v>7</v>
      </c>
      <c r="L124">
        <v>7</v>
      </c>
      <c r="M124">
        <v>0</v>
      </c>
      <c r="N124">
        <v>1124</v>
      </c>
      <c r="O124">
        <v>1160</v>
      </c>
      <c r="P124" s="34">
        <f t="shared" si="3"/>
        <v>80.285714285714292</v>
      </c>
      <c r="Q124" t="s">
        <v>68</v>
      </c>
      <c r="S124">
        <v>2023</v>
      </c>
    </row>
    <row r="125" spans="1:19" x14ac:dyDescent="0.3">
      <c r="A125">
        <f t="shared" si="2"/>
        <v>113</v>
      </c>
      <c r="B125" t="s">
        <v>91</v>
      </c>
      <c r="C125" t="s">
        <v>92</v>
      </c>
      <c r="D125" t="s">
        <v>29</v>
      </c>
      <c r="E125" t="s">
        <v>83</v>
      </c>
      <c r="F125" t="s">
        <v>92</v>
      </c>
      <c r="G125" t="s">
        <v>93</v>
      </c>
      <c r="H125" t="s">
        <v>94</v>
      </c>
      <c r="I125">
        <v>8</v>
      </c>
      <c r="J125">
        <v>8</v>
      </c>
      <c r="K125">
        <v>6</v>
      </c>
      <c r="L125">
        <v>8</v>
      </c>
      <c r="M125">
        <v>0</v>
      </c>
      <c r="N125">
        <v>1182</v>
      </c>
      <c r="O125">
        <v>1237</v>
      </c>
      <c r="P125" s="34">
        <f t="shared" si="3"/>
        <v>84.428571428571431</v>
      </c>
      <c r="S125">
        <v>2023</v>
      </c>
    </row>
    <row r="126" spans="1:19" x14ac:dyDescent="0.3">
      <c r="A126">
        <f t="shared" si="2"/>
        <v>123</v>
      </c>
      <c r="B126" t="s">
        <v>95</v>
      </c>
      <c r="C126" t="s">
        <v>97</v>
      </c>
      <c r="D126" t="s">
        <v>22</v>
      </c>
      <c r="E126" t="s">
        <v>96</v>
      </c>
      <c r="F126" t="s">
        <v>97</v>
      </c>
      <c r="G126" t="s">
        <v>222</v>
      </c>
      <c r="H126" t="s">
        <v>223</v>
      </c>
      <c r="I126">
        <v>9</v>
      </c>
      <c r="J126">
        <v>9</v>
      </c>
      <c r="K126">
        <v>6</v>
      </c>
      <c r="L126">
        <v>8</v>
      </c>
      <c r="M126">
        <v>0</v>
      </c>
      <c r="N126">
        <v>1161</v>
      </c>
      <c r="O126">
        <v>1327</v>
      </c>
      <c r="P126" s="34">
        <f t="shared" si="3"/>
        <v>82.928571428571431</v>
      </c>
      <c r="S126">
        <v>2023</v>
      </c>
    </row>
    <row r="127" spans="1:19" x14ac:dyDescent="0.3">
      <c r="A127">
        <f t="shared" si="2"/>
        <v>129</v>
      </c>
      <c r="B127" t="s">
        <v>82</v>
      </c>
      <c r="C127" t="s">
        <v>232</v>
      </c>
      <c r="D127" t="s">
        <v>28</v>
      </c>
      <c r="E127" t="s">
        <v>83</v>
      </c>
      <c r="F127" t="s">
        <v>232</v>
      </c>
      <c r="G127" t="s">
        <v>85</v>
      </c>
      <c r="H127" t="s">
        <v>86</v>
      </c>
      <c r="I127">
        <v>10</v>
      </c>
      <c r="J127">
        <v>10</v>
      </c>
      <c r="K127">
        <v>5</v>
      </c>
      <c r="L127">
        <v>9</v>
      </c>
      <c r="M127">
        <v>0</v>
      </c>
      <c r="N127">
        <v>1145</v>
      </c>
      <c r="O127">
        <v>1169</v>
      </c>
      <c r="P127" s="34">
        <f t="shared" si="3"/>
        <v>81.785714285714292</v>
      </c>
      <c r="S127">
        <v>2023</v>
      </c>
    </row>
    <row r="128" spans="1:19" x14ac:dyDescent="0.3">
      <c r="A128">
        <f t="shared" si="2"/>
        <v>142</v>
      </c>
      <c r="B128" t="s">
        <v>129</v>
      </c>
      <c r="C128" t="s">
        <v>130</v>
      </c>
      <c r="D128" t="s">
        <v>43</v>
      </c>
      <c r="E128" t="s">
        <v>117</v>
      </c>
      <c r="F128" t="s">
        <v>130</v>
      </c>
      <c r="G128" t="s">
        <v>230</v>
      </c>
      <c r="H128" t="s">
        <v>231</v>
      </c>
      <c r="I128">
        <v>11</v>
      </c>
      <c r="J128">
        <v>11</v>
      </c>
      <c r="K128">
        <v>5</v>
      </c>
      <c r="L128">
        <v>9</v>
      </c>
      <c r="M128">
        <v>0</v>
      </c>
      <c r="N128">
        <v>1088</v>
      </c>
      <c r="O128">
        <v>1139</v>
      </c>
      <c r="P128" s="34">
        <f t="shared" si="3"/>
        <v>77.714285714285708</v>
      </c>
      <c r="S128">
        <v>2023</v>
      </c>
    </row>
    <row r="129" spans="1:19" x14ac:dyDescent="0.3">
      <c r="A129">
        <f>RANK(P129,P:P)</f>
        <v>114</v>
      </c>
      <c r="B129" t="s">
        <v>225</v>
      </c>
      <c r="C129" t="s">
        <v>226</v>
      </c>
      <c r="D129" t="s">
        <v>227</v>
      </c>
      <c r="E129" t="s">
        <v>228</v>
      </c>
      <c r="F129" t="s">
        <v>226</v>
      </c>
      <c r="G129" t="s">
        <v>114</v>
      </c>
      <c r="H129" t="s">
        <v>228</v>
      </c>
      <c r="I129">
        <v>12</v>
      </c>
      <c r="J129">
        <v>12</v>
      </c>
      <c r="K129">
        <v>2</v>
      </c>
      <c r="L129">
        <v>12</v>
      </c>
      <c r="M129">
        <v>0</v>
      </c>
      <c r="N129">
        <v>1181</v>
      </c>
      <c r="O129">
        <v>1455</v>
      </c>
      <c r="P129" s="34">
        <f t="shared" si="3"/>
        <v>84.357142857142861</v>
      </c>
      <c r="S129">
        <v>2023</v>
      </c>
    </row>
    <row r="130" spans="1:19" x14ac:dyDescent="0.3">
      <c r="A130">
        <f t="shared" si="2"/>
        <v>10</v>
      </c>
      <c r="D130" t="s">
        <v>43</v>
      </c>
      <c r="E130" t="s">
        <v>117</v>
      </c>
      <c r="I130">
        <v>1</v>
      </c>
      <c r="J130">
        <v>3</v>
      </c>
      <c r="K130">
        <v>10</v>
      </c>
      <c r="L130">
        <v>4</v>
      </c>
      <c r="M130">
        <v>0</v>
      </c>
      <c r="N130">
        <v>1562</v>
      </c>
      <c r="O130">
        <v>1425</v>
      </c>
      <c r="P130" s="34">
        <f t="shared" si="3"/>
        <v>111.57142857142857</v>
      </c>
      <c r="Q130" t="s">
        <v>68</v>
      </c>
      <c r="R130" t="s">
        <v>68</v>
      </c>
      <c r="S130">
        <v>2024</v>
      </c>
    </row>
    <row r="131" spans="1:19" x14ac:dyDescent="0.3">
      <c r="A131">
        <f t="shared" si="2"/>
        <v>4</v>
      </c>
      <c r="D131" t="s">
        <v>48</v>
      </c>
      <c r="E131" t="s">
        <v>83</v>
      </c>
      <c r="I131">
        <v>2</v>
      </c>
      <c r="J131">
        <v>1</v>
      </c>
      <c r="K131">
        <v>9</v>
      </c>
      <c r="L131">
        <v>5</v>
      </c>
      <c r="M131">
        <v>0</v>
      </c>
      <c r="N131">
        <v>1634</v>
      </c>
      <c r="O131">
        <v>1526</v>
      </c>
      <c r="P131" s="34">
        <f t="shared" si="3"/>
        <v>116.71428571428571</v>
      </c>
      <c r="Q131" t="s">
        <v>68</v>
      </c>
      <c r="R131" t="s">
        <v>68</v>
      </c>
      <c r="S131">
        <v>2024</v>
      </c>
    </row>
    <row r="132" spans="1:19" x14ac:dyDescent="0.3">
      <c r="A132">
        <f t="shared" ref="A132:A143" si="4">RANK(P132,P:P)</f>
        <v>5</v>
      </c>
      <c r="D132" t="s">
        <v>227</v>
      </c>
      <c r="E132" t="s">
        <v>228</v>
      </c>
      <c r="I132">
        <v>3</v>
      </c>
      <c r="J132">
        <v>6</v>
      </c>
      <c r="K132">
        <v>9</v>
      </c>
      <c r="L132">
        <v>5</v>
      </c>
      <c r="M132">
        <v>0</v>
      </c>
      <c r="N132">
        <v>1610</v>
      </c>
      <c r="O132">
        <v>1504</v>
      </c>
      <c r="P132" s="34">
        <f t="shared" ref="P132:P157" si="5">N132/SUM(K132:M132)</f>
        <v>115</v>
      </c>
      <c r="Q132" t="s">
        <v>68</v>
      </c>
      <c r="S132">
        <v>2024</v>
      </c>
    </row>
    <row r="133" spans="1:19" x14ac:dyDescent="0.3">
      <c r="A133">
        <f t="shared" si="4"/>
        <v>6</v>
      </c>
      <c r="D133" t="s">
        <v>29</v>
      </c>
      <c r="E133" t="s">
        <v>83</v>
      </c>
      <c r="I133">
        <v>4</v>
      </c>
      <c r="J133">
        <v>7</v>
      </c>
      <c r="K133">
        <v>9</v>
      </c>
      <c r="L133">
        <v>5</v>
      </c>
      <c r="M133">
        <v>0</v>
      </c>
      <c r="N133">
        <v>1600</v>
      </c>
      <c r="O133">
        <v>1462</v>
      </c>
      <c r="P133" s="34">
        <f t="shared" si="5"/>
        <v>114.28571428571429</v>
      </c>
      <c r="Q133" t="s">
        <v>68</v>
      </c>
      <c r="S133">
        <v>2024</v>
      </c>
    </row>
    <row r="134" spans="1:19" x14ac:dyDescent="0.3">
      <c r="A134">
        <f t="shared" si="4"/>
        <v>11</v>
      </c>
      <c r="D134" t="s">
        <v>28</v>
      </c>
      <c r="E134" t="s">
        <v>83</v>
      </c>
      <c r="I134">
        <v>5</v>
      </c>
      <c r="J134">
        <v>2</v>
      </c>
      <c r="K134">
        <v>8</v>
      </c>
      <c r="L134">
        <v>6</v>
      </c>
      <c r="M134">
        <v>0</v>
      </c>
      <c r="N134">
        <v>1559</v>
      </c>
      <c r="O134">
        <v>1480</v>
      </c>
      <c r="P134" s="34">
        <f t="shared" si="5"/>
        <v>111.35714285714286</v>
      </c>
      <c r="Q134" t="s">
        <v>68</v>
      </c>
      <c r="S134">
        <v>2024</v>
      </c>
    </row>
    <row r="135" spans="1:19" x14ac:dyDescent="0.3">
      <c r="A135">
        <f t="shared" si="4"/>
        <v>18</v>
      </c>
      <c r="D135" t="s">
        <v>25</v>
      </c>
      <c r="E135" t="s">
        <v>83</v>
      </c>
      <c r="I135">
        <v>6</v>
      </c>
      <c r="J135">
        <v>4</v>
      </c>
      <c r="K135">
        <v>8</v>
      </c>
      <c r="L135">
        <v>6</v>
      </c>
      <c r="M135">
        <v>0</v>
      </c>
      <c r="N135">
        <v>1502</v>
      </c>
      <c r="O135">
        <v>1523</v>
      </c>
      <c r="P135" s="34">
        <f t="shared" si="5"/>
        <v>107.28571428571429</v>
      </c>
      <c r="Q135" t="s">
        <v>68</v>
      </c>
      <c r="S135">
        <v>2024</v>
      </c>
    </row>
    <row r="136" spans="1:19" x14ac:dyDescent="0.3">
      <c r="A136">
        <f t="shared" si="4"/>
        <v>21</v>
      </c>
      <c r="D136" t="s">
        <v>24</v>
      </c>
      <c r="E136" t="s">
        <v>83</v>
      </c>
      <c r="I136">
        <v>7</v>
      </c>
      <c r="J136">
        <v>5</v>
      </c>
      <c r="K136">
        <v>8</v>
      </c>
      <c r="L136">
        <v>6</v>
      </c>
      <c r="M136">
        <v>0</v>
      </c>
      <c r="N136">
        <v>1496</v>
      </c>
      <c r="O136">
        <v>1499</v>
      </c>
      <c r="P136" s="34">
        <f t="shared" si="5"/>
        <v>106.85714285714286</v>
      </c>
      <c r="Q136" t="s">
        <v>68</v>
      </c>
      <c r="S136">
        <v>2024</v>
      </c>
    </row>
    <row r="137" spans="1:19" x14ac:dyDescent="0.3">
      <c r="A137">
        <f t="shared" si="4"/>
        <v>25</v>
      </c>
      <c r="D137" t="s">
        <v>47</v>
      </c>
      <c r="E137" t="s">
        <v>108</v>
      </c>
      <c r="I137">
        <v>8</v>
      </c>
      <c r="J137">
        <v>8</v>
      </c>
      <c r="K137">
        <v>8</v>
      </c>
      <c r="L137">
        <v>6</v>
      </c>
      <c r="M137">
        <v>0</v>
      </c>
      <c r="N137">
        <v>1467</v>
      </c>
      <c r="O137">
        <v>1453</v>
      </c>
      <c r="P137" s="34">
        <f t="shared" si="5"/>
        <v>104.78571428571429</v>
      </c>
      <c r="Q137" t="s">
        <v>68</v>
      </c>
      <c r="S137">
        <v>2024</v>
      </c>
    </row>
    <row r="138" spans="1:19" x14ac:dyDescent="0.3">
      <c r="A138">
        <f t="shared" si="4"/>
        <v>12</v>
      </c>
      <c r="D138" t="s">
        <v>23</v>
      </c>
      <c r="E138" t="s">
        <v>83</v>
      </c>
      <c r="I138">
        <v>9</v>
      </c>
      <c r="J138">
        <v>9</v>
      </c>
      <c r="K138">
        <v>7</v>
      </c>
      <c r="L138">
        <v>7</v>
      </c>
      <c r="M138">
        <v>0</v>
      </c>
      <c r="N138">
        <v>1551</v>
      </c>
      <c r="O138">
        <v>1507</v>
      </c>
      <c r="P138" s="34">
        <f t="shared" si="5"/>
        <v>110.78571428571429</v>
      </c>
      <c r="S138">
        <v>2024</v>
      </c>
    </row>
    <row r="139" spans="1:19" x14ac:dyDescent="0.3">
      <c r="A139">
        <f t="shared" si="4"/>
        <v>33</v>
      </c>
      <c r="D139" t="s">
        <v>26</v>
      </c>
      <c r="E139" t="s">
        <v>83</v>
      </c>
      <c r="I139">
        <v>10</v>
      </c>
      <c r="J139">
        <v>10</v>
      </c>
      <c r="K139">
        <v>7</v>
      </c>
      <c r="L139">
        <v>7</v>
      </c>
      <c r="M139">
        <v>0</v>
      </c>
      <c r="N139">
        <v>1396</v>
      </c>
      <c r="O139">
        <v>1523</v>
      </c>
      <c r="P139" s="34">
        <f t="shared" si="5"/>
        <v>99.714285714285708</v>
      </c>
      <c r="S139">
        <v>2024</v>
      </c>
    </row>
    <row r="140" spans="1:19" x14ac:dyDescent="0.3">
      <c r="A140">
        <f t="shared" si="4"/>
        <v>3</v>
      </c>
      <c r="D140" t="s">
        <v>22</v>
      </c>
      <c r="E140" t="s">
        <v>96</v>
      </c>
      <c r="I140">
        <v>11</v>
      </c>
      <c r="J140">
        <v>11</v>
      </c>
      <c r="K140">
        <v>6</v>
      </c>
      <c r="L140">
        <v>8</v>
      </c>
      <c r="M140">
        <v>0</v>
      </c>
      <c r="N140">
        <v>1645</v>
      </c>
      <c r="O140">
        <v>1613</v>
      </c>
      <c r="P140" s="34">
        <f t="shared" si="5"/>
        <v>117.5</v>
      </c>
      <c r="S140">
        <v>2024</v>
      </c>
    </row>
    <row r="141" spans="1:19" x14ac:dyDescent="0.3">
      <c r="A141">
        <f t="shared" si="4"/>
        <v>25</v>
      </c>
      <c r="D141" t="s">
        <v>473</v>
      </c>
      <c r="E141" t="s">
        <v>514</v>
      </c>
      <c r="I141">
        <v>12</v>
      </c>
      <c r="J141">
        <v>12</v>
      </c>
      <c r="K141">
        <v>4</v>
      </c>
      <c r="L141">
        <v>10</v>
      </c>
      <c r="M141">
        <v>0</v>
      </c>
      <c r="N141">
        <v>1467</v>
      </c>
      <c r="O141">
        <v>1597</v>
      </c>
      <c r="P141" s="34">
        <f t="shared" si="5"/>
        <v>104.78571428571429</v>
      </c>
      <c r="S141">
        <v>2024</v>
      </c>
    </row>
    <row r="142" spans="1:19" x14ac:dyDescent="0.3">
      <c r="A142">
        <f t="shared" si="4"/>
        <v>20</v>
      </c>
      <c r="D142" t="s">
        <v>30</v>
      </c>
      <c r="E142" t="s">
        <v>117</v>
      </c>
      <c r="I142">
        <v>13</v>
      </c>
      <c r="J142">
        <v>13</v>
      </c>
      <c r="K142">
        <v>3</v>
      </c>
      <c r="L142">
        <v>11</v>
      </c>
      <c r="M142">
        <v>0</v>
      </c>
      <c r="N142">
        <v>1498</v>
      </c>
      <c r="O142">
        <v>1657</v>
      </c>
      <c r="P142" s="34">
        <f t="shared" si="5"/>
        <v>107</v>
      </c>
      <c r="S142">
        <v>2024</v>
      </c>
    </row>
    <row r="143" spans="1:19" x14ac:dyDescent="0.3">
      <c r="A143">
        <f t="shared" si="4"/>
        <v>31</v>
      </c>
      <c r="D143" t="s">
        <v>472</v>
      </c>
      <c r="E143" t="s">
        <v>513</v>
      </c>
      <c r="I143">
        <v>14</v>
      </c>
      <c r="J143">
        <v>14</v>
      </c>
      <c r="K143">
        <v>2</v>
      </c>
      <c r="L143">
        <v>12</v>
      </c>
      <c r="M143">
        <v>0</v>
      </c>
      <c r="N143">
        <v>1413</v>
      </c>
      <c r="O143">
        <v>1631</v>
      </c>
      <c r="P143" s="34">
        <f t="shared" si="5"/>
        <v>100.92857142857143</v>
      </c>
      <c r="S143">
        <v>2024</v>
      </c>
    </row>
    <row r="144" spans="1:19" x14ac:dyDescent="0.3">
      <c r="D144" t="s">
        <v>28</v>
      </c>
      <c r="E144" t="s">
        <v>83</v>
      </c>
      <c r="I144">
        <v>1</v>
      </c>
      <c r="J144">
        <v>1</v>
      </c>
      <c r="K144">
        <v>10</v>
      </c>
      <c r="L144">
        <v>4</v>
      </c>
      <c r="M144">
        <v>0</v>
      </c>
      <c r="N144">
        <v>1649</v>
      </c>
      <c r="O144">
        <v>1388</v>
      </c>
      <c r="P144" s="34">
        <f t="shared" si="5"/>
        <v>117.78571428571429</v>
      </c>
      <c r="Q144" t="s">
        <v>68</v>
      </c>
      <c r="R144" t="s">
        <v>68</v>
      </c>
      <c r="S144">
        <v>2025</v>
      </c>
    </row>
    <row r="145" spans="4:19" x14ac:dyDescent="0.3">
      <c r="D145" t="s">
        <v>472</v>
      </c>
      <c r="E145" t="s">
        <v>513</v>
      </c>
      <c r="I145">
        <v>2</v>
      </c>
      <c r="J145">
        <v>2</v>
      </c>
      <c r="K145">
        <v>9</v>
      </c>
      <c r="L145">
        <v>5</v>
      </c>
      <c r="M145">
        <v>0</v>
      </c>
      <c r="N145">
        <v>1571</v>
      </c>
      <c r="O145">
        <v>1505</v>
      </c>
      <c r="P145" s="34">
        <f t="shared" si="5"/>
        <v>112.21428571428571</v>
      </c>
      <c r="Q145" t="s">
        <v>68</v>
      </c>
      <c r="S145">
        <v>2025</v>
      </c>
    </row>
    <row r="146" spans="4:19" x14ac:dyDescent="0.3">
      <c r="D146" t="s">
        <v>29</v>
      </c>
      <c r="E146" t="s">
        <v>83</v>
      </c>
      <c r="I146">
        <v>5</v>
      </c>
      <c r="J146">
        <v>3</v>
      </c>
      <c r="K146">
        <v>8</v>
      </c>
      <c r="L146">
        <v>6</v>
      </c>
      <c r="N146">
        <v>1524</v>
      </c>
      <c r="O146">
        <v>1500</v>
      </c>
      <c r="P146" s="34">
        <f t="shared" si="5"/>
        <v>108.85714285714286</v>
      </c>
      <c r="Q146" t="s">
        <v>68</v>
      </c>
      <c r="S146">
        <v>2025</v>
      </c>
    </row>
    <row r="147" spans="4:19" x14ac:dyDescent="0.3">
      <c r="D147" t="s">
        <v>48</v>
      </c>
      <c r="E147" t="s">
        <v>83</v>
      </c>
      <c r="I147">
        <v>3</v>
      </c>
      <c r="J147">
        <v>4</v>
      </c>
      <c r="K147">
        <v>8</v>
      </c>
      <c r="L147">
        <v>6</v>
      </c>
      <c r="N147">
        <v>1735</v>
      </c>
      <c r="O147">
        <v>1524</v>
      </c>
      <c r="P147" s="34">
        <f t="shared" si="5"/>
        <v>123.92857142857143</v>
      </c>
      <c r="Q147" t="s">
        <v>68</v>
      </c>
      <c r="R147" t="s">
        <v>68</v>
      </c>
      <c r="S147">
        <v>2025</v>
      </c>
    </row>
    <row r="148" spans="4:19" x14ac:dyDescent="0.3">
      <c r="D148" t="s">
        <v>30</v>
      </c>
      <c r="E148" t="s">
        <v>117</v>
      </c>
      <c r="I148">
        <v>4</v>
      </c>
      <c r="J148">
        <v>7</v>
      </c>
      <c r="K148">
        <v>8</v>
      </c>
      <c r="L148">
        <v>6</v>
      </c>
      <c r="N148">
        <v>1539</v>
      </c>
      <c r="O148">
        <v>1509</v>
      </c>
      <c r="P148" s="34">
        <f t="shared" si="5"/>
        <v>109.92857142857143</v>
      </c>
      <c r="Q148" t="s">
        <v>68</v>
      </c>
      <c r="S148">
        <v>2025</v>
      </c>
    </row>
    <row r="149" spans="4:19" x14ac:dyDescent="0.3">
      <c r="D149" t="s">
        <v>25</v>
      </c>
      <c r="E149" t="s">
        <v>83</v>
      </c>
      <c r="I149">
        <v>7</v>
      </c>
      <c r="J149">
        <v>6</v>
      </c>
      <c r="K149">
        <v>7</v>
      </c>
      <c r="L149">
        <v>7</v>
      </c>
      <c r="N149">
        <v>1572</v>
      </c>
      <c r="O149">
        <v>1491</v>
      </c>
      <c r="P149" s="34">
        <f t="shared" si="5"/>
        <v>112.28571428571429</v>
      </c>
      <c r="Q149" t="s">
        <v>68</v>
      </c>
      <c r="S149">
        <v>2025</v>
      </c>
    </row>
    <row r="150" spans="4:19" x14ac:dyDescent="0.3">
      <c r="D150" t="s">
        <v>47</v>
      </c>
      <c r="E150" t="s">
        <v>108</v>
      </c>
      <c r="I150">
        <v>6</v>
      </c>
      <c r="J150">
        <v>5</v>
      </c>
      <c r="K150">
        <v>7</v>
      </c>
      <c r="L150">
        <v>7</v>
      </c>
      <c r="N150">
        <v>1597</v>
      </c>
      <c r="O150">
        <v>1513</v>
      </c>
      <c r="P150" s="34">
        <f t="shared" si="5"/>
        <v>114.07142857142857</v>
      </c>
      <c r="Q150" t="s">
        <v>68</v>
      </c>
      <c r="S150">
        <v>2025</v>
      </c>
    </row>
    <row r="151" spans="4:19" x14ac:dyDescent="0.3">
      <c r="D151" t="s">
        <v>227</v>
      </c>
      <c r="E151" t="s">
        <v>228</v>
      </c>
      <c r="I151">
        <v>12</v>
      </c>
      <c r="J151">
        <v>12</v>
      </c>
      <c r="K151">
        <v>6</v>
      </c>
      <c r="L151">
        <v>8</v>
      </c>
      <c r="N151">
        <v>1335</v>
      </c>
      <c r="O151">
        <v>1477</v>
      </c>
      <c r="P151" s="34">
        <f t="shared" si="5"/>
        <v>95.357142857142861</v>
      </c>
      <c r="S151">
        <v>2025</v>
      </c>
    </row>
    <row r="152" spans="4:19" x14ac:dyDescent="0.3">
      <c r="D152" t="s">
        <v>23</v>
      </c>
      <c r="E152" t="s">
        <v>83</v>
      </c>
      <c r="I152">
        <v>11</v>
      </c>
      <c r="J152">
        <v>11</v>
      </c>
      <c r="K152">
        <v>6</v>
      </c>
      <c r="L152">
        <v>8</v>
      </c>
      <c r="N152">
        <v>1362</v>
      </c>
      <c r="O152">
        <v>1561</v>
      </c>
      <c r="P152" s="34">
        <f t="shared" si="5"/>
        <v>97.285714285714292</v>
      </c>
      <c r="S152">
        <v>2025</v>
      </c>
    </row>
    <row r="153" spans="4:19" x14ac:dyDescent="0.3">
      <c r="D153" t="s">
        <v>26</v>
      </c>
      <c r="E153" t="s">
        <v>83</v>
      </c>
      <c r="I153">
        <v>8</v>
      </c>
      <c r="J153">
        <v>8</v>
      </c>
      <c r="K153">
        <v>7</v>
      </c>
      <c r="L153">
        <v>7</v>
      </c>
      <c r="N153">
        <v>1486</v>
      </c>
      <c r="O153">
        <v>1485</v>
      </c>
      <c r="P153" s="34">
        <f t="shared" si="5"/>
        <v>106.14285714285714</v>
      </c>
      <c r="S153">
        <v>2025</v>
      </c>
    </row>
    <row r="154" spans="4:19" x14ac:dyDescent="0.3">
      <c r="D154" t="s">
        <v>24</v>
      </c>
      <c r="E154" t="s">
        <v>83</v>
      </c>
      <c r="I154">
        <v>14</v>
      </c>
      <c r="J154">
        <v>14</v>
      </c>
      <c r="K154">
        <v>5</v>
      </c>
      <c r="L154">
        <v>9</v>
      </c>
      <c r="N154">
        <v>1323</v>
      </c>
      <c r="O154">
        <v>1485</v>
      </c>
      <c r="P154" s="34">
        <f t="shared" si="5"/>
        <v>94.5</v>
      </c>
      <c r="S154">
        <v>2025</v>
      </c>
    </row>
    <row r="155" spans="4:19" x14ac:dyDescent="0.3">
      <c r="D155" t="s">
        <v>473</v>
      </c>
      <c r="E155" t="s">
        <v>514</v>
      </c>
      <c r="I155">
        <v>13</v>
      </c>
      <c r="J155">
        <v>13</v>
      </c>
      <c r="K155">
        <v>5</v>
      </c>
      <c r="L155">
        <v>9</v>
      </c>
      <c r="N155">
        <v>1406</v>
      </c>
      <c r="O155">
        <v>1498</v>
      </c>
      <c r="P155" s="34">
        <f t="shared" si="5"/>
        <v>100.42857142857143</v>
      </c>
      <c r="S155">
        <v>2025</v>
      </c>
    </row>
    <row r="156" spans="4:19" x14ac:dyDescent="0.3">
      <c r="D156" t="s">
        <v>22</v>
      </c>
      <c r="E156" t="s">
        <v>96</v>
      </c>
      <c r="I156">
        <v>9</v>
      </c>
      <c r="J156">
        <v>9</v>
      </c>
      <c r="K156">
        <v>6</v>
      </c>
      <c r="L156">
        <v>8</v>
      </c>
      <c r="N156">
        <v>1542</v>
      </c>
      <c r="O156">
        <v>1542</v>
      </c>
      <c r="P156" s="34">
        <f t="shared" si="5"/>
        <v>110.14285714285714</v>
      </c>
      <c r="S156">
        <v>2025</v>
      </c>
    </row>
    <row r="157" spans="4:19" x14ac:dyDescent="0.3">
      <c r="D157" t="s">
        <v>43</v>
      </c>
      <c r="E157" t="s">
        <v>117</v>
      </c>
      <c r="I157">
        <v>10</v>
      </c>
      <c r="J157">
        <v>10</v>
      </c>
      <c r="K157">
        <v>6</v>
      </c>
      <c r="L157">
        <v>8</v>
      </c>
      <c r="N157">
        <v>1461</v>
      </c>
      <c r="O157">
        <v>1624</v>
      </c>
      <c r="P157" s="34">
        <f t="shared" si="5"/>
        <v>104.35714285714286</v>
      </c>
      <c r="S157">
        <v>2025</v>
      </c>
    </row>
  </sheetData>
  <autoFilter ref="A1:W157" xr:uid="{83EF2F74-9791-4038-87FA-57B1E18A516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AE69-3A55-41AF-85E3-54D0B7B9884D}">
  <dimension ref="A3:L81"/>
  <sheetViews>
    <sheetView topLeftCell="A40" workbookViewId="0">
      <selection activeCell="J64" sqref="J64"/>
    </sheetView>
  </sheetViews>
  <sheetFormatPr defaultRowHeight="14.4" x14ac:dyDescent="0.3"/>
  <cols>
    <col min="1" max="1" width="12.77734375" bestFit="1" customWidth="1"/>
    <col min="2" max="2" width="21.88671875" bestFit="1" customWidth="1"/>
    <col min="3" max="11" width="5" bestFit="1" customWidth="1"/>
    <col min="12" max="12" width="11" bestFit="1" customWidth="1"/>
    <col min="13" max="13" width="11.33203125" bestFit="1" customWidth="1"/>
    <col min="14" max="14" width="13.44140625" bestFit="1" customWidth="1"/>
    <col min="15" max="15" width="13.33203125" bestFit="1" customWidth="1"/>
    <col min="16" max="16" width="24.5546875" bestFit="1" customWidth="1"/>
    <col min="17" max="17" width="12.5546875" bestFit="1" customWidth="1"/>
    <col min="18" max="18" width="7.5546875" bestFit="1" customWidth="1"/>
    <col min="19" max="20" width="11.33203125" bestFit="1" customWidth="1"/>
  </cols>
  <sheetData>
    <row r="3" spans="1:12" x14ac:dyDescent="0.3">
      <c r="A3" s="22" t="s">
        <v>244</v>
      </c>
      <c r="B3" s="22" t="s">
        <v>243</v>
      </c>
    </row>
    <row r="4" spans="1:12" x14ac:dyDescent="0.3">
      <c r="A4" s="22" t="s">
        <v>241</v>
      </c>
      <c r="B4">
        <v>2013</v>
      </c>
      <c r="C4">
        <v>2014</v>
      </c>
      <c r="D4">
        <v>2015</v>
      </c>
      <c r="E4">
        <v>2016</v>
      </c>
      <c r="F4">
        <v>2017</v>
      </c>
      <c r="G4">
        <v>2018</v>
      </c>
      <c r="H4">
        <v>2019</v>
      </c>
      <c r="I4">
        <v>2020</v>
      </c>
      <c r="J4">
        <v>2021</v>
      </c>
      <c r="K4">
        <v>2022</v>
      </c>
      <c r="L4" t="s">
        <v>242</v>
      </c>
    </row>
    <row r="5" spans="1:12" x14ac:dyDescent="0.3">
      <c r="A5" s="1" t="s">
        <v>27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L5">
        <v>8</v>
      </c>
    </row>
    <row r="6" spans="1:12" x14ac:dyDescent="0.3">
      <c r="A6" s="1" t="s">
        <v>227</v>
      </c>
      <c r="J6">
        <v>1</v>
      </c>
      <c r="K6">
        <v>1</v>
      </c>
      <c r="L6">
        <v>2</v>
      </c>
    </row>
    <row r="7" spans="1:12" x14ac:dyDescent="0.3">
      <c r="A7" s="1" t="s">
        <v>47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8</v>
      </c>
    </row>
    <row r="8" spans="1:12" x14ac:dyDescent="0.3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10</v>
      </c>
    </row>
    <row r="9" spans="1:12" x14ac:dyDescent="0.3">
      <c r="A9" s="1" t="s">
        <v>48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8</v>
      </c>
    </row>
    <row r="10" spans="1:12" x14ac:dyDescent="0.3">
      <c r="A10" s="1" t="s">
        <v>29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10</v>
      </c>
    </row>
    <row r="11" spans="1:12" x14ac:dyDescent="0.3">
      <c r="A11" s="1" t="s">
        <v>43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8</v>
      </c>
    </row>
    <row r="12" spans="1:12" x14ac:dyDescent="0.3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10</v>
      </c>
    </row>
    <row r="13" spans="1:12" x14ac:dyDescent="0.3">
      <c r="A13" s="1" t="s">
        <v>30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10</v>
      </c>
    </row>
    <row r="14" spans="1:12" x14ac:dyDescent="0.3">
      <c r="A14" s="1" t="s">
        <v>23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10</v>
      </c>
    </row>
    <row r="15" spans="1:12" x14ac:dyDescent="0.3">
      <c r="A15" s="1" t="s">
        <v>28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10</v>
      </c>
    </row>
    <row r="16" spans="1:12" x14ac:dyDescent="0.3">
      <c r="A16" s="1" t="s">
        <v>138</v>
      </c>
      <c r="B16">
        <v>1</v>
      </c>
      <c r="C16">
        <v>1</v>
      </c>
      <c r="L16">
        <v>2</v>
      </c>
    </row>
    <row r="17" spans="1:12" x14ac:dyDescent="0.3">
      <c r="A17" s="1" t="s">
        <v>24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10</v>
      </c>
    </row>
    <row r="18" spans="1:12" x14ac:dyDescent="0.3">
      <c r="A18" s="1" t="s">
        <v>25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10</v>
      </c>
    </row>
    <row r="19" spans="1:12" x14ac:dyDescent="0.3">
      <c r="A19" s="1" t="s">
        <v>242</v>
      </c>
      <c r="B19">
        <v>10</v>
      </c>
      <c r="C19">
        <v>10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116</v>
      </c>
    </row>
    <row r="23" spans="1:12" x14ac:dyDescent="0.3">
      <c r="A23" s="22" t="s">
        <v>241</v>
      </c>
      <c r="B23" t="s">
        <v>245</v>
      </c>
    </row>
    <row r="24" spans="1:12" x14ac:dyDescent="0.3">
      <c r="A24" s="1" t="s">
        <v>27</v>
      </c>
      <c r="B24">
        <v>49</v>
      </c>
    </row>
    <row r="25" spans="1:12" x14ac:dyDescent="0.3">
      <c r="A25" s="1" t="s">
        <v>227</v>
      </c>
      <c r="B25">
        <v>12</v>
      </c>
    </row>
    <row r="26" spans="1:12" x14ac:dyDescent="0.3">
      <c r="A26" s="1" t="s">
        <v>47</v>
      </c>
      <c r="B26">
        <v>70</v>
      </c>
    </row>
    <row r="27" spans="1:12" x14ac:dyDescent="0.3">
      <c r="A27" s="1" t="s">
        <v>26</v>
      </c>
      <c r="B27">
        <v>72</v>
      </c>
    </row>
    <row r="28" spans="1:12" x14ac:dyDescent="0.3">
      <c r="A28" s="1" t="s">
        <v>48</v>
      </c>
      <c r="B28">
        <v>59</v>
      </c>
    </row>
    <row r="29" spans="1:12" x14ac:dyDescent="0.3">
      <c r="A29" s="1" t="s">
        <v>29</v>
      </c>
      <c r="B29">
        <v>62</v>
      </c>
    </row>
    <row r="30" spans="1:12" x14ac:dyDescent="0.3">
      <c r="A30" s="1" t="s">
        <v>43</v>
      </c>
      <c r="B30">
        <v>50</v>
      </c>
    </row>
    <row r="31" spans="1:12" x14ac:dyDescent="0.3">
      <c r="A31" s="1" t="s">
        <v>22</v>
      </c>
      <c r="B31">
        <v>53</v>
      </c>
    </row>
    <row r="32" spans="1:12" x14ac:dyDescent="0.3">
      <c r="A32" s="1" t="s">
        <v>30</v>
      </c>
      <c r="B32">
        <v>61</v>
      </c>
    </row>
    <row r="33" spans="1:2" x14ac:dyDescent="0.3">
      <c r="A33" s="1" t="s">
        <v>23</v>
      </c>
      <c r="B33">
        <v>70</v>
      </c>
    </row>
    <row r="34" spans="1:2" x14ac:dyDescent="0.3">
      <c r="A34" s="1" t="s">
        <v>28</v>
      </c>
      <c r="B34">
        <v>67</v>
      </c>
    </row>
    <row r="35" spans="1:2" x14ac:dyDescent="0.3">
      <c r="A35" s="1" t="s">
        <v>138</v>
      </c>
      <c r="B35">
        <v>10</v>
      </c>
    </row>
    <row r="36" spans="1:2" x14ac:dyDescent="0.3">
      <c r="A36" s="1" t="s">
        <v>24</v>
      </c>
      <c r="B36">
        <v>60</v>
      </c>
    </row>
    <row r="37" spans="1:2" x14ac:dyDescent="0.3">
      <c r="A37" s="1" t="s">
        <v>25</v>
      </c>
      <c r="B37">
        <v>66</v>
      </c>
    </row>
    <row r="38" spans="1:2" x14ac:dyDescent="0.3">
      <c r="A38" s="1" t="s">
        <v>242</v>
      </c>
      <c r="B38">
        <v>761</v>
      </c>
    </row>
    <row r="41" spans="1:2" x14ac:dyDescent="0.3">
      <c r="A41" s="22" t="s">
        <v>241</v>
      </c>
      <c r="B41" t="s">
        <v>251</v>
      </c>
    </row>
    <row r="42" spans="1:2" x14ac:dyDescent="0.3">
      <c r="A42" s="1" t="s">
        <v>27</v>
      </c>
      <c r="B42" s="34">
        <v>6.75</v>
      </c>
    </row>
    <row r="43" spans="1:2" x14ac:dyDescent="0.3">
      <c r="A43" s="1" t="s">
        <v>227</v>
      </c>
      <c r="B43" s="34">
        <v>8.5</v>
      </c>
    </row>
    <row r="44" spans="1:2" x14ac:dyDescent="0.3">
      <c r="A44" s="1" t="s">
        <v>47</v>
      </c>
      <c r="B44" s="34">
        <v>3.75</v>
      </c>
    </row>
    <row r="45" spans="1:2" x14ac:dyDescent="0.3">
      <c r="A45" s="1" t="s">
        <v>26</v>
      </c>
      <c r="B45" s="34">
        <v>5.9</v>
      </c>
    </row>
    <row r="46" spans="1:2" x14ac:dyDescent="0.3">
      <c r="A46" s="1" t="s">
        <v>48</v>
      </c>
      <c r="B46" s="34">
        <v>5</v>
      </c>
    </row>
    <row r="47" spans="1:2" x14ac:dyDescent="0.3">
      <c r="A47" s="1" t="s">
        <v>29</v>
      </c>
      <c r="B47" s="34">
        <v>7</v>
      </c>
    </row>
    <row r="48" spans="1:2" x14ac:dyDescent="0.3">
      <c r="A48" s="1" t="s">
        <v>43</v>
      </c>
      <c r="B48" s="34">
        <v>7.75</v>
      </c>
    </row>
    <row r="49" spans="1:12" x14ac:dyDescent="0.3">
      <c r="A49" s="1" t="s">
        <v>22</v>
      </c>
      <c r="B49" s="34">
        <v>7.9</v>
      </c>
    </row>
    <row r="50" spans="1:12" x14ac:dyDescent="0.3">
      <c r="A50" s="1" t="s">
        <v>30</v>
      </c>
      <c r="B50" s="34">
        <v>6.4</v>
      </c>
    </row>
    <row r="51" spans="1:12" x14ac:dyDescent="0.3">
      <c r="A51" s="1" t="s">
        <v>23</v>
      </c>
      <c r="B51" s="34">
        <v>4.9000000000000004</v>
      </c>
    </row>
    <row r="52" spans="1:12" x14ac:dyDescent="0.3">
      <c r="A52" s="1" t="s">
        <v>28</v>
      </c>
      <c r="B52" s="34">
        <v>5.8</v>
      </c>
    </row>
    <row r="53" spans="1:12" x14ac:dyDescent="0.3">
      <c r="A53" s="1" t="s">
        <v>138</v>
      </c>
      <c r="B53" s="34">
        <v>9</v>
      </c>
    </row>
    <row r="54" spans="1:12" x14ac:dyDescent="0.3">
      <c r="A54" s="1" t="s">
        <v>24</v>
      </c>
      <c r="B54" s="34">
        <v>7.2</v>
      </c>
    </row>
    <row r="55" spans="1:12" x14ac:dyDescent="0.3">
      <c r="A55" s="1" t="s">
        <v>25</v>
      </c>
      <c r="B55" s="34">
        <v>6.2</v>
      </c>
    </row>
    <row r="56" spans="1:12" x14ac:dyDescent="0.3">
      <c r="A56" s="1" t="s">
        <v>242</v>
      </c>
      <c r="B56" s="34">
        <v>6.3275862068965516</v>
      </c>
    </row>
    <row r="59" spans="1:12" x14ac:dyDescent="0.3">
      <c r="A59" s="22" t="s">
        <v>251</v>
      </c>
      <c r="B59" s="22" t="s">
        <v>243</v>
      </c>
    </row>
    <row r="60" spans="1:12" x14ac:dyDescent="0.3">
      <c r="A60" s="22" t="s">
        <v>241</v>
      </c>
      <c r="B60">
        <v>2013</v>
      </c>
      <c r="C60">
        <v>2014</v>
      </c>
      <c r="D60">
        <v>2015</v>
      </c>
      <c r="E60">
        <v>2016</v>
      </c>
      <c r="F60">
        <v>2017</v>
      </c>
      <c r="G60">
        <v>2018</v>
      </c>
      <c r="H60">
        <v>2019</v>
      </c>
      <c r="I60">
        <v>2020</v>
      </c>
      <c r="J60">
        <v>2021</v>
      </c>
      <c r="K60">
        <v>2022</v>
      </c>
      <c r="L60" t="s">
        <v>242</v>
      </c>
    </row>
    <row r="61" spans="1:12" x14ac:dyDescent="0.3">
      <c r="A61" s="1" t="s">
        <v>27</v>
      </c>
      <c r="B61" s="34">
        <v>3</v>
      </c>
      <c r="C61" s="34">
        <v>3</v>
      </c>
      <c r="D61" s="34">
        <v>11</v>
      </c>
      <c r="E61" s="34">
        <v>7</v>
      </c>
      <c r="F61" s="34">
        <v>3</v>
      </c>
      <c r="G61" s="34">
        <v>12</v>
      </c>
      <c r="H61" s="34">
        <v>4</v>
      </c>
      <c r="I61" s="34">
        <v>11</v>
      </c>
      <c r="J61" s="34"/>
      <c r="K61" s="34"/>
      <c r="L61" s="34">
        <v>6.75</v>
      </c>
    </row>
    <row r="62" spans="1:12" x14ac:dyDescent="0.3">
      <c r="A62" s="1" t="s">
        <v>227</v>
      </c>
      <c r="B62" s="34"/>
      <c r="C62" s="34"/>
      <c r="D62" s="34"/>
      <c r="E62" s="34"/>
      <c r="F62" s="34"/>
      <c r="G62" s="34"/>
      <c r="H62" s="34"/>
      <c r="I62" s="34"/>
      <c r="J62" s="34">
        <v>9</v>
      </c>
      <c r="K62" s="34">
        <v>8</v>
      </c>
      <c r="L62" s="34">
        <v>8.5</v>
      </c>
    </row>
    <row r="63" spans="1:12" x14ac:dyDescent="0.3">
      <c r="A63" s="1" t="s">
        <v>47</v>
      </c>
      <c r="B63" s="34"/>
      <c r="C63" s="34"/>
      <c r="D63" s="34">
        <v>1</v>
      </c>
      <c r="E63" s="34">
        <v>1</v>
      </c>
      <c r="F63" s="34">
        <v>7</v>
      </c>
      <c r="G63" s="34">
        <v>2</v>
      </c>
      <c r="H63" s="34">
        <v>10</v>
      </c>
      <c r="I63" s="34">
        <v>3</v>
      </c>
      <c r="J63" s="34">
        <v>5</v>
      </c>
      <c r="K63" s="34">
        <v>1</v>
      </c>
      <c r="L63" s="34">
        <v>3.75</v>
      </c>
    </row>
    <row r="64" spans="1:12" x14ac:dyDescent="0.3">
      <c r="A64" s="1" t="s">
        <v>26</v>
      </c>
      <c r="B64" s="34">
        <v>1</v>
      </c>
      <c r="C64" s="34">
        <v>4</v>
      </c>
      <c r="D64" s="34">
        <v>9</v>
      </c>
      <c r="E64" s="34">
        <v>12</v>
      </c>
      <c r="F64" s="34">
        <v>10</v>
      </c>
      <c r="G64" s="34">
        <v>8</v>
      </c>
      <c r="H64" s="34">
        <v>9</v>
      </c>
      <c r="I64" s="34">
        <v>1</v>
      </c>
      <c r="J64" s="34">
        <v>2</v>
      </c>
      <c r="K64" s="34">
        <v>3</v>
      </c>
      <c r="L64" s="34">
        <v>5.9</v>
      </c>
    </row>
    <row r="65" spans="1:12" x14ac:dyDescent="0.3">
      <c r="A65" s="1" t="s">
        <v>48</v>
      </c>
      <c r="B65" s="34"/>
      <c r="C65" s="34"/>
      <c r="D65" s="34">
        <v>8</v>
      </c>
      <c r="E65" s="34">
        <v>2</v>
      </c>
      <c r="F65" s="34">
        <v>1</v>
      </c>
      <c r="G65" s="34">
        <v>9</v>
      </c>
      <c r="H65" s="34">
        <v>8</v>
      </c>
      <c r="I65" s="34">
        <v>2</v>
      </c>
      <c r="J65" s="34">
        <v>4</v>
      </c>
      <c r="K65" s="34">
        <v>6</v>
      </c>
      <c r="L65" s="34">
        <v>5</v>
      </c>
    </row>
    <row r="66" spans="1:12" x14ac:dyDescent="0.3">
      <c r="A66" s="1" t="s">
        <v>29</v>
      </c>
      <c r="B66" s="34">
        <v>7</v>
      </c>
      <c r="C66" s="34">
        <v>1</v>
      </c>
      <c r="D66" s="34">
        <v>6</v>
      </c>
      <c r="E66" s="34">
        <v>5</v>
      </c>
      <c r="F66" s="34">
        <v>11</v>
      </c>
      <c r="G66" s="34">
        <v>11</v>
      </c>
      <c r="H66" s="34">
        <v>6</v>
      </c>
      <c r="I66" s="34">
        <v>10</v>
      </c>
      <c r="J66" s="34">
        <v>6</v>
      </c>
      <c r="K66" s="34">
        <v>7</v>
      </c>
      <c r="L66" s="34">
        <v>7</v>
      </c>
    </row>
    <row r="67" spans="1:12" x14ac:dyDescent="0.3">
      <c r="A67" s="1" t="s">
        <v>43</v>
      </c>
      <c r="B67" s="34"/>
      <c r="C67" s="34"/>
      <c r="D67" s="34">
        <v>3</v>
      </c>
      <c r="E67" s="34">
        <v>6</v>
      </c>
      <c r="F67" s="34">
        <v>9</v>
      </c>
      <c r="G67" s="34">
        <v>3</v>
      </c>
      <c r="H67" s="34">
        <v>12</v>
      </c>
      <c r="I67" s="34">
        <v>7</v>
      </c>
      <c r="J67" s="34">
        <v>11</v>
      </c>
      <c r="K67" s="34">
        <v>11</v>
      </c>
      <c r="L67" s="34">
        <v>7.75</v>
      </c>
    </row>
    <row r="68" spans="1:12" x14ac:dyDescent="0.3">
      <c r="A68" s="1" t="s">
        <v>22</v>
      </c>
      <c r="B68" s="34">
        <v>6</v>
      </c>
      <c r="C68" s="34">
        <v>2</v>
      </c>
      <c r="D68" s="34">
        <v>12</v>
      </c>
      <c r="E68" s="34">
        <v>11</v>
      </c>
      <c r="F68" s="34">
        <v>12</v>
      </c>
      <c r="G68" s="34">
        <v>7</v>
      </c>
      <c r="H68" s="34">
        <v>3</v>
      </c>
      <c r="I68" s="34">
        <v>12</v>
      </c>
      <c r="J68" s="34">
        <v>12</v>
      </c>
      <c r="K68" s="34">
        <v>2</v>
      </c>
      <c r="L68" s="34">
        <v>7.9</v>
      </c>
    </row>
    <row r="69" spans="1:12" x14ac:dyDescent="0.3">
      <c r="A69" s="1" t="s">
        <v>30</v>
      </c>
      <c r="B69" s="34">
        <v>10</v>
      </c>
      <c r="C69" s="34">
        <v>7</v>
      </c>
      <c r="D69" s="34">
        <v>7</v>
      </c>
      <c r="E69" s="34">
        <v>3</v>
      </c>
      <c r="F69" s="34">
        <v>2</v>
      </c>
      <c r="G69" s="34">
        <v>6</v>
      </c>
      <c r="H69" s="34">
        <v>2</v>
      </c>
      <c r="I69" s="34">
        <v>8</v>
      </c>
      <c r="J69" s="34">
        <v>7</v>
      </c>
      <c r="K69" s="34">
        <v>12</v>
      </c>
      <c r="L69" s="34">
        <v>6.4</v>
      </c>
    </row>
    <row r="70" spans="1:12" x14ac:dyDescent="0.3">
      <c r="A70" s="1" t="s">
        <v>23</v>
      </c>
      <c r="B70" s="34">
        <v>5</v>
      </c>
      <c r="C70" s="34">
        <v>10</v>
      </c>
      <c r="D70" s="34">
        <v>2</v>
      </c>
      <c r="E70" s="34">
        <v>8</v>
      </c>
      <c r="F70" s="34">
        <v>6</v>
      </c>
      <c r="G70" s="34">
        <v>4</v>
      </c>
      <c r="H70" s="34">
        <v>1</v>
      </c>
      <c r="I70" s="34">
        <v>5</v>
      </c>
      <c r="J70" s="34">
        <v>3</v>
      </c>
      <c r="K70" s="34">
        <v>5</v>
      </c>
      <c r="L70" s="34">
        <v>4.9000000000000004</v>
      </c>
    </row>
    <row r="71" spans="1:12" x14ac:dyDescent="0.3">
      <c r="A71" s="1" t="s">
        <v>28</v>
      </c>
      <c r="B71" s="34">
        <v>4</v>
      </c>
      <c r="C71" s="34">
        <v>5</v>
      </c>
      <c r="D71" s="34">
        <v>4</v>
      </c>
      <c r="E71" s="34">
        <v>4</v>
      </c>
      <c r="F71" s="34">
        <v>4</v>
      </c>
      <c r="G71" s="34">
        <v>5</v>
      </c>
      <c r="H71" s="34">
        <v>11</v>
      </c>
      <c r="I71" s="34">
        <v>4</v>
      </c>
      <c r="J71" s="34">
        <v>8</v>
      </c>
      <c r="K71" s="34">
        <v>9</v>
      </c>
      <c r="L71" s="34">
        <v>5.8</v>
      </c>
    </row>
    <row r="72" spans="1:12" x14ac:dyDescent="0.3">
      <c r="A72" s="1" t="s">
        <v>138</v>
      </c>
      <c r="B72" s="34">
        <v>9</v>
      </c>
      <c r="C72" s="34">
        <v>9</v>
      </c>
      <c r="D72" s="34"/>
      <c r="E72" s="34"/>
      <c r="F72" s="34"/>
      <c r="G72" s="34"/>
      <c r="H72" s="34"/>
      <c r="I72" s="34"/>
      <c r="J72" s="34"/>
      <c r="K72" s="34"/>
      <c r="L72" s="34">
        <v>9</v>
      </c>
    </row>
    <row r="73" spans="1:12" x14ac:dyDescent="0.3">
      <c r="A73" s="1" t="s">
        <v>24</v>
      </c>
      <c r="B73" s="34">
        <v>2</v>
      </c>
      <c r="C73" s="34">
        <v>8</v>
      </c>
      <c r="D73" s="34">
        <v>10</v>
      </c>
      <c r="E73" s="34">
        <v>10</v>
      </c>
      <c r="F73" s="34">
        <v>5</v>
      </c>
      <c r="G73" s="34">
        <v>10</v>
      </c>
      <c r="H73" s="34">
        <v>7</v>
      </c>
      <c r="I73" s="34">
        <v>6</v>
      </c>
      <c r="J73" s="34">
        <v>10</v>
      </c>
      <c r="K73" s="34">
        <v>4</v>
      </c>
      <c r="L73" s="34">
        <v>7.2</v>
      </c>
    </row>
    <row r="74" spans="1:12" x14ac:dyDescent="0.3">
      <c r="A74" s="1" t="s">
        <v>25</v>
      </c>
      <c r="B74" s="34">
        <v>8</v>
      </c>
      <c r="C74" s="34">
        <v>6</v>
      </c>
      <c r="D74" s="34">
        <v>5</v>
      </c>
      <c r="E74" s="34">
        <v>9</v>
      </c>
      <c r="F74" s="34">
        <v>8</v>
      </c>
      <c r="G74" s="34">
        <v>1</v>
      </c>
      <c r="H74" s="34">
        <v>5</v>
      </c>
      <c r="I74" s="34">
        <v>9</v>
      </c>
      <c r="J74" s="34">
        <v>1</v>
      </c>
      <c r="K74" s="34">
        <v>10</v>
      </c>
      <c r="L74" s="34">
        <v>6.2</v>
      </c>
    </row>
    <row r="75" spans="1:12" x14ac:dyDescent="0.3">
      <c r="A75" s="1" t="s">
        <v>242</v>
      </c>
      <c r="B75" s="34">
        <v>5.5</v>
      </c>
      <c r="C75" s="34">
        <v>5.5</v>
      </c>
      <c r="D75" s="34">
        <v>6.5</v>
      </c>
      <c r="E75" s="34">
        <v>6.5</v>
      </c>
      <c r="F75" s="34">
        <v>6.5</v>
      </c>
      <c r="G75" s="34">
        <v>6.5</v>
      </c>
      <c r="H75" s="34">
        <v>6.5</v>
      </c>
      <c r="I75" s="34">
        <v>6.5</v>
      </c>
      <c r="J75" s="34">
        <v>6.5</v>
      </c>
      <c r="K75" s="34">
        <v>6.5</v>
      </c>
      <c r="L75" s="34">
        <v>6.3275862068965516</v>
      </c>
    </row>
    <row r="77" spans="1:12" x14ac:dyDescent="0.3">
      <c r="A77" s="22" t="s">
        <v>241</v>
      </c>
      <c r="B77" t="s">
        <v>252</v>
      </c>
    </row>
    <row r="78" spans="1:12" x14ac:dyDescent="0.3">
      <c r="A78" s="1" t="s">
        <v>2</v>
      </c>
      <c r="B78">
        <v>76.003947368421052</v>
      </c>
    </row>
    <row r="79" spans="1:12" x14ac:dyDescent="0.3">
      <c r="A79" s="1" t="s">
        <v>3</v>
      </c>
      <c r="B79">
        <v>89.5</v>
      </c>
    </row>
    <row r="80" spans="1:12" x14ac:dyDescent="0.3">
      <c r="A80" s="1" t="s">
        <v>1</v>
      </c>
      <c r="B80">
        <v>99.718421052631584</v>
      </c>
    </row>
    <row r="81" spans="1:2" x14ac:dyDescent="0.3">
      <c r="A81" s="1" t="s">
        <v>242</v>
      </c>
      <c r="B81">
        <v>87.874020887728463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611E-DA35-4DBB-8286-668D85CB72A6}">
  <dimension ref="A2:B30"/>
  <sheetViews>
    <sheetView workbookViewId="0">
      <selection activeCell="A2" sqref="A2:B16"/>
    </sheetView>
  </sheetViews>
  <sheetFormatPr defaultRowHeight="14.4" x14ac:dyDescent="0.3"/>
  <sheetData>
    <row r="2" spans="1:2" x14ac:dyDescent="0.3">
      <c r="A2" t="s">
        <v>27</v>
      </c>
      <c r="B2" t="s">
        <v>63</v>
      </c>
    </row>
    <row r="3" spans="1:2" x14ac:dyDescent="0.3">
      <c r="A3" t="s">
        <v>227</v>
      </c>
      <c r="B3" t="s">
        <v>63</v>
      </c>
    </row>
    <row r="4" spans="1:2" x14ac:dyDescent="0.3">
      <c r="A4" t="s">
        <v>25</v>
      </c>
      <c r="B4" t="s">
        <v>63</v>
      </c>
    </row>
    <row r="5" spans="1:2" x14ac:dyDescent="0.3">
      <c r="A5" t="s">
        <v>47</v>
      </c>
      <c r="B5" t="s">
        <v>64</v>
      </c>
    </row>
    <row r="6" spans="1:2" x14ac:dyDescent="0.3">
      <c r="A6" t="s">
        <v>26</v>
      </c>
      <c r="B6" t="s">
        <v>64</v>
      </c>
    </row>
    <row r="7" spans="1:2" x14ac:dyDescent="0.3">
      <c r="A7" t="s">
        <v>48</v>
      </c>
      <c r="B7" t="s">
        <v>63</v>
      </c>
    </row>
    <row r="8" spans="1:2" x14ac:dyDescent="0.3">
      <c r="A8" t="s">
        <v>29</v>
      </c>
      <c r="B8" t="s">
        <v>64</v>
      </c>
    </row>
    <row r="9" spans="1:2" x14ac:dyDescent="0.3">
      <c r="A9" t="s">
        <v>43</v>
      </c>
      <c r="B9" t="s">
        <v>64</v>
      </c>
    </row>
    <row r="10" spans="1:2" x14ac:dyDescent="0.3">
      <c r="A10" t="s">
        <v>473</v>
      </c>
      <c r="B10" t="s">
        <v>64</v>
      </c>
    </row>
    <row r="11" spans="1:2" x14ac:dyDescent="0.3">
      <c r="A11" t="s">
        <v>472</v>
      </c>
      <c r="B11" t="s">
        <v>63</v>
      </c>
    </row>
    <row r="12" spans="1:2" x14ac:dyDescent="0.3">
      <c r="A12" t="s">
        <v>22</v>
      </c>
      <c r="B12" t="s">
        <v>63</v>
      </c>
    </row>
    <row r="13" spans="1:2" x14ac:dyDescent="0.3">
      <c r="A13" t="s">
        <v>30</v>
      </c>
      <c r="B13" t="s">
        <v>64</v>
      </c>
    </row>
    <row r="14" spans="1:2" x14ac:dyDescent="0.3">
      <c r="A14" t="s">
        <v>23</v>
      </c>
      <c r="B14" t="s">
        <v>63</v>
      </c>
    </row>
    <row r="15" spans="1:2" x14ac:dyDescent="0.3">
      <c r="A15" t="s">
        <v>28</v>
      </c>
      <c r="B15" t="s">
        <v>64</v>
      </c>
    </row>
    <row r="16" spans="1:2" x14ac:dyDescent="0.3">
      <c r="A16" t="s">
        <v>24</v>
      </c>
      <c r="B16" t="s">
        <v>63</v>
      </c>
    </row>
    <row r="18" spans="1:1" x14ac:dyDescent="0.3">
      <c r="A18">
        <v>2013</v>
      </c>
    </row>
    <row r="19" spans="1:1" x14ac:dyDescent="0.3">
      <c r="A19">
        <v>2014</v>
      </c>
    </row>
    <row r="20" spans="1:1" x14ac:dyDescent="0.3">
      <c r="A20">
        <v>2015</v>
      </c>
    </row>
    <row r="21" spans="1:1" x14ac:dyDescent="0.3">
      <c r="A21">
        <v>2016</v>
      </c>
    </row>
    <row r="22" spans="1:1" x14ac:dyDescent="0.3">
      <c r="A22">
        <v>2017</v>
      </c>
    </row>
    <row r="23" spans="1:1" x14ac:dyDescent="0.3">
      <c r="A23">
        <v>2018</v>
      </c>
    </row>
    <row r="24" spans="1:1" x14ac:dyDescent="0.3">
      <c r="A24">
        <v>2019</v>
      </c>
    </row>
    <row r="25" spans="1:1" x14ac:dyDescent="0.3">
      <c r="A25">
        <v>2020</v>
      </c>
    </row>
    <row r="26" spans="1:1" x14ac:dyDescent="0.3">
      <c r="A26">
        <v>2021</v>
      </c>
    </row>
    <row r="27" spans="1:1" x14ac:dyDescent="0.3">
      <c r="A27">
        <v>2022</v>
      </c>
    </row>
    <row r="28" spans="1:1" x14ac:dyDescent="0.3">
      <c r="A28">
        <v>2023</v>
      </c>
    </row>
    <row r="29" spans="1:1" x14ac:dyDescent="0.3">
      <c r="A29">
        <v>2024</v>
      </c>
    </row>
    <row r="30" spans="1:1" x14ac:dyDescent="0.3">
      <c r="A30">
        <v>2025</v>
      </c>
    </row>
  </sheetData>
  <pageMargins left="0.7" right="0.7" top="0.75" bottom="0.75" header="0.3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87C1-B5C6-40E0-A2A6-E8ADA51D5B8E}">
  <dimension ref="A1:O181"/>
  <sheetViews>
    <sheetView topLeftCell="A151" workbookViewId="0">
      <selection activeCell="I175" sqref="I175"/>
    </sheetView>
  </sheetViews>
  <sheetFormatPr defaultRowHeight="14.4" x14ac:dyDescent="0.3"/>
  <cols>
    <col min="1" max="1" width="9.109375" style="19"/>
    <col min="2" max="7" width="9.88671875" style="19" customWidth="1"/>
    <col min="8" max="8" width="40.5546875" customWidth="1"/>
    <col min="9" max="15" width="7.88671875" style="19" customWidth="1"/>
  </cols>
  <sheetData>
    <row r="1" spans="1:15" x14ac:dyDescent="0.3">
      <c r="A1" s="44" t="s">
        <v>268</v>
      </c>
      <c r="B1" s="44" t="s">
        <v>5</v>
      </c>
      <c r="C1" s="44" t="s">
        <v>0</v>
      </c>
      <c r="D1" s="44" t="s">
        <v>114</v>
      </c>
      <c r="E1" s="44" t="s">
        <v>269</v>
      </c>
      <c r="F1" s="44" t="s">
        <v>270</v>
      </c>
      <c r="G1" s="44" t="s">
        <v>271</v>
      </c>
      <c r="H1" s="24" t="s">
        <v>272</v>
      </c>
      <c r="I1" s="44" t="s">
        <v>273</v>
      </c>
      <c r="J1" s="44" t="s">
        <v>274</v>
      </c>
      <c r="K1" s="44" t="s">
        <v>275</v>
      </c>
      <c r="L1" s="44" t="s">
        <v>276</v>
      </c>
      <c r="M1" s="44" t="s">
        <v>277</v>
      </c>
      <c r="N1" s="44" t="s">
        <v>278</v>
      </c>
      <c r="O1" s="44" t="s">
        <v>279</v>
      </c>
    </row>
    <row r="2" spans="1:15" x14ac:dyDescent="0.3">
      <c r="A2" s="19">
        <v>1</v>
      </c>
      <c r="B2" s="19" t="s">
        <v>26</v>
      </c>
      <c r="C2" s="19">
        <v>2013</v>
      </c>
      <c r="D2" s="19" t="s">
        <v>291</v>
      </c>
      <c r="E2" s="19" t="s">
        <v>285</v>
      </c>
      <c r="F2" s="19" t="s">
        <v>286</v>
      </c>
      <c r="H2" t="s">
        <v>347</v>
      </c>
      <c r="I2" s="19">
        <v>89.3</v>
      </c>
      <c r="J2" s="19">
        <v>100</v>
      </c>
      <c r="K2" s="19">
        <v>0</v>
      </c>
      <c r="L2" s="19" t="s">
        <v>255</v>
      </c>
      <c r="M2" s="19">
        <v>348</v>
      </c>
      <c r="N2" s="19">
        <v>21.8</v>
      </c>
      <c r="O2" s="19" t="s">
        <v>255</v>
      </c>
    </row>
    <row r="3" spans="1:15" x14ac:dyDescent="0.3">
      <c r="A3" s="19">
        <v>2</v>
      </c>
      <c r="B3" s="19" t="s">
        <v>26</v>
      </c>
      <c r="C3" s="19">
        <v>2013</v>
      </c>
      <c r="D3" s="19" t="s">
        <v>307</v>
      </c>
      <c r="E3" s="19" t="s">
        <v>285</v>
      </c>
      <c r="F3" s="19" t="s">
        <v>282</v>
      </c>
      <c r="G3" s="19" t="s">
        <v>12</v>
      </c>
      <c r="H3" t="s">
        <v>394</v>
      </c>
      <c r="I3" s="19">
        <v>99.1</v>
      </c>
      <c r="J3" s="19">
        <v>100</v>
      </c>
      <c r="K3" s="19">
        <v>0</v>
      </c>
      <c r="L3" s="19" t="s">
        <v>255</v>
      </c>
      <c r="M3" s="19">
        <v>262</v>
      </c>
      <c r="N3" s="19">
        <v>16.399999999999999</v>
      </c>
      <c r="O3" s="19" t="s">
        <v>255</v>
      </c>
    </row>
    <row r="4" spans="1:15" x14ac:dyDescent="0.3">
      <c r="A4" s="19">
        <v>3</v>
      </c>
      <c r="B4" s="19" t="s">
        <v>26</v>
      </c>
      <c r="C4" s="19">
        <v>2013</v>
      </c>
      <c r="D4" s="19" t="s">
        <v>353</v>
      </c>
      <c r="E4" s="19" t="s">
        <v>285</v>
      </c>
      <c r="F4" s="19" t="s">
        <v>282</v>
      </c>
      <c r="H4" t="s">
        <v>354</v>
      </c>
      <c r="I4" s="19">
        <v>53.6</v>
      </c>
      <c r="J4" s="19">
        <v>100</v>
      </c>
      <c r="K4" s="19">
        <v>0</v>
      </c>
      <c r="L4" s="19" t="s">
        <v>255</v>
      </c>
      <c r="M4" s="19">
        <v>149</v>
      </c>
      <c r="N4" s="19">
        <v>9.3000000000000007</v>
      </c>
      <c r="O4" s="19" t="s">
        <v>255</v>
      </c>
    </row>
    <row r="5" spans="1:15" x14ac:dyDescent="0.3">
      <c r="A5" s="19">
        <v>4</v>
      </c>
      <c r="B5" s="19" t="s">
        <v>26</v>
      </c>
      <c r="C5" s="19">
        <v>2013</v>
      </c>
      <c r="D5" s="19" t="s">
        <v>313</v>
      </c>
      <c r="E5" s="19" t="s">
        <v>285</v>
      </c>
      <c r="F5" s="19" t="s">
        <v>289</v>
      </c>
      <c r="G5" s="19" t="s">
        <v>12</v>
      </c>
      <c r="H5" t="s">
        <v>344</v>
      </c>
      <c r="I5" s="19">
        <v>98.1</v>
      </c>
      <c r="J5" s="19">
        <v>100</v>
      </c>
      <c r="K5" s="19">
        <v>0</v>
      </c>
      <c r="L5" s="19" t="s">
        <v>255</v>
      </c>
      <c r="M5" s="19">
        <v>220</v>
      </c>
      <c r="N5" s="19">
        <v>13.8</v>
      </c>
      <c r="O5" s="19" t="s">
        <v>255</v>
      </c>
    </row>
    <row r="6" spans="1:15" x14ac:dyDescent="0.3">
      <c r="A6" s="19">
        <v>5</v>
      </c>
      <c r="B6" s="19" t="s">
        <v>26</v>
      </c>
      <c r="C6" s="19">
        <v>2013</v>
      </c>
      <c r="D6" s="19" t="s">
        <v>362</v>
      </c>
      <c r="E6" s="19" t="s">
        <v>285</v>
      </c>
      <c r="F6" s="19" t="s">
        <v>289</v>
      </c>
      <c r="H6" t="s">
        <v>383</v>
      </c>
      <c r="I6" s="19">
        <v>64</v>
      </c>
      <c r="J6" s="19">
        <v>100</v>
      </c>
      <c r="K6" s="19">
        <v>0</v>
      </c>
      <c r="L6" s="19" t="s">
        <v>255</v>
      </c>
      <c r="M6" s="19">
        <v>221</v>
      </c>
      <c r="N6" s="19">
        <v>15.8</v>
      </c>
      <c r="O6" s="19" t="s">
        <v>255</v>
      </c>
    </row>
    <row r="7" spans="1:15" x14ac:dyDescent="0.3">
      <c r="A7" s="19">
        <v>6</v>
      </c>
      <c r="B7" s="19" t="s">
        <v>26</v>
      </c>
      <c r="C7" s="19">
        <v>2013</v>
      </c>
      <c r="D7" s="19" t="s">
        <v>342</v>
      </c>
      <c r="E7" s="19" t="s">
        <v>285</v>
      </c>
      <c r="F7" s="19" t="s">
        <v>316</v>
      </c>
      <c r="H7" t="s">
        <v>343</v>
      </c>
      <c r="I7" s="19">
        <v>16.3</v>
      </c>
      <c r="J7" s="19">
        <v>30.6</v>
      </c>
      <c r="K7" s="19">
        <v>0</v>
      </c>
      <c r="L7" s="19" t="s">
        <v>255</v>
      </c>
      <c r="M7" s="19">
        <v>87</v>
      </c>
      <c r="N7" s="19">
        <v>5.8</v>
      </c>
      <c r="O7" s="19" t="s">
        <v>255</v>
      </c>
    </row>
    <row r="8" spans="1:15" x14ac:dyDescent="0.3">
      <c r="A8" s="19">
        <v>7</v>
      </c>
      <c r="B8" s="19" t="s">
        <v>26</v>
      </c>
      <c r="C8" s="19">
        <v>2013</v>
      </c>
      <c r="D8" s="19" t="s">
        <v>293</v>
      </c>
      <c r="E8" s="19" t="s">
        <v>285</v>
      </c>
      <c r="F8" s="19" t="s">
        <v>282</v>
      </c>
      <c r="H8" t="s">
        <v>420</v>
      </c>
      <c r="I8" s="19">
        <v>83.5</v>
      </c>
      <c r="J8" s="19">
        <v>100</v>
      </c>
      <c r="K8" s="19">
        <v>0</v>
      </c>
      <c r="L8" s="19" t="s">
        <v>255</v>
      </c>
      <c r="M8" s="19">
        <v>174</v>
      </c>
      <c r="N8" s="19">
        <v>12.4</v>
      </c>
      <c r="O8" s="19" t="s">
        <v>255</v>
      </c>
    </row>
    <row r="9" spans="1:15" x14ac:dyDescent="0.3">
      <c r="A9" s="19">
        <v>8</v>
      </c>
      <c r="B9" s="19" t="s">
        <v>26</v>
      </c>
      <c r="C9" s="19">
        <v>2013</v>
      </c>
      <c r="D9" s="19" t="s">
        <v>330</v>
      </c>
      <c r="E9" s="19" t="s">
        <v>285</v>
      </c>
      <c r="F9" s="19" t="s">
        <v>301</v>
      </c>
      <c r="G9" s="19" t="s">
        <v>12</v>
      </c>
      <c r="H9" t="s">
        <v>425</v>
      </c>
      <c r="I9" s="19">
        <v>92.2</v>
      </c>
      <c r="J9" s="19">
        <v>100</v>
      </c>
      <c r="K9" s="19">
        <v>0</v>
      </c>
      <c r="L9" s="19" t="s">
        <v>255</v>
      </c>
      <c r="M9" s="19">
        <v>195</v>
      </c>
      <c r="N9" s="19">
        <v>12.2</v>
      </c>
      <c r="O9" s="19" t="s">
        <v>255</v>
      </c>
    </row>
    <row r="10" spans="1:15" x14ac:dyDescent="0.3">
      <c r="A10" s="19">
        <v>9</v>
      </c>
      <c r="B10" s="19" t="s">
        <v>26</v>
      </c>
      <c r="C10" s="19">
        <v>2013</v>
      </c>
      <c r="D10" s="19" t="s">
        <v>310</v>
      </c>
      <c r="E10" s="19" t="s">
        <v>285</v>
      </c>
      <c r="F10" s="19" t="s">
        <v>314</v>
      </c>
      <c r="G10" s="19" t="s">
        <v>12</v>
      </c>
      <c r="H10" t="s">
        <v>429</v>
      </c>
      <c r="I10" s="19">
        <v>85.1</v>
      </c>
      <c r="J10" s="19">
        <v>99.3</v>
      </c>
      <c r="K10" s="19">
        <v>0</v>
      </c>
      <c r="L10" s="19" t="s">
        <v>255</v>
      </c>
      <c r="M10" s="19">
        <v>176</v>
      </c>
      <c r="N10" s="19">
        <v>11</v>
      </c>
      <c r="O10" s="19" t="s">
        <v>255</v>
      </c>
    </row>
    <row r="11" spans="1:15" x14ac:dyDescent="0.3">
      <c r="A11" s="19">
        <v>10</v>
      </c>
      <c r="B11" s="19" t="s">
        <v>26</v>
      </c>
      <c r="C11" s="19">
        <v>2013</v>
      </c>
      <c r="D11" s="19" t="s">
        <v>378</v>
      </c>
      <c r="E11" s="19" t="s">
        <v>281</v>
      </c>
      <c r="F11" s="19" t="s">
        <v>286</v>
      </c>
      <c r="H11" t="s">
        <v>379</v>
      </c>
      <c r="I11" s="19">
        <v>10.7</v>
      </c>
      <c r="J11" s="19">
        <v>51.5</v>
      </c>
      <c r="K11" s="19">
        <v>0</v>
      </c>
      <c r="L11" s="19" t="s">
        <v>255</v>
      </c>
      <c r="M11" s="19">
        <v>194</v>
      </c>
      <c r="N11" s="19">
        <v>12.1</v>
      </c>
      <c r="O11" s="19" t="s">
        <v>255</v>
      </c>
    </row>
    <row r="12" spans="1:15" x14ac:dyDescent="0.3">
      <c r="A12" s="19">
        <v>11</v>
      </c>
      <c r="B12" s="19" t="s">
        <v>26</v>
      </c>
      <c r="C12" s="19">
        <v>2013</v>
      </c>
      <c r="D12" s="19" t="s">
        <v>293</v>
      </c>
      <c r="E12" s="19" t="s">
        <v>281</v>
      </c>
      <c r="F12" s="19" t="s">
        <v>316</v>
      </c>
      <c r="H12" t="s">
        <v>317</v>
      </c>
      <c r="I12" s="19">
        <v>7.4</v>
      </c>
      <c r="J12" s="19">
        <v>27.2</v>
      </c>
      <c r="K12" s="19">
        <v>0</v>
      </c>
      <c r="L12" s="19" t="s">
        <v>255</v>
      </c>
      <c r="M12" s="19">
        <v>46</v>
      </c>
      <c r="N12" s="19">
        <v>3.3</v>
      </c>
      <c r="O12" s="19" t="s">
        <v>255</v>
      </c>
    </row>
    <row r="13" spans="1:15" x14ac:dyDescent="0.3">
      <c r="A13" s="19">
        <v>12</v>
      </c>
      <c r="B13" s="19" t="s">
        <v>26</v>
      </c>
      <c r="C13" s="19">
        <v>2013</v>
      </c>
      <c r="D13" s="19" t="s">
        <v>378</v>
      </c>
      <c r="E13" s="19" t="s">
        <v>281</v>
      </c>
      <c r="F13" s="19" t="s">
        <v>301</v>
      </c>
      <c r="H13" t="s">
        <v>418</v>
      </c>
      <c r="I13" s="19">
        <v>36.700000000000003</v>
      </c>
      <c r="J13" s="19">
        <v>58.1</v>
      </c>
      <c r="K13" s="19">
        <v>0</v>
      </c>
      <c r="L13" s="19" t="s">
        <v>255</v>
      </c>
      <c r="M13" s="19">
        <v>105</v>
      </c>
      <c r="N13" s="19">
        <v>6.6</v>
      </c>
      <c r="O13" s="19" t="s">
        <v>255</v>
      </c>
    </row>
    <row r="14" spans="1:15" x14ac:dyDescent="0.3">
      <c r="A14" s="19">
        <v>13</v>
      </c>
      <c r="B14" s="19" t="s">
        <v>26</v>
      </c>
      <c r="C14" s="19">
        <v>2013</v>
      </c>
      <c r="D14" s="19" t="s">
        <v>297</v>
      </c>
      <c r="E14" s="19" t="s">
        <v>281</v>
      </c>
      <c r="F14" s="19" t="s">
        <v>289</v>
      </c>
      <c r="H14" t="s">
        <v>298</v>
      </c>
      <c r="I14" s="19">
        <v>40</v>
      </c>
      <c r="J14" s="19">
        <v>96.4</v>
      </c>
      <c r="K14" s="19">
        <v>0</v>
      </c>
      <c r="L14" s="19" t="s">
        <v>255</v>
      </c>
      <c r="M14" s="19">
        <v>153</v>
      </c>
      <c r="N14" s="19">
        <v>9.6</v>
      </c>
      <c r="O14" s="19" t="s">
        <v>255</v>
      </c>
    </row>
    <row r="15" spans="1:15" x14ac:dyDescent="0.3">
      <c r="A15" s="19">
        <v>14</v>
      </c>
      <c r="B15" s="19" t="s">
        <v>26</v>
      </c>
      <c r="C15" s="19">
        <v>2013</v>
      </c>
      <c r="D15" s="19" t="s">
        <v>374</v>
      </c>
      <c r="E15" s="19" t="s">
        <v>281</v>
      </c>
      <c r="F15" s="19" t="s">
        <v>289</v>
      </c>
      <c r="H15" t="s">
        <v>375</v>
      </c>
      <c r="I15" s="19">
        <v>1.2</v>
      </c>
      <c r="J15" s="19">
        <v>3.8</v>
      </c>
      <c r="K15" s="19">
        <v>0</v>
      </c>
      <c r="L15" s="19" t="s">
        <v>255</v>
      </c>
      <c r="M15" s="19">
        <v>70</v>
      </c>
      <c r="N15" s="19">
        <v>4.4000000000000004</v>
      </c>
      <c r="O15" s="19" t="s">
        <v>255</v>
      </c>
    </row>
    <row r="16" spans="1:15" x14ac:dyDescent="0.3">
      <c r="A16" s="19">
        <v>15</v>
      </c>
      <c r="B16" s="19" t="s">
        <v>26</v>
      </c>
      <c r="C16" s="19">
        <v>2013</v>
      </c>
      <c r="D16" s="19" t="s">
        <v>299</v>
      </c>
      <c r="E16" s="19" t="s">
        <v>281</v>
      </c>
      <c r="F16" s="19" t="s">
        <v>282</v>
      </c>
      <c r="H16" t="s">
        <v>300</v>
      </c>
      <c r="I16" s="19">
        <v>60</v>
      </c>
      <c r="J16" s="19">
        <v>78.5</v>
      </c>
      <c r="K16" s="19">
        <v>0.1</v>
      </c>
      <c r="L16" s="19" t="s">
        <v>255</v>
      </c>
      <c r="M16" s="19">
        <v>81</v>
      </c>
      <c r="N16" s="19">
        <v>10.1</v>
      </c>
      <c r="O16" s="19" t="s">
        <v>255</v>
      </c>
    </row>
    <row r="17" spans="1:15" x14ac:dyDescent="0.3">
      <c r="A17" s="19">
        <v>16</v>
      </c>
      <c r="B17" s="19" t="s">
        <v>26</v>
      </c>
      <c r="C17" s="19">
        <v>2013</v>
      </c>
      <c r="D17" s="19" t="s">
        <v>295</v>
      </c>
      <c r="E17" s="19" t="s">
        <v>281</v>
      </c>
      <c r="F17" s="19" t="s">
        <v>282</v>
      </c>
      <c r="H17" t="s">
        <v>417</v>
      </c>
      <c r="I17" s="19">
        <v>20.3</v>
      </c>
      <c r="J17" s="19">
        <v>81.7</v>
      </c>
      <c r="K17" s="19">
        <v>0</v>
      </c>
      <c r="L17" s="19" t="s">
        <v>255</v>
      </c>
      <c r="M17" s="19">
        <v>115</v>
      </c>
      <c r="N17" s="19">
        <v>7.7</v>
      </c>
      <c r="O17" s="19" t="s">
        <v>255</v>
      </c>
    </row>
    <row r="18" spans="1:15" x14ac:dyDescent="0.3">
      <c r="A18" s="19">
        <v>17</v>
      </c>
      <c r="B18" s="19" t="s">
        <v>28</v>
      </c>
      <c r="C18" s="19">
        <v>2014</v>
      </c>
      <c r="D18" s="19" t="s">
        <v>307</v>
      </c>
      <c r="E18" s="19" t="s">
        <v>285</v>
      </c>
      <c r="F18" s="19" t="s">
        <v>286</v>
      </c>
      <c r="H18" t="s">
        <v>398</v>
      </c>
      <c r="I18" s="19">
        <v>0</v>
      </c>
      <c r="J18" s="19">
        <v>0.1</v>
      </c>
      <c r="K18" s="19">
        <v>-0.1</v>
      </c>
      <c r="L18" s="19" t="s">
        <v>255</v>
      </c>
      <c r="M18" s="19">
        <v>134</v>
      </c>
      <c r="N18" s="19">
        <v>67</v>
      </c>
      <c r="O18" s="19" t="s">
        <v>255</v>
      </c>
    </row>
    <row r="19" spans="1:15" x14ac:dyDescent="0.3">
      <c r="A19" s="19">
        <v>18</v>
      </c>
      <c r="B19" s="19" t="s">
        <v>28</v>
      </c>
      <c r="C19" s="19">
        <v>2014</v>
      </c>
      <c r="D19" s="19" t="s">
        <v>321</v>
      </c>
      <c r="E19" s="19" t="s">
        <v>285</v>
      </c>
      <c r="F19" s="19" t="s">
        <v>282</v>
      </c>
      <c r="H19" t="s">
        <v>437</v>
      </c>
      <c r="I19" s="19">
        <v>0.2</v>
      </c>
      <c r="J19" s="19">
        <v>0.4</v>
      </c>
      <c r="K19" s="19">
        <v>-0.4</v>
      </c>
      <c r="L19" s="19" t="s">
        <v>255</v>
      </c>
      <c r="M19" s="19">
        <v>111</v>
      </c>
      <c r="N19" s="19">
        <v>6.9</v>
      </c>
      <c r="O19" s="19" t="s">
        <v>255</v>
      </c>
    </row>
    <row r="20" spans="1:15" x14ac:dyDescent="0.3">
      <c r="A20" s="19">
        <v>19</v>
      </c>
      <c r="B20" s="19" t="s">
        <v>28</v>
      </c>
      <c r="C20" s="19">
        <v>2014</v>
      </c>
      <c r="D20" s="19" t="s">
        <v>368</v>
      </c>
      <c r="E20" s="19" t="s">
        <v>285</v>
      </c>
      <c r="F20" s="19" t="s">
        <v>282</v>
      </c>
      <c r="H20" t="s">
        <v>390</v>
      </c>
      <c r="I20" s="19">
        <v>0.6</v>
      </c>
      <c r="J20" s="19">
        <v>0.9</v>
      </c>
      <c r="K20" s="19">
        <v>-1.2</v>
      </c>
      <c r="L20" s="19" t="s">
        <v>255</v>
      </c>
      <c r="M20" s="19">
        <v>171</v>
      </c>
      <c r="N20" s="19">
        <v>12.2</v>
      </c>
      <c r="O20" s="19" t="s">
        <v>255</v>
      </c>
    </row>
    <row r="21" spans="1:15" x14ac:dyDescent="0.3">
      <c r="A21" s="19">
        <v>20</v>
      </c>
      <c r="B21" s="19" t="s">
        <v>28</v>
      </c>
      <c r="C21" s="19">
        <v>2014</v>
      </c>
      <c r="D21" s="19" t="s">
        <v>334</v>
      </c>
      <c r="E21" s="19" t="s">
        <v>285</v>
      </c>
      <c r="F21" s="19" t="s">
        <v>289</v>
      </c>
      <c r="H21" t="s">
        <v>346</v>
      </c>
      <c r="I21" s="19">
        <v>47.7</v>
      </c>
      <c r="J21" s="19">
        <v>51.6</v>
      </c>
      <c r="K21" s="19">
        <v>-18.100000000000001</v>
      </c>
      <c r="L21" s="19" t="s">
        <v>255</v>
      </c>
      <c r="M21" s="19">
        <v>221</v>
      </c>
      <c r="N21" s="19">
        <v>13.8</v>
      </c>
      <c r="O21" s="19" t="s">
        <v>255</v>
      </c>
    </row>
    <row r="22" spans="1:15" x14ac:dyDescent="0.3">
      <c r="A22" s="19">
        <v>21</v>
      </c>
      <c r="B22" s="19" t="s">
        <v>28</v>
      </c>
      <c r="C22" s="19">
        <v>2014</v>
      </c>
      <c r="D22" s="19" t="s">
        <v>288</v>
      </c>
      <c r="E22" s="19" t="s">
        <v>285</v>
      </c>
      <c r="F22" s="19" t="s">
        <v>289</v>
      </c>
      <c r="H22" t="s">
        <v>290</v>
      </c>
      <c r="I22" s="19">
        <v>5.0999999999999996</v>
      </c>
      <c r="J22" s="19">
        <v>6.3</v>
      </c>
      <c r="K22" s="19">
        <v>-5.2</v>
      </c>
      <c r="L22" s="19" t="s">
        <v>255</v>
      </c>
      <c r="M22" s="19">
        <v>167</v>
      </c>
      <c r="N22" s="19">
        <v>12.8</v>
      </c>
      <c r="O22" s="19" t="s">
        <v>255</v>
      </c>
    </row>
    <row r="23" spans="1:15" x14ac:dyDescent="0.3">
      <c r="A23" s="19">
        <v>22</v>
      </c>
      <c r="B23" s="19" t="s">
        <v>28</v>
      </c>
      <c r="C23" s="19">
        <v>2014</v>
      </c>
      <c r="D23" s="19" t="s">
        <v>358</v>
      </c>
      <c r="E23" s="19" t="s">
        <v>285</v>
      </c>
      <c r="F23" s="19" t="s">
        <v>316</v>
      </c>
      <c r="G23" s="19" t="s">
        <v>12</v>
      </c>
      <c r="H23" t="s">
        <v>359</v>
      </c>
      <c r="I23" s="19">
        <v>1.7</v>
      </c>
      <c r="J23" s="19">
        <v>2.2000000000000002</v>
      </c>
      <c r="K23" s="19">
        <v>-2.8</v>
      </c>
      <c r="L23" s="19" t="s">
        <v>255</v>
      </c>
      <c r="M23" s="19">
        <v>131</v>
      </c>
      <c r="N23" s="19">
        <v>14.6</v>
      </c>
      <c r="O23" s="19" t="s">
        <v>255</v>
      </c>
    </row>
    <row r="24" spans="1:15" x14ac:dyDescent="0.3">
      <c r="A24" s="19">
        <v>23</v>
      </c>
      <c r="B24" s="19" t="s">
        <v>28</v>
      </c>
      <c r="C24" s="19">
        <v>2014</v>
      </c>
      <c r="D24" s="19" t="s">
        <v>280</v>
      </c>
      <c r="E24" s="19" t="s">
        <v>285</v>
      </c>
      <c r="F24" s="19" t="s">
        <v>282</v>
      </c>
      <c r="H24" t="s">
        <v>336</v>
      </c>
      <c r="I24" s="19">
        <v>0.1</v>
      </c>
      <c r="J24" s="19">
        <v>0.2</v>
      </c>
      <c r="K24" s="19">
        <v>-0.2</v>
      </c>
      <c r="L24" s="19" t="s">
        <v>255</v>
      </c>
      <c r="M24" s="19">
        <v>47</v>
      </c>
      <c r="N24" s="19">
        <v>2.9</v>
      </c>
      <c r="O24" s="19" t="s">
        <v>255</v>
      </c>
    </row>
    <row r="25" spans="1:15" x14ac:dyDescent="0.3">
      <c r="A25" s="19">
        <v>24</v>
      </c>
      <c r="B25" s="19" t="s">
        <v>28</v>
      </c>
      <c r="C25" s="19">
        <v>2014</v>
      </c>
      <c r="D25" s="19" t="s">
        <v>307</v>
      </c>
      <c r="E25" s="19" t="s">
        <v>285</v>
      </c>
      <c r="F25" s="19" t="s">
        <v>301</v>
      </c>
      <c r="H25" t="s">
        <v>348</v>
      </c>
      <c r="I25" s="19">
        <v>0.1</v>
      </c>
      <c r="J25" s="19">
        <v>0.2</v>
      </c>
      <c r="K25" s="19">
        <v>-0.3</v>
      </c>
      <c r="L25" s="19" t="s">
        <v>255</v>
      </c>
      <c r="M25" s="19">
        <v>159</v>
      </c>
      <c r="N25" s="19">
        <v>9.9</v>
      </c>
      <c r="O25" s="19" t="s">
        <v>255</v>
      </c>
    </row>
    <row r="26" spans="1:15" x14ac:dyDescent="0.3">
      <c r="A26" s="19">
        <v>25</v>
      </c>
      <c r="B26" s="19" t="s">
        <v>28</v>
      </c>
      <c r="C26" s="19">
        <v>2014</v>
      </c>
      <c r="D26" s="19" t="s">
        <v>310</v>
      </c>
      <c r="E26" s="19" t="s">
        <v>285</v>
      </c>
      <c r="F26" s="19" t="s">
        <v>314</v>
      </c>
      <c r="G26" s="19" t="s">
        <v>12</v>
      </c>
      <c r="H26" t="s">
        <v>429</v>
      </c>
      <c r="I26" s="19">
        <v>4.7</v>
      </c>
      <c r="J26" s="19">
        <v>5.0999999999999996</v>
      </c>
      <c r="K26" s="19">
        <v>-5.7</v>
      </c>
      <c r="L26" s="19" t="s">
        <v>255</v>
      </c>
      <c r="M26" s="19">
        <v>168</v>
      </c>
      <c r="N26" s="19">
        <v>10.5</v>
      </c>
      <c r="O26" s="19" t="s">
        <v>255</v>
      </c>
    </row>
    <row r="27" spans="1:15" x14ac:dyDescent="0.3">
      <c r="A27" s="19">
        <v>26</v>
      </c>
      <c r="B27" s="19" t="s">
        <v>28</v>
      </c>
      <c r="C27" s="19">
        <v>2014</v>
      </c>
      <c r="D27" s="19" t="s">
        <v>280</v>
      </c>
      <c r="E27" s="19" t="s">
        <v>281</v>
      </c>
      <c r="F27" s="19" t="s">
        <v>289</v>
      </c>
      <c r="H27" t="s">
        <v>430</v>
      </c>
      <c r="I27" s="19">
        <v>2.1</v>
      </c>
      <c r="J27" s="19">
        <v>2.9</v>
      </c>
      <c r="K27" s="19">
        <v>-3.1</v>
      </c>
      <c r="L27" s="19" t="s">
        <v>255</v>
      </c>
      <c r="M27" s="19">
        <v>172</v>
      </c>
      <c r="N27" s="19">
        <v>12.3</v>
      </c>
      <c r="O27" s="19" t="s">
        <v>255</v>
      </c>
    </row>
    <row r="28" spans="1:15" x14ac:dyDescent="0.3">
      <c r="A28" s="19">
        <v>27</v>
      </c>
      <c r="B28" s="19" t="s">
        <v>28</v>
      </c>
      <c r="C28" s="19">
        <v>2014</v>
      </c>
      <c r="D28" s="19" t="s">
        <v>305</v>
      </c>
      <c r="E28" s="19" t="s">
        <v>281</v>
      </c>
      <c r="F28" s="19" t="s">
        <v>282</v>
      </c>
      <c r="H28" t="s">
        <v>433</v>
      </c>
      <c r="I28" s="19">
        <v>0</v>
      </c>
      <c r="J28" s="19">
        <v>0</v>
      </c>
      <c r="K28" s="19">
        <v>0</v>
      </c>
      <c r="L28" s="19" t="s">
        <v>255</v>
      </c>
      <c r="M28" s="19">
        <v>48</v>
      </c>
      <c r="N28" s="19">
        <v>3</v>
      </c>
      <c r="O28" s="19" t="s">
        <v>255</v>
      </c>
    </row>
    <row r="29" spans="1:15" x14ac:dyDescent="0.3">
      <c r="A29" s="19">
        <v>28</v>
      </c>
      <c r="B29" s="19" t="s">
        <v>28</v>
      </c>
      <c r="C29" s="19">
        <v>2014</v>
      </c>
      <c r="D29" s="19" t="s">
        <v>324</v>
      </c>
      <c r="E29" s="19" t="s">
        <v>281</v>
      </c>
      <c r="F29" s="19" t="s">
        <v>286</v>
      </c>
      <c r="H29" t="s">
        <v>415</v>
      </c>
      <c r="I29" s="19">
        <v>0.3</v>
      </c>
      <c r="J29" s="19">
        <v>0.6</v>
      </c>
      <c r="K29" s="19">
        <v>-0.6</v>
      </c>
      <c r="L29" s="19" t="s">
        <v>255</v>
      </c>
      <c r="M29" s="19">
        <v>258</v>
      </c>
      <c r="N29" s="19">
        <v>16.100000000000001</v>
      </c>
      <c r="O29" s="19" t="s">
        <v>255</v>
      </c>
    </row>
    <row r="30" spans="1:15" x14ac:dyDescent="0.3">
      <c r="A30" s="19">
        <v>29</v>
      </c>
      <c r="B30" s="19" t="s">
        <v>28</v>
      </c>
      <c r="C30" s="19">
        <v>2014</v>
      </c>
      <c r="D30" s="19" t="s">
        <v>295</v>
      </c>
      <c r="E30" s="19" t="s">
        <v>281</v>
      </c>
      <c r="F30" s="19" t="s">
        <v>282</v>
      </c>
      <c r="H30" t="s">
        <v>296</v>
      </c>
      <c r="I30" s="19">
        <v>0</v>
      </c>
      <c r="J30" s="19">
        <v>0.2</v>
      </c>
      <c r="K30" s="19">
        <v>-0.1</v>
      </c>
      <c r="L30" s="19" t="s">
        <v>255</v>
      </c>
      <c r="M30" s="19">
        <v>122</v>
      </c>
      <c r="N30" s="19">
        <v>7.6</v>
      </c>
      <c r="O30" s="19" t="s">
        <v>255</v>
      </c>
    </row>
    <row r="31" spans="1:15" x14ac:dyDescent="0.3">
      <c r="A31" s="19">
        <v>30</v>
      </c>
      <c r="B31" s="19" t="s">
        <v>28</v>
      </c>
      <c r="C31" s="19">
        <v>2014</v>
      </c>
      <c r="D31" s="19" t="s">
        <v>280</v>
      </c>
      <c r="E31" s="19" t="s">
        <v>281</v>
      </c>
      <c r="F31" s="19" t="s">
        <v>282</v>
      </c>
      <c r="H31" t="s">
        <v>283</v>
      </c>
      <c r="I31" s="19">
        <v>0</v>
      </c>
      <c r="J31" s="19">
        <v>0</v>
      </c>
      <c r="K31" s="19">
        <v>0</v>
      </c>
      <c r="L31" s="19" t="s">
        <v>255</v>
      </c>
      <c r="M31" s="19">
        <v>108</v>
      </c>
      <c r="N31" s="19">
        <v>6.8</v>
      </c>
      <c r="O31" s="19" t="s">
        <v>255</v>
      </c>
    </row>
    <row r="32" spans="1:15" x14ac:dyDescent="0.3">
      <c r="A32" s="19">
        <v>31</v>
      </c>
      <c r="B32" s="19" t="s">
        <v>23</v>
      </c>
      <c r="C32" s="19">
        <v>2015</v>
      </c>
      <c r="D32" s="19" t="s">
        <v>305</v>
      </c>
      <c r="E32" s="19" t="s">
        <v>285</v>
      </c>
      <c r="F32" s="19" t="s">
        <v>286</v>
      </c>
      <c r="H32" t="s">
        <v>306</v>
      </c>
      <c r="I32" s="19">
        <v>46.3</v>
      </c>
      <c r="J32" s="19">
        <v>87.1</v>
      </c>
      <c r="K32" s="19">
        <v>-1.1000000000000001</v>
      </c>
      <c r="L32" s="19" t="s">
        <v>255</v>
      </c>
      <c r="M32" s="19">
        <v>595</v>
      </c>
      <c r="N32" s="19">
        <v>37.200000000000003</v>
      </c>
      <c r="O32" s="19" t="s">
        <v>255</v>
      </c>
    </row>
    <row r="33" spans="1:15" x14ac:dyDescent="0.3">
      <c r="A33" s="19">
        <v>32</v>
      </c>
      <c r="B33" s="19" t="s">
        <v>23</v>
      </c>
      <c r="C33" s="19">
        <v>2015</v>
      </c>
      <c r="D33" s="19" t="s">
        <v>312</v>
      </c>
      <c r="E33" s="19" t="s">
        <v>285</v>
      </c>
      <c r="F33" s="19" t="s">
        <v>282</v>
      </c>
      <c r="H33" t="s">
        <v>403</v>
      </c>
      <c r="I33" s="19">
        <v>72.900000000000006</v>
      </c>
      <c r="J33" s="19">
        <v>98.9</v>
      </c>
      <c r="K33" s="19">
        <v>-0.1</v>
      </c>
      <c r="L33" s="19" t="s">
        <v>255</v>
      </c>
      <c r="M33" s="19">
        <v>1329</v>
      </c>
      <c r="N33" s="19">
        <v>102.2</v>
      </c>
      <c r="O33" s="19" t="s">
        <v>255</v>
      </c>
    </row>
    <row r="34" spans="1:15" x14ac:dyDescent="0.3">
      <c r="A34" s="19">
        <v>33</v>
      </c>
      <c r="B34" s="19" t="s">
        <v>23</v>
      </c>
      <c r="C34" s="19">
        <v>2015</v>
      </c>
      <c r="D34" s="19" t="s">
        <v>280</v>
      </c>
      <c r="E34" s="19" t="s">
        <v>285</v>
      </c>
      <c r="F34" s="19" t="s">
        <v>282</v>
      </c>
      <c r="H34" t="s">
        <v>352</v>
      </c>
      <c r="I34" s="19">
        <v>60.1</v>
      </c>
      <c r="J34" s="19">
        <v>95.3</v>
      </c>
      <c r="K34" s="19">
        <v>-0.8</v>
      </c>
      <c r="L34" s="19" t="s">
        <v>255</v>
      </c>
      <c r="M34" s="19">
        <v>1270</v>
      </c>
      <c r="N34" s="19">
        <v>79.400000000000006</v>
      </c>
      <c r="O34" s="19" t="s">
        <v>255</v>
      </c>
    </row>
    <row r="35" spans="1:15" x14ac:dyDescent="0.3">
      <c r="A35" s="19">
        <v>34</v>
      </c>
      <c r="B35" s="19" t="s">
        <v>23</v>
      </c>
      <c r="C35" s="19">
        <v>2015</v>
      </c>
      <c r="D35" s="19" t="s">
        <v>299</v>
      </c>
      <c r="E35" s="19" t="s">
        <v>285</v>
      </c>
      <c r="F35" s="19" t="s">
        <v>289</v>
      </c>
      <c r="G35" s="19" t="s">
        <v>12</v>
      </c>
      <c r="H35" t="s">
        <v>340</v>
      </c>
      <c r="I35" s="19">
        <v>93.4</v>
      </c>
      <c r="J35" s="19">
        <v>99.8</v>
      </c>
      <c r="K35" s="19">
        <v>0</v>
      </c>
      <c r="L35" s="19" t="s">
        <v>255</v>
      </c>
      <c r="M35" s="19">
        <v>1589</v>
      </c>
      <c r="N35" s="19">
        <v>99.3</v>
      </c>
      <c r="O35" s="19" t="s">
        <v>255</v>
      </c>
    </row>
    <row r="36" spans="1:15" x14ac:dyDescent="0.3">
      <c r="A36" s="19">
        <v>35</v>
      </c>
      <c r="B36" s="19" t="s">
        <v>23</v>
      </c>
      <c r="C36" s="19">
        <v>2015</v>
      </c>
      <c r="D36" s="19" t="s">
        <v>312</v>
      </c>
      <c r="E36" s="19" t="s">
        <v>285</v>
      </c>
      <c r="F36" s="19" t="s">
        <v>289</v>
      </c>
      <c r="H36" t="s">
        <v>534</v>
      </c>
      <c r="I36" s="19">
        <v>90.2</v>
      </c>
      <c r="J36" s="19">
        <v>98.7</v>
      </c>
      <c r="K36" s="19">
        <v>0</v>
      </c>
      <c r="L36" s="19" t="s">
        <v>255</v>
      </c>
      <c r="M36" s="19">
        <v>1582</v>
      </c>
      <c r="N36" s="19">
        <v>98.9</v>
      </c>
      <c r="O36" s="19" t="s">
        <v>255</v>
      </c>
    </row>
    <row r="37" spans="1:15" x14ac:dyDescent="0.3">
      <c r="A37" s="19">
        <v>36</v>
      </c>
      <c r="B37" s="19" t="s">
        <v>23</v>
      </c>
      <c r="C37" s="19">
        <v>2015</v>
      </c>
      <c r="D37" s="19" t="s">
        <v>358</v>
      </c>
      <c r="E37" s="19" t="s">
        <v>285</v>
      </c>
      <c r="F37" s="19" t="s">
        <v>316</v>
      </c>
      <c r="G37" s="19" t="s">
        <v>12</v>
      </c>
      <c r="H37" t="s">
        <v>359</v>
      </c>
      <c r="I37" s="19">
        <v>89.5</v>
      </c>
      <c r="J37" s="19">
        <v>99.7</v>
      </c>
      <c r="K37" s="19">
        <v>0</v>
      </c>
      <c r="L37" s="19" t="s">
        <v>255</v>
      </c>
      <c r="M37" s="19">
        <v>1144</v>
      </c>
      <c r="N37" s="19">
        <v>71.5</v>
      </c>
      <c r="O37" s="19" t="s">
        <v>255</v>
      </c>
    </row>
    <row r="38" spans="1:15" x14ac:dyDescent="0.3">
      <c r="A38" s="19">
        <v>37</v>
      </c>
      <c r="B38" s="19" t="s">
        <v>23</v>
      </c>
      <c r="C38" s="19">
        <v>2015</v>
      </c>
      <c r="D38" s="19" t="s">
        <v>318</v>
      </c>
      <c r="E38" s="19" t="s">
        <v>285</v>
      </c>
      <c r="F38" s="19" t="s">
        <v>289</v>
      </c>
      <c r="G38" s="19" t="s">
        <v>12</v>
      </c>
      <c r="H38" t="s">
        <v>407</v>
      </c>
      <c r="I38" s="19">
        <v>67.3</v>
      </c>
      <c r="J38" s="19">
        <v>97.9</v>
      </c>
      <c r="K38" s="19">
        <v>-0.1</v>
      </c>
      <c r="L38" s="19" t="s">
        <v>255</v>
      </c>
      <c r="M38" s="19">
        <v>1222</v>
      </c>
      <c r="N38" s="19">
        <v>81.5</v>
      </c>
      <c r="O38" s="19" t="s">
        <v>255</v>
      </c>
    </row>
    <row r="39" spans="1:15" x14ac:dyDescent="0.3">
      <c r="A39" s="19">
        <v>38</v>
      </c>
      <c r="B39" s="19" t="s">
        <v>23</v>
      </c>
      <c r="C39" s="19">
        <v>2015</v>
      </c>
      <c r="D39" s="19" t="s">
        <v>293</v>
      </c>
      <c r="E39" s="19" t="s">
        <v>285</v>
      </c>
      <c r="F39" s="19" t="s">
        <v>301</v>
      </c>
      <c r="G39" s="19" t="s">
        <v>12</v>
      </c>
      <c r="H39" t="s">
        <v>396</v>
      </c>
      <c r="I39" s="19">
        <v>8.1999999999999993</v>
      </c>
      <c r="J39" s="19">
        <v>17</v>
      </c>
      <c r="K39" s="19">
        <v>-0.9</v>
      </c>
      <c r="L39" s="19" t="s">
        <v>255</v>
      </c>
      <c r="M39" s="19">
        <v>84</v>
      </c>
      <c r="N39" s="19">
        <v>5.3</v>
      </c>
      <c r="O39" s="19" t="s">
        <v>255</v>
      </c>
    </row>
    <row r="40" spans="1:15" x14ac:dyDescent="0.3">
      <c r="A40" s="19">
        <v>39</v>
      </c>
      <c r="B40" s="19" t="s">
        <v>23</v>
      </c>
      <c r="C40" s="19">
        <v>2015</v>
      </c>
      <c r="D40" s="19" t="s">
        <v>328</v>
      </c>
      <c r="E40" s="19" t="s">
        <v>285</v>
      </c>
      <c r="F40" s="19" t="s">
        <v>314</v>
      </c>
      <c r="G40" s="19" t="s">
        <v>12</v>
      </c>
      <c r="H40" t="s">
        <v>329</v>
      </c>
      <c r="I40" s="19">
        <v>29.6</v>
      </c>
      <c r="J40" s="19">
        <v>34.5</v>
      </c>
      <c r="K40" s="19">
        <v>8.6999999999999993</v>
      </c>
      <c r="L40" s="19" t="s">
        <v>255</v>
      </c>
      <c r="M40" s="19">
        <v>123</v>
      </c>
      <c r="N40" s="19">
        <v>10.3</v>
      </c>
      <c r="O40" s="19" t="s">
        <v>255</v>
      </c>
    </row>
    <row r="41" spans="1:15" x14ac:dyDescent="0.3">
      <c r="A41" s="19">
        <v>40</v>
      </c>
      <c r="B41" s="19" t="s">
        <v>23</v>
      </c>
      <c r="C41" s="19">
        <v>2015</v>
      </c>
      <c r="D41" s="19" t="s">
        <v>328</v>
      </c>
      <c r="E41" s="19" t="s">
        <v>281</v>
      </c>
      <c r="F41" s="19" t="s">
        <v>282</v>
      </c>
      <c r="G41" s="19" t="s">
        <v>12</v>
      </c>
      <c r="H41" t="s">
        <v>395</v>
      </c>
      <c r="I41" s="19">
        <v>19.600000000000001</v>
      </c>
      <c r="J41" s="19">
        <v>55.1</v>
      </c>
      <c r="K41" s="19">
        <v>38.5</v>
      </c>
      <c r="L41" s="19" t="s">
        <v>255</v>
      </c>
      <c r="M41" s="19">
        <v>710</v>
      </c>
      <c r="N41" s="19">
        <v>118.3</v>
      </c>
      <c r="O41" s="19" t="s">
        <v>255</v>
      </c>
    </row>
    <row r="42" spans="1:15" x14ac:dyDescent="0.3">
      <c r="A42" s="19">
        <v>41</v>
      </c>
      <c r="B42" s="19" t="s">
        <v>23</v>
      </c>
      <c r="C42" s="19">
        <v>2015</v>
      </c>
      <c r="D42" s="19" t="s">
        <v>291</v>
      </c>
      <c r="E42" s="19" t="s">
        <v>281</v>
      </c>
      <c r="F42" s="19" t="s">
        <v>289</v>
      </c>
      <c r="H42" t="s">
        <v>442</v>
      </c>
      <c r="I42" s="19">
        <v>14.9</v>
      </c>
      <c r="J42" s="19">
        <v>48.1</v>
      </c>
      <c r="K42" s="19">
        <v>-4.4000000000000004</v>
      </c>
      <c r="L42" s="19" t="s">
        <v>255</v>
      </c>
      <c r="M42" s="19">
        <v>1000</v>
      </c>
      <c r="N42" s="19">
        <v>66.7</v>
      </c>
      <c r="O42" s="19" t="s">
        <v>255</v>
      </c>
    </row>
    <row r="43" spans="1:15" x14ac:dyDescent="0.3">
      <c r="A43" s="19">
        <v>42</v>
      </c>
      <c r="B43" s="19" t="s">
        <v>23</v>
      </c>
      <c r="C43" s="19">
        <v>2015</v>
      </c>
      <c r="D43" s="19" t="s">
        <v>284</v>
      </c>
      <c r="E43" s="19" t="s">
        <v>281</v>
      </c>
      <c r="F43" s="19" t="s">
        <v>282</v>
      </c>
      <c r="H43" t="s">
        <v>404</v>
      </c>
      <c r="I43" s="19">
        <v>6.4</v>
      </c>
      <c r="J43" s="19">
        <v>43.1</v>
      </c>
      <c r="K43" s="19">
        <v>-1.6</v>
      </c>
      <c r="L43" s="19" t="s">
        <v>255</v>
      </c>
      <c r="M43" s="19">
        <v>810</v>
      </c>
      <c r="N43" s="19">
        <v>62.3</v>
      </c>
      <c r="O43" s="19" t="s">
        <v>255</v>
      </c>
    </row>
    <row r="44" spans="1:15" x14ac:dyDescent="0.3">
      <c r="A44" s="19">
        <v>43</v>
      </c>
      <c r="B44" s="19" t="s">
        <v>23</v>
      </c>
      <c r="C44" s="19">
        <v>2015</v>
      </c>
      <c r="D44" s="19" t="s">
        <v>310</v>
      </c>
      <c r="E44" s="19" t="s">
        <v>281</v>
      </c>
      <c r="F44" s="19" t="s">
        <v>282</v>
      </c>
      <c r="H44" t="s">
        <v>311</v>
      </c>
      <c r="I44" s="19">
        <v>9.8000000000000007</v>
      </c>
      <c r="J44" s="19">
        <v>40.6</v>
      </c>
      <c r="K44" s="19">
        <v>-9.8000000000000007</v>
      </c>
      <c r="L44" s="19" t="s">
        <v>255</v>
      </c>
      <c r="M44" s="19">
        <v>399</v>
      </c>
      <c r="N44" s="19">
        <v>33.299999999999997</v>
      </c>
      <c r="O44" s="19" t="s">
        <v>255</v>
      </c>
    </row>
    <row r="45" spans="1:15" x14ac:dyDescent="0.3">
      <c r="A45" s="19">
        <v>44</v>
      </c>
      <c r="B45" s="19" t="s">
        <v>23</v>
      </c>
      <c r="C45" s="19">
        <v>2015</v>
      </c>
      <c r="D45" s="19" t="s">
        <v>362</v>
      </c>
      <c r="E45" s="19" t="s">
        <v>281</v>
      </c>
      <c r="F45" s="19" t="s">
        <v>282</v>
      </c>
      <c r="H45" t="s">
        <v>363</v>
      </c>
      <c r="I45" s="19">
        <v>14.1</v>
      </c>
      <c r="J45" s="19">
        <v>45.6</v>
      </c>
      <c r="K45" s="19">
        <v>-2.2999999999999998</v>
      </c>
      <c r="L45" s="19" t="s">
        <v>255</v>
      </c>
      <c r="M45" s="19">
        <v>918</v>
      </c>
      <c r="N45" s="19">
        <v>57.4</v>
      </c>
      <c r="O45" s="19" t="s">
        <v>255</v>
      </c>
    </row>
    <row r="46" spans="1:15" x14ac:dyDescent="0.3">
      <c r="A46" s="19">
        <v>45</v>
      </c>
      <c r="B46" s="19" t="s">
        <v>47</v>
      </c>
      <c r="C46" s="19">
        <v>2016</v>
      </c>
      <c r="D46" s="19" t="s">
        <v>310</v>
      </c>
      <c r="E46" s="19" t="s">
        <v>285</v>
      </c>
      <c r="F46" s="19" t="s">
        <v>286</v>
      </c>
      <c r="H46" t="s">
        <v>435</v>
      </c>
      <c r="I46" s="19">
        <v>75.3</v>
      </c>
      <c r="J46" s="19">
        <v>99.4</v>
      </c>
      <c r="K46" s="19">
        <v>0.1</v>
      </c>
      <c r="L46" s="19" t="s">
        <v>255</v>
      </c>
      <c r="M46" s="19">
        <v>261</v>
      </c>
      <c r="N46" s="19">
        <v>21.8</v>
      </c>
      <c r="O46" s="19" t="s">
        <v>255</v>
      </c>
    </row>
    <row r="47" spans="1:15" x14ac:dyDescent="0.3">
      <c r="A47" s="19">
        <v>46</v>
      </c>
      <c r="B47" s="19" t="s">
        <v>47</v>
      </c>
      <c r="C47" s="19">
        <v>2016</v>
      </c>
      <c r="D47" s="19" t="s">
        <v>295</v>
      </c>
      <c r="E47" s="19" t="s">
        <v>285</v>
      </c>
      <c r="F47" s="19" t="s">
        <v>282</v>
      </c>
      <c r="H47" t="s">
        <v>339</v>
      </c>
      <c r="I47" s="19">
        <v>98.8</v>
      </c>
      <c r="J47" s="19">
        <v>100</v>
      </c>
      <c r="K47" s="19">
        <v>0</v>
      </c>
      <c r="L47" s="19" t="s">
        <v>255</v>
      </c>
      <c r="M47" s="19">
        <v>313</v>
      </c>
      <c r="N47" s="19">
        <v>19.600000000000001</v>
      </c>
      <c r="O47" s="19" t="s">
        <v>255</v>
      </c>
    </row>
    <row r="48" spans="1:15" x14ac:dyDescent="0.3">
      <c r="A48" s="19">
        <v>47</v>
      </c>
      <c r="B48" s="19" t="s">
        <v>47</v>
      </c>
      <c r="C48" s="19">
        <v>2016</v>
      </c>
      <c r="D48" s="19" t="s">
        <v>337</v>
      </c>
      <c r="E48" s="19" t="s">
        <v>285</v>
      </c>
      <c r="F48" s="19" t="s">
        <v>282</v>
      </c>
      <c r="H48" t="s">
        <v>438</v>
      </c>
      <c r="I48" s="19">
        <v>77.3</v>
      </c>
      <c r="J48" s="19">
        <v>89.9</v>
      </c>
      <c r="K48" s="19">
        <v>1.7</v>
      </c>
      <c r="L48" s="19" t="s">
        <v>255</v>
      </c>
      <c r="M48" s="19">
        <v>87</v>
      </c>
      <c r="N48" s="19">
        <v>5.8</v>
      </c>
      <c r="O48" s="19" t="s">
        <v>255</v>
      </c>
    </row>
    <row r="49" spans="1:15" x14ac:dyDescent="0.3">
      <c r="A49" s="19">
        <v>48</v>
      </c>
      <c r="B49" s="19" t="s">
        <v>47</v>
      </c>
      <c r="C49" s="19">
        <v>2016</v>
      </c>
      <c r="D49" s="19" t="s">
        <v>332</v>
      </c>
      <c r="E49" s="19" t="s">
        <v>285</v>
      </c>
      <c r="F49" s="19" t="s">
        <v>289</v>
      </c>
      <c r="H49" t="s">
        <v>385</v>
      </c>
      <c r="I49" s="19">
        <v>96.1</v>
      </c>
      <c r="J49" s="19">
        <v>99.8</v>
      </c>
      <c r="K49" s="19">
        <v>0</v>
      </c>
      <c r="L49" s="19" t="s">
        <v>255</v>
      </c>
      <c r="M49" s="19">
        <v>170</v>
      </c>
      <c r="N49" s="19">
        <v>12.1</v>
      </c>
      <c r="O49" s="19" t="s">
        <v>255</v>
      </c>
    </row>
    <row r="50" spans="1:15" x14ac:dyDescent="0.3">
      <c r="A50" s="19">
        <v>49</v>
      </c>
      <c r="B50" s="19" t="s">
        <v>47</v>
      </c>
      <c r="C50" s="19">
        <v>2016</v>
      </c>
      <c r="D50" s="19" t="s">
        <v>318</v>
      </c>
      <c r="E50" s="19" t="s">
        <v>285</v>
      </c>
      <c r="F50" s="19" t="s">
        <v>289</v>
      </c>
      <c r="G50" s="19" t="s">
        <v>12</v>
      </c>
      <c r="H50" t="s">
        <v>407</v>
      </c>
      <c r="I50" s="19">
        <v>98.9</v>
      </c>
      <c r="J50" s="19">
        <v>99.9</v>
      </c>
      <c r="K50" s="19">
        <v>0</v>
      </c>
      <c r="L50" s="19" t="s">
        <v>255</v>
      </c>
      <c r="M50" s="19">
        <v>200</v>
      </c>
      <c r="N50" s="19">
        <v>12.5</v>
      </c>
      <c r="O50" s="19" t="s">
        <v>255</v>
      </c>
    </row>
    <row r="51" spans="1:15" x14ac:dyDescent="0.3">
      <c r="A51" s="19">
        <v>50</v>
      </c>
      <c r="B51" s="19" t="s">
        <v>47</v>
      </c>
      <c r="C51" s="19">
        <v>2016</v>
      </c>
      <c r="D51" s="19" t="s">
        <v>326</v>
      </c>
      <c r="E51" s="19" t="s">
        <v>285</v>
      </c>
      <c r="F51" s="19" t="s">
        <v>316</v>
      </c>
      <c r="G51" s="19" t="s">
        <v>12</v>
      </c>
      <c r="H51" t="s">
        <v>436</v>
      </c>
      <c r="I51" s="19">
        <v>95.7</v>
      </c>
      <c r="J51" s="19">
        <v>98.8</v>
      </c>
      <c r="K51" s="19">
        <v>0.1</v>
      </c>
      <c r="L51" s="19" t="s">
        <v>255</v>
      </c>
      <c r="M51" s="19">
        <v>133</v>
      </c>
      <c r="N51" s="19">
        <v>8.3000000000000007</v>
      </c>
      <c r="O51" s="19" t="s">
        <v>255</v>
      </c>
    </row>
    <row r="52" spans="1:15" x14ac:dyDescent="0.3">
      <c r="A52" s="19">
        <v>51</v>
      </c>
      <c r="B52" s="19" t="s">
        <v>47</v>
      </c>
      <c r="C52" s="19">
        <v>2016</v>
      </c>
      <c r="D52" s="19" t="s">
        <v>284</v>
      </c>
      <c r="E52" s="19" t="s">
        <v>285</v>
      </c>
      <c r="F52" s="19" t="s">
        <v>282</v>
      </c>
      <c r="H52" t="s">
        <v>421</v>
      </c>
      <c r="I52" s="19">
        <v>60.6</v>
      </c>
      <c r="J52" s="19">
        <v>89.8</v>
      </c>
      <c r="K52" s="19">
        <v>0.7</v>
      </c>
      <c r="L52" s="19" t="s">
        <v>255</v>
      </c>
      <c r="M52" s="19">
        <v>110</v>
      </c>
      <c r="N52" s="19">
        <v>7.9</v>
      </c>
      <c r="O52" s="19" t="s">
        <v>255</v>
      </c>
    </row>
    <row r="53" spans="1:15" x14ac:dyDescent="0.3">
      <c r="A53" s="19">
        <v>52</v>
      </c>
      <c r="B53" s="19" t="s">
        <v>47</v>
      </c>
      <c r="C53" s="19">
        <v>2016</v>
      </c>
      <c r="D53" s="19" t="s">
        <v>303</v>
      </c>
      <c r="E53" s="19" t="s">
        <v>285</v>
      </c>
      <c r="F53" s="19" t="s">
        <v>301</v>
      </c>
      <c r="H53" t="s">
        <v>304</v>
      </c>
      <c r="I53" s="19">
        <v>32.4</v>
      </c>
      <c r="J53" s="19">
        <v>63.1</v>
      </c>
      <c r="K53" s="19">
        <v>-1.5</v>
      </c>
      <c r="L53" s="19" t="s">
        <v>255</v>
      </c>
      <c r="M53" s="19">
        <v>81</v>
      </c>
      <c r="N53" s="19">
        <v>5.0999999999999996</v>
      </c>
      <c r="O53" s="19" t="s">
        <v>255</v>
      </c>
    </row>
    <row r="54" spans="1:15" x14ac:dyDescent="0.3">
      <c r="A54" s="19">
        <v>53</v>
      </c>
      <c r="B54" s="19" t="s">
        <v>47</v>
      </c>
      <c r="C54" s="19">
        <v>2016</v>
      </c>
      <c r="D54" s="19" t="s">
        <v>487</v>
      </c>
      <c r="E54" s="19" t="s">
        <v>285</v>
      </c>
      <c r="F54" s="19" t="s">
        <v>314</v>
      </c>
      <c r="H54" t="s">
        <v>426</v>
      </c>
      <c r="I54" s="19">
        <v>45.1</v>
      </c>
      <c r="J54" s="19">
        <v>56.1</v>
      </c>
      <c r="K54" s="19">
        <v>-1.4</v>
      </c>
      <c r="L54" s="19" t="s">
        <v>255</v>
      </c>
      <c r="M54" s="19">
        <v>134</v>
      </c>
      <c r="N54" s="19">
        <v>8.9</v>
      </c>
      <c r="O54" s="19" t="s">
        <v>255</v>
      </c>
    </row>
    <row r="55" spans="1:15" x14ac:dyDescent="0.3">
      <c r="A55" s="19">
        <v>54</v>
      </c>
      <c r="B55" s="19" t="s">
        <v>47</v>
      </c>
      <c r="C55" s="19">
        <v>2016</v>
      </c>
      <c r="D55" s="19" t="s">
        <v>353</v>
      </c>
      <c r="E55" s="19" t="s">
        <v>281</v>
      </c>
      <c r="F55" s="19" t="s">
        <v>282</v>
      </c>
      <c r="H55" t="s">
        <v>373</v>
      </c>
      <c r="I55" s="19">
        <v>15</v>
      </c>
      <c r="J55" s="19">
        <v>95.2</v>
      </c>
      <c r="K55" s="19">
        <v>-0.3</v>
      </c>
      <c r="L55" s="19" t="s">
        <v>255</v>
      </c>
      <c r="M55" s="19">
        <v>147</v>
      </c>
      <c r="N55" s="19">
        <v>9.8000000000000007</v>
      </c>
      <c r="O55" s="19" t="s">
        <v>255</v>
      </c>
    </row>
    <row r="56" spans="1:15" x14ac:dyDescent="0.3">
      <c r="A56" s="19">
        <v>55</v>
      </c>
      <c r="B56" s="19" t="s">
        <v>47</v>
      </c>
      <c r="C56" s="19">
        <v>2016</v>
      </c>
      <c r="D56" s="19" t="s">
        <v>284</v>
      </c>
      <c r="E56" s="19" t="s">
        <v>281</v>
      </c>
      <c r="F56" s="19" t="s">
        <v>289</v>
      </c>
      <c r="H56" t="s">
        <v>364</v>
      </c>
      <c r="I56" s="19">
        <v>28.3</v>
      </c>
      <c r="J56" s="19">
        <v>76</v>
      </c>
      <c r="K56" s="19">
        <v>0</v>
      </c>
      <c r="L56" s="19" t="s">
        <v>255</v>
      </c>
      <c r="M56" s="19">
        <v>122</v>
      </c>
      <c r="N56" s="19">
        <v>7.6</v>
      </c>
      <c r="O56" s="19" t="s">
        <v>255</v>
      </c>
    </row>
    <row r="57" spans="1:15" x14ac:dyDescent="0.3">
      <c r="A57" s="19">
        <v>56</v>
      </c>
      <c r="B57" s="19" t="s">
        <v>47</v>
      </c>
      <c r="C57" s="19">
        <v>2016</v>
      </c>
      <c r="D57" s="19" t="s">
        <v>337</v>
      </c>
      <c r="E57" s="19" t="s">
        <v>281</v>
      </c>
      <c r="F57" s="19" t="s">
        <v>289</v>
      </c>
      <c r="H57" t="s">
        <v>338</v>
      </c>
      <c r="I57" s="19">
        <v>73.7</v>
      </c>
      <c r="J57" s="19">
        <v>91.2</v>
      </c>
      <c r="K57" s="19">
        <v>0.8</v>
      </c>
      <c r="L57" s="19" t="s">
        <v>255</v>
      </c>
      <c r="M57" s="19">
        <v>166</v>
      </c>
      <c r="N57" s="19">
        <v>10.4</v>
      </c>
      <c r="O57" s="19" t="s">
        <v>255</v>
      </c>
    </row>
    <row r="58" spans="1:15" x14ac:dyDescent="0.3">
      <c r="A58" s="19">
        <v>57</v>
      </c>
      <c r="B58" s="19" t="s">
        <v>47</v>
      </c>
      <c r="C58" s="19">
        <v>2016</v>
      </c>
      <c r="D58" s="19" t="s">
        <v>324</v>
      </c>
      <c r="E58" s="19" t="s">
        <v>281</v>
      </c>
      <c r="F58" s="19" t="s">
        <v>301</v>
      </c>
      <c r="H58" t="s">
        <v>325</v>
      </c>
      <c r="I58" s="19">
        <v>17.100000000000001</v>
      </c>
      <c r="J58" s="19">
        <v>45</v>
      </c>
      <c r="K58" s="19">
        <v>-5.0999999999999996</v>
      </c>
      <c r="L58" s="19" t="s">
        <v>255</v>
      </c>
      <c r="M58" s="19">
        <v>109</v>
      </c>
      <c r="N58" s="19">
        <v>6.8</v>
      </c>
      <c r="O58" s="19" t="s">
        <v>255</v>
      </c>
    </row>
    <row r="59" spans="1:15" x14ac:dyDescent="0.3">
      <c r="A59" s="19">
        <v>58</v>
      </c>
      <c r="B59" s="19" t="s">
        <v>47</v>
      </c>
      <c r="C59" s="19">
        <v>2016</v>
      </c>
      <c r="D59" s="19" t="s">
        <v>332</v>
      </c>
      <c r="E59" s="19" t="s">
        <v>281</v>
      </c>
      <c r="F59" s="19" t="s">
        <v>289</v>
      </c>
      <c r="H59" t="s">
        <v>431</v>
      </c>
      <c r="I59" s="19">
        <v>1.1000000000000001</v>
      </c>
      <c r="J59" s="19">
        <v>49.6</v>
      </c>
      <c r="K59" s="19">
        <v>-7.2</v>
      </c>
      <c r="L59" s="19" t="s">
        <v>255</v>
      </c>
      <c r="M59" s="19">
        <v>98</v>
      </c>
      <c r="N59" s="19">
        <v>8.1999999999999993</v>
      </c>
      <c r="O59" s="19" t="s">
        <v>255</v>
      </c>
    </row>
    <row r="60" spans="1:15" x14ac:dyDescent="0.3">
      <c r="A60" s="19">
        <v>59</v>
      </c>
      <c r="B60" s="19" t="s">
        <v>24</v>
      </c>
      <c r="C60" s="19">
        <v>2017</v>
      </c>
      <c r="D60" s="19" t="s">
        <v>284</v>
      </c>
      <c r="E60" s="19" t="s">
        <v>285</v>
      </c>
      <c r="F60" s="19" t="s">
        <v>286</v>
      </c>
      <c r="H60" t="s">
        <v>287</v>
      </c>
      <c r="I60" s="19">
        <v>29.7</v>
      </c>
      <c r="J60" s="19">
        <v>84.3</v>
      </c>
      <c r="K60" s="19">
        <v>0.1</v>
      </c>
      <c r="L60" s="19" t="s">
        <v>255</v>
      </c>
      <c r="M60" s="19">
        <v>299</v>
      </c>
      <c r="N60" s="19">
        <v>19.899999999999999</v>
      </c>
      <c r="O60" s="19" t="s">
        <v>255</v>
      </c>
    </row>
    <row r="61" spans="1:15" x14ac:dyDescent="0.3">
      <c r="A61" s="19">
        <v>60</v>
      </c>
      <c r="B61" s="19" t="s">
        <v>24</v>
      </c>
      <c r="C61" s="19">
        <v>2017</v>
      </c>
      <c r="D61" s="19" t="s">
        <v>288</v>
      </c>
      <c r="E61" s="19" t="s">
        <v>285</v>
      </c>
      <c r="F61" s="19" t="s">
        <v>282</v>
      </c>
      <c r="G61" s="19" t="s">
        <v>12</v>
      </c>
      <c r="H61" t="s">
        <v>381</v>
      </c>
      <c r="I61" s="19">
        <v>83.4</v>
      </c>
      <c r="J61" s="19">
        <v>99.4</v>
      </c>
      <c r="K61" s="19">
        <v>0</v>
      </c>
      <c r="L61" s="19" t="s">
        <v>255</v>
      </c>
      <c r="M61" s="19">
        <v>164</v>
      </c>
      <c r="N61" s="19">
        <v>10.3</v>
      </c>
      <c r="O61" s="19" t="s">
        <v>255</v>
      </c>
    </row>
    <row r="62" spans="1:15" x14ac:dyDescent="0.3">
      <c r="A62" s="19">
        <v>61</v>
      </c>
      <c r="B62" s="19" t="s">
        <v>24</v>
      </c>
      <c r="C62" s="19">
        <v>2017</v>
      </c>
      <c r="D62" s="19" t="s">
        <v>326</v>
      </c>
      <c r="E62" s="19" t="s">
        <v>285</v>
      </c>
      <c r="F62" s="19" t="s">
        <v>282</v>
      </c>
      <c r="H62" t="s">
        <v>387</v>
      </c>
      <c r="I62" s="19">
        <v>82.2</v>
      </c>
      <c r="J62" s="19">
        <v>97.9</v>
      </c>
      <c r="K62" s="19">
        <v>-0.1</v>
      </c>
      <c r="L62" s="19" t="s">
        <v>255</v>
      </c>
      <c r="M62" s="19">
        <v>229</v>
      </c>
      <c r="N62" s="19">
        <v>14.3</v>
      </c>
      <c r="O62" s="19" t="s">
        <v>255</v>
      </c>
    </row>
    <row r="63" spans="1:15" x14ac:dyDescent="0.3">
      <c r="A63" s="19">
        <v>62</v>
      </c>
      <c r="B63" s="19" t="s">
        <v>24</v>
      </c>
      <c r="C63" s="19">
        <v>2017</v>
      </c>
      <c r="D63" s="19" t="s">
        <v>326</v>
      </c>
      <c r="E63" s="19" t="s">
        <v>285</v>
      </c>
      <c r="F63" s="19" t="s">
        <v>289</v>
      </c>
      <c r="G63" s="19" t="s">
        <v>12</v>
      </c>
      <c r="H63" t="s">
        <v>440</v>
      </c>
      <c r="I63" s="19">
        <v>72.599999999999994</v>
      </c>
      <c r="J63" s="19">
        <v>95.9</v>
      </c>
      <c r="K63" s="19">
        <v>-0.1</v>
      </c>
      <c r="L63" s="19" t="s">
        <v>255</v>
      </c>
      <c r="M63" s="19">
        <v>159</v>
      </c>
      <c r="N63" s="19">
        <v>10.6</v>
      </c>
      <c r="O63" s="19" t="s">
        <v>255</v>
      </c>
    </row>
    <row r="64" spans="1:15" x14ac:dyDescent="0.3">
      <c r="A64" s="19">
        <v>63</v>
      </c>
      <c r="B64" s="19" t="s">
        <v>24</v>
      </c>
      <c r="C64" s="19">
        <v>2017</v>
      </c>
      <c r="D64" s="19" t="s">
        <v>328</v>
      </c>
      <c r="E64" s="19" t="s">
        <v>285</v>
      </c>
      <c r="F64" s="19" t="s">
        <v>289</v>
      </c>
      <c r="H64" t="s">
        <v>384</v>
      </c>
      <c r="I64" s="19">
        <v>55.2</v>
      </c>
      <c r="J64" s="19">
        <v>89</v>
      </c>
      <c r="K64" s="19">
        <v>-0.2</v>
      </c>
      <c r="L64" s="19" t="s">
        <v>255</v>
      </c>
      <c r="M64" s="19">
        <v>132</v>
      </c>
      <c r="N64" s="19">
        <v>9.4</v>
      </c>
      <c r="O64" s="19" t="s">
        <v>255</v>
      </c>
    </row>
    <row r="65" spans="1:15" x14ac:dyDescent="0.3">
      <c r="A65" s="19">
        <v>64</v>
      </c>
      <c r="B65" s="19" t="s">
        <v>24</v>
      </c>
      <c r="C65" s="19">
        <v>2017</v>
      </c>
      <c r="D65" s="19" t="s">
        <v>350</v>
      </c>
      <c r="E65" s="19" t="s">
        <v>285</v>
      </c>
      <c r="F65" s="19" t="s">
        <v>316</v>
      </c>
      <c r="H65" t="s">
        <v>351</v>
      </c>
      <c r="I65" s="19">
        <v>61.4</v>
      </c>
      <c r="J65" s="19">
        <v>87.9</v>
      </c>
      <c r="K65" s="19">
        <v>0.5</v>
      </c>
      <c r="L65" s="19" t="s">
        <v>255</v>
      </c>
      <c r="M65" s="19">
        <v>103</v>
      </c>
      <c r="N65" s="19">
        <v>6.9</v>
      </c>
      <c r="O65" s="19" t="s">
        <v>255</v>
      </c>
    </row>
    <row r="66" spans="1:15" x14ac:dyDescent="0.3">
      <c r="A66" s="19">
        <v>65</v>
      </c>
      <c r="B66" s="19" t="s">
        <v>24</v>
      </c>
      <c r="C66" s="19">
        <v>2017</v>
      </c>
      <c r="D66" s="19" t="s">
        <v>307</v>
      </c>
      <c r="E66" s="19" t="s">
        <v>285</v>
      </c>
      <c r="F66" s="19" t="s">
        <v>282</v>
      </c>
      <c r="H66" t="s">
        <v>370</v>
      </c>
      <c r="I66" s="19">
        <v>56.1</v>
      </c>
      <c r="J66" s="19">
        <v>92</v>
      </c>
      <c r="K66" s="19">
        <v>-0.1</v>
      </c>
      <c r="L66" s="19" t="s">
        <v>255</v>
      </c>
      <c r="M66" s="19">
        <v>100</v>
      </c>
      <c r="N66" s="19">
        <v>7.1</v>
      </c>
      <c r="O66" s="19" t="s">
        <v>255</v>
      </c>
    </row>
    <row r="67" spans="1:15" x14ac:dyDescent="0.3">
      <c r="A67" s="19">
        <v>66</v>
      </c>
      <c r="B67" s="19" t="s">
        <v>24</v>
      </c>
      <c r="C67" s="19">
        <v>2017</v>
      </c>
      <c r="D67" s="19" t="s">
        <v>358</v>
      </c>
      <c r="E67" s="19" t="s">
        <v>285</v>
      </c>
      <c r="F67" s="19" t="s">
        <v>301</v>
      </c>
      <c r="H67" t="s">
        <v>412</v>
      </c>
      <c r="I67" s="19">
        <v>29.8</v>
      </c>
      <c r="J67" s="19">
        <v>55.3</v>
      </c>
      <c r="K67" s="19">
        <v>-1.9</v>
      </c>
      <c r="L67" s="19" t="s">
        <v>255</v>
      </c>
      <c r="M67" s="19">
        <v>126</v>
      </c>
      <c r="N67" s="19">
        <v>7.9</v>
      </c>
      <c r="O67" s="19" t="s">
        <v>255</v>
      </c>
    </row>
    <row r="68" spans="1:15" x14ac:dyDescent="0.3">
      <c r="A68" s="19">
        <v>67</v>
      </c>
      <c r="B68" s="19" t="s">
        <v>24</v>
      </c>
      <c r="C68" s="19">
        <v>2017</v>
      </c>
      <c r="D68" s="19" t="s">
        <v>291</v>
      </c>
      <c r="E68" s="19" t="s">
        <v>285</v>
      </c>
      <c r="F68" s="19" t="s">
        <v>314</v>
      </c>
      <c r="H68" t="s">
        <v>441</v>
      </c>
      <c r="I68" s="19">
        <v>64.900000000000006</v>
      </c>
      <c r="J68" s="19">
        <v>76.400000000000006</v>
      </c>
      <c r="K68" s="19">
        <v>0.5</v>
      </c>
      <c r="L68" s="19" t="s">
        <v>255</v>
      </c>
      <c r="M68" s="19">
        <v>156</v>
      </c>
      <c r="N68" s="19">
        <v>9.8000000000000007</v>
      </c>
      <c r="O68" s="19" t="s">
        <v>255</v>
      </c>
    </row>
    <row r="69" spans="1:15" x14ac:dyDescent="0.3">
      <c r="A69" s="19">
        <v>68</v>
      </c>
      <c r="B69" s="19" t="s">
        <v>24</v>
      </c>
      <c r="C69" s="19">
        <v>2017</v>
      </c>
      <c r="D69" s="19" t="s">
        <v>330</v>
      </c>
      <c r="E69" s="19" t="s">
        <v>281</v>
      </c>
      <c r="F69" s="19" t="s">
        <v>282</v>
      </c>
      <c r="H69" t="s">
        <v>406</v>
      </c>
      <c r="I69" s="19">
        <v>5.2</v>
      </c>
      <c r="J69" s="19">
        <v>38.9</v>
      </c>
      <c r="K69" s="19">
        <v>-2.5</v>
      </c>
      <c r="L69" s="19" t="s">
        <v>255</v>
      </c>
      <c r="M69" s="19">
        <v>31</v>
      </c>
      <c r="N69" s="19">
        <v>5.2</v>
      </c>
      <c r="O69" s="19" t="s">
        <v>255</v>
      </c>
    </row>
    <row r="70" spans="1:15" x14ac:dyDescent="0.3">
      <c r="A70" s="19">
        <v>69</v>
      </c>
      <c r="B70" s="19" t="s">
        <v>24</v>
      </c>
      <c r="C70" s="19">
        <v>2017</v>
      </c>
      <c r="D70" s="19" t="s">
        <v>307</v>
      </c>
      <c r="E70" s="19" t="s">
        <v>281</v>
      </c>
      <c r="F70" s="19" t="s">
        <v>286</v>
      </c>
      <c r="H70" t="s">
        <v>410</v>
      </c>
      <c r="I70" s="19">
        <v>8.5</v>
      </c>
      <c r="J70" s="19">
        <v>42.6</v>
      </c>
      <c r="K70" s="19">
        <v>-2.2999999999999998</v>
      </c>
      <c r="L70" s="19" t="s">
        <v>255</v>
      </c>
      <c r="M70" s="19">
        <v>30</v>
      </c>
      <c r="N70" s="19">
        <v>4.3</v>
      </c>
      <c r="O70" s="19" t="s">
        <v>255</v>
      </c>
    </row>
    <row r="71" spans="1:15" x14ac:dyDescent="0.3">
      <c r="A71" s="19">
        <v>70</v>
      </c>
      <c r="B71" s="19" t="s">
        <v>24</v>
      </c>
      <c r="C71" s="19">
        <v>2017</v>
      </c>
      <c r="D71" s="19" t="s">
        <v>284</v>
      </c>
      <c r="E71" s="19" t="s">
        <v>281</v>
      </c>
      <c r="F71" s="19" t="s">
        <v>301</v>
      </c>
      <c r="H71" t="s">
        <v>419</v>
      </c>
      <c r="I71" s="19">
        <v>8.1999999999999993</v>
      </c>
      <c r="J71" s="19">
        <v>18.3</v>
      </c>
      <c r="K71" s="19">
        <v>-0.9</v>
      </c>
      <c r="L71" s="19" t="s">
        <v>255</v>
      </c>
      <c r="M71" s="19">
        <v>94</v>
      </c>
      <c r="N71" s="19">
        <v>5.9</v>
      </c>
      <c r="O71" s="19" t="s">
        <v>255</v>
      </c>
    </row>
    <row r="72" spans="1:15" x14ac:dyDescent="0.3">
      <c r="A72" s="19">
        <v>71</v>
      </c>
      <c r="B72" s="19" t="s">
        <v>24</v>
      </c>
      <c r="C72" s="19">
        <v>2017</v>
      </c>
      <c r="D72" s="19" t="s">
        <v>295</v>
      </c>
      <c r="E72" s="19" t="s">
        <v>281</v>
      </c>
      <c r="F72" s="19" t="s">
        <v>301</v>
      </c>
      <c r="H72" t="s">
        <v>323</v>
      </c>
      <c r="I72" s="19">
        <v>13.3</v>
      </c>
      <c r="J72" s="19">
        <v>24.7</v>
      </c>
      <c r="K72" s="19">
        <v>-4.9000000000000004</v>
      </c>
      <c r="L72" s="19" t="s">
        <v>255</v>
      </c>
      <c r="M72" s="19">
        <v>106</v>
      </c>
      <c r="N72" s="19">
        <v>6.6</v>
      </c>
      <c r="O72" s="19" t="s">
        <v>255</v>
      </c>
    </row>
    <row r="73" spans="1:15" x14ac:dyDescent="0.3">
      <c r="A73" s="19">
        <v>72</v>
      </c>
      <c r="B73" s="19" t="s">
        <v>24</v>
      </c>
      <c r="C73" s="19">
        <v>2017</v>
      </c>
      <c r="D73" s="19" t="s">
        <v>321</v>
      </c>
      <c r="E73" s="19" t="s">
        <v>281</v>
      </c>
      <c r="F73" s="19" t="s">
        <v>289</v>
      </c>
      <c r="H73" t="s">
        <v>422</v>
      </c>
      <c r="I73" s="19">
        <v>28</v>
      </c>
      <c r="J73" s="19">
        <v>69.599999999999994</v>
      </c>
      <c r="K73" s="19">
        <v>-2.1</v>
      </c>
      <c r="L73" s="19" t="s">
        <v>255</v>
      </c>
      <c r="M73" s="19">
        <v>101</v>
      </c>
      <c r="N73" s="19">
        <v>8.4</v>
      </c>
      <c r="O73" s="19" t="s">
        <v>255</v>
      </c>
    </row>
    <row r="74" spans="1:15" x14ac:dyDescent="0.3">
      <c r="A74" s="19">
        <v>73</v>
      </c>
      <c r="B74" s="19" t="s">
        <v>25</v>
      </c>
      <c r="C74" s="19">
        <v>2018</v>
      </c>
      <c r="D74" s="19" t="s">
        <v>332</v>
      </c>
      <c r="E74" s="19" t="s">
        <v>285</v>
      </c>
      <c r="F74" s="19" t="s">
        <v>286</v>
      </c>
      <c r="H74" t="s">
        <v>405</v>
      </c>
      <c r="I74" s="19">
        <v>56.1</v>
      </c>
      <c r="J74" s="19">
        <v>94.1</v>
      </c>
      <c r="K74" s="19">
        <v>0</v>
      </c>
      <c r="L74" s="19" t="s">
        <v>255</v>
      </c>
      <c r="M74" s="19">
        <v>354</v>
      </c>
      <c r="N74" s="19">
        <v>22.1</v>
      </c>
      <c r="O74" s="19" t="s">
        <v>255</v>
      </c>
    </row>
    <row r="75" spans="1:15" x14ac:dyDescent="0.3">
      <c r="A75" s="19">
        <v>74</v>
      </c>
      <c r="B75" s="19" t="s">
        <v>25</v>
      </c>
      <c r="C75" s="19">
        <v>2018</v>
      </c>
      <c r="D75" s="19" t="s">
        <v>330</v>
      </c>
      <c r="E75" s="19" t="s">
        <v>285</v>
      </c>
      <c r="F75" s="19" t="s">
        <v>282</v>
      </c>
      <c r="H75" t="s">
        <v>331</v>
      </c>
      <c r="I75" s="19">
        <v>65.400000000000006</v>
      </c>
      <c r="J75" s="19">
        <v>93.3</v>
      </c>
      <c r="K75" s="19">
        <v>-0.4</v>
      </c>
      <c r="L75" s="19" t="s">
        <v>255</v>
      </c>
      <c r="M75" s="19">
        <v>170</v>
      </c>
      <c r="N75" s="19">
        <v>12.1</v>
      </c>
      <c r="O75" s="19" t="s">
        <v>255</v>
      </c>
    </row>
    <row r="76" spans="1:15" x14ac:dyDescent="0.3">
      <c r="A76" s="19">
        <v>75</v>
      </c>
      <c r="B76" s="19" t="s">
        <v>25</v>
      </c>
      <c r="C76" s="19">
        <v>2018</v>
      </c>
      <c r="D76" s="19" t="s">
        <v>297</v>
      </c>
      <c r="E76" s="19" t="s">
        <v>285</v>
      </c>
      <c r="F76" s="19" t="s">
        <v>282</v>
      </c>
      <c r="H76" t="s">
        <v>402</v>
      </c>
      <c r="I76" s="19">
        <v>10.5</v>
      </c>
      <c r="J76" s="19">
        <v>65.5</v>
      </c>
      <c r="K76" s="19">
        <v>-2.2000000000000002</v>
      </c>
      <c r="L76" s="19" t="s">
        <v>255</v>
      </c>
      <c r="M76" s="19">
        <v>126</v>
      </c>
      <c r="N76" s="19">
        <v>9</v>
      </c>
      <c r="O76" s="19" t="s">
        <v>255</v>
      </c>
    </row>
    <row r="77" spans="1:15" x14ac:dyDescent="0.3">
      <c r="A77" s="19">
        <v>76</v>
      </c>
      <c r="B77" s="19" t="s">
        <v>25</v>
      </c>
      <c r="C77" s="19">
        <v>2018</v>
      </c>
      <c r="D77" s="19" t="s">
        <v>295</v>
      </c>
      <c r="E77" s="19" t="s">
        <v>285</v>
      </c>
      <c r="F77" s="19" t="s">
        <v>289</v>
      </c>
      <c r="H77" t="s">
        <v>391</v>
      </c>
      <c r="I77" s="19">
        <v>34</v>
      </c>
      <c r="J77" s="19">
        <v>84.8</v>
      </c>
      <c r="K77" s="19">
        <v>-1</v>
      </c>
      <c r="L77" s="19" t="s">
        <v>255</v>
      </c>
      <c r="M77" s="19">
        <v>109</v>
      </c>
      <c r="N77" s="19">
        <v>6.8</v>
      </c>
      <c r="O77" s="19" t="s">
        <v>255</v>
      </c>
    </row>
    <row r="78" spans="1:15" x14ac:dyDescent="0.3">
      <c r="A78" s="19">
        <v>77</v>
      </c>
      <c r="B78" s="19" t="s">
        <v>25</v>
      </c>
      <c r="C78" s="19">
        <v>2018</v>
      </c>
      <c r="D78" s="19" t="s">
        <v>330</v>
      </c>
      <c r="E78" s="19" t="s">
        <v>285</v>
      </c>
      <c r="F78" s="19" t="s">
        <v>289</v>
      </c>
      <c r="G78" s="19" t="s">
        <v>12</v>
      </c>
      <c r="H78" t="s">
        <v>439</v>
      </c>
      <c r="I78" s="19">
        <v>50.2</v>
      </c>
      <c r="J78" s="19">
        <v>85.5</v>
      </c>
      <c r="K78" s="19">
        <v>0.3</v>
      </c>
      <c r="L78" s="19" t="s">
        <v>255</v>
      </c>
      <c r="M78" s="19">
        <v>155</v>
      </c>
      <c r="N78" s="19">
        <v>9.6999999999999993</v>
      </c>
      <c r="O78" s="19" t="s">
        <v>255</v>
      </c>
    </row>
    <row r="79" spans="1:15" x14ac:dyDescent="0.3">
      <c r="A79" s="19">
        <v>78</v>
      </c>
      <c r="B79" s="19" t="s">
        <v>25</v>
      </c>
      <c r="C79" s="19">
        <v>2018</v>
      </c>
      <c r="D79" s="19" t="s">
        <v>324</v>
      </c>
      <c r="E79" s="19" t="s">
        <v>285</v>
      </c>
      <c r="F79" s="19" t="s">
        <v>316</v>
      </c>
      <c r="H79" t="s">
        <v>361</v>
      </c>
      <c r="I79" s="19">
        <v>13.7</v>
      </c>
      <c r="J79" s="19">
        <v>43</v>
      </c>
      <c r="K79" s="19">
        <v>-1.3</v>
      </c>
      <c r="L79" s="19" t="s">
        <v>255</v>
      </c>
      <c r="M79" s="19">
        <v>0</v>
      </c>
      <c r="N79" s="19">
        <v>0</v>
      </c>
      <c r="O79" s="19" t="s">
        <v>255</v>
      </c>
    </row>
    <row r="80" spans="1:15" x14ac:dyDescent="0.3">
      <c r="A80" s="19">
        <v>79</v>
      </c>
      <c r="B80" s="19" t="s">
        <v>25</v>
      </c>
      <c r="C80" s="19">
        <v>2018</v>
      </c>
      <c r="D80" s="19" t="s">
        <v>312</v>
      </c>
      <c r="E80" s="19" t="s">
        <v>285</v>
      </c>
      <c r="F80" s="19" t="s">
        <v>282</v>
      </c>
      <c r="H80" t="s">
        <v>349</v>
      </c>
      <c r="I80" s="19">
        <v>22.5</v>
      </c>
      <c r="J80" s="19">
        <v>70.8</v>
      </c>
      <c r="K80" s="19">
        <v>0.5</v>
      </c>
      <c r="L80" s="19" t="s">
        <v>255</v>
      </c>
      <c r="M80" s="19">
        <v>61</v>
      </c>
      <c r="N80" s="19">
        <v>7.6</v>
      </c>
      <c r="O80" s="19" t="s">
        <v>255</v>
      </c>
    </row>
    <row r="81" spans="1:15" x14ac:dyDescent="0.3">
      <c r="A81" s="19">
        <v>80</v>
      </c>
      <c r="B81" s="19" t="s">
        <v>25</v>
      </c>
      <c r="C81" s="19">
        <v>2018</v>
      </c>
      <c r="D81" s="19" t="s">
        <v>288</v>
      </c>
      <c r="E81" s="19" t="s">
        <v>285</v>
      </c>
      <c r="F81" s="19" t="s">
        <v>301</v>
      </c>
      <c r="G81" s="19" t="s">
        <v>12</v>
      </c>
      <c r="H81" t="s">
        <v>302</v>
      </c>
      <c r="I81" s="19">
        <v>81.400000000000006</v>
      </c>
      <c r="J81" s="19">
        <v>96.2</v>
      </c>
      <c r="K81" s="19">
        <v>-0.1</v>
      </c>
      <c r="L81" s="19" t="s">
        <v>255</v>
      </c>
      <c r="M81" s="19">
        <v>188</v>
      </c>
      <c r="N81" s="19">
        <v>11.8</v>
      </c>
      <c r="O81" s="19" t="s">
        <v>255</v>
      </c>
    </row>
    <row r="82" spans="1:15" x14ac:dyDescent="0.3">
      <c r="A82" s="19">
        <v>81</v>
      </c>
      <c r="B82" s="19" t="s">
        <v>25</v>
      </c>
      <c r="C82" s="19">
        <v>2018</v>
      </c>
      <c r="D82" s="19" t="s">
        <v>299</v>
      </c>
      <c r="E82" s="19" t="s">
        <v>285</v>
      </c>
      <c r="F82" s="19" t="s">
        <v>314</v>
      </c>
      <c r="G82" s="19" t="s">
        <v>12</v>
      </c>
      <c r="H82" t="s">
        <v>386</v>
      </c>
      <c r="I82" s="19">
        <v>71.5</v>
      </c>
      <c r="J82" s="19">
        <v>82.3</v>
      </c>
      <c r="K82" s="19">
        <v>-2</v>
      </c>
      <c r="L82" s="19" t="s">
        <v>255</v>
      </c>
      <c r="M82" s="19">
        <v>165</v>
      </c>
      <c r="N82" s="19">
        <v>10.3</v>
      </c>
      <c r="O82" s="19" t="s">
        <v>255</v>
      </c>
    </row>
    <row r="83" spans="1:15" x14ac:dyDescent="0.3">
      <c r="A83" s="19">
        <v>82</v>
      </c>
      <c r="B83" s="19" t="s">
        <v>25</v>
      </c>
      <c r="C83" s="19">
        <v>2018</v>
      </c>
      <c r="D83" s="19" t="s">
        <v>321</v>
      </c>
      <c r="E83" s="19" t="s">
        <v>281</v>
      </c>
      <c r="F83" s="19" t="s">
        <v>282</v>
      </c>
      <c r="H83" t="s">
        <v>434</v>
      </c>
      <c r="I83" s="19">
        <v>82.9</v>
      </c>
      <c r="J83" s="19">
        <v>97.7</v>
      </c>
      <c r="K83" s="19">
        <v>0.1</v>
      </c>
      <c r="L83" s="19" t="s">
        <v>255</v>
      </c>
      <c r="M83" s="19">
        <v>301</v>
      </c>
      <c r="N83" s="19">
        <v>21.5</v>
      </c>
      <c r="O83" s="19" t="s">
        <v>255</v>
      </c>
    </row>
    <row r="84" spans="1:15" x14ac:dyDescent="0.3">
      <c r="A84" s="19">
        <v>83</v>
      </c>
      <c r="B84" s="19" t="s">
        <v>25</v>
      </c>
      <c r="C84" s="19">
        <v>2018</v>
      </c>
      <c r="D84" s="19" t="s">
        <v>303</v>
      </c>
      <c r="E84" s="19" t="s">
        <v>281</v>
      </c>
      <c r="F84" s="19" t="s">
        <v>282</v>
      </c>
      <c r="G84" s="19" t="s">
        <v>12</v>
      </c>
      <c r="H84" t="s">
        <v>394</v>
      </c>
      <c r="I84" s="19">
        <v>28.4</v>
      </c>
      <c r="J84" s="19">
        <v>83.4</v>
      </c>
      <c r="K84" s="19">
        <v>0.7</v>
      </c>
      <c r="L84" s="19" t="s">
        <v>255</v>
      </c>
      <c r="M84" s="19">
        <v>83</v>
      </c>
      <c r="N84" s="19">
        <v>5.9</v>
      </c>
      <c r="O84" s="19" t="s">
        <v>255</v>
      </c>
    </row>
    <row r="85" spans="1:15" x14ac:dyDescent="0.3">
      <c r="A85" s="19">
        <v>84</v>
      </c>
      <c r="B85" s="19" t="s">
        <v>25</v>
      </c>
      <c r="C85" s="19">
        <v>2018</v>
      </c>
      <c r="D85" s="19" t="s">
        <v>299</v>
      </c>
      <c r="E85" s="19" t="s">
        <v>281</v>
      </c>
      <c r="F85" s="19" t="s">
        <v>289</v>
      </c>
      <c r="G85" s="19" t="s">
        <v>12</v>
      </c>
      <c r="H85" t="s">
        <v>344</v>
      </c>
      <c r="I85" s="19">
        <v>14</v>
      </c>
      <c r="J85" s="19">
        <v>75</v>
      </c>
      <c r="K85" s="19">
        <v>0.5</v>
      </c>
      <c r="L85" s="19" t="s">
        <v>255</v>
      </c>
      <c r="M85" s="19">
        <v>91</v>
      </c>
      <c r="N85" s="19">
        <v>6.1</v>
      </c>
      <c r="O85" s="19" t="s">
        <v>255</v>
      </c>
    </row>
    <row r="86" spans="1:15" x14ac:dyDescent="0.3">
      <c r="A86" s="19">
        <v>85</v>
      </c>
      <c r="B86" s="19" t="s">
        <v>25</v>
      </c>
      <c r="C86" s="19">
        <v>2018</v>
      </c>
      <c r="D86" s="19" t="s">
        <v>487</v>
      </c>
      <c r="E86" s="19" t="s">
        <v>281</v>
      </c>
      <c r="F86" s="19" t="s">
        <v>316</v>
      </c>
      <c r="H86" t="s">
        <v>365</v>
      </c>
      <c r="I86" s="19">
        <v>60.2</v>
      </c>
      <c r="J86" s="19">
        <v>89.2</v>
      </c>
      <c r="K86" s="19">
        <v>-0.8</v>
      </c>
      <c r="L86" s="19" t="s">
        <v>255</v>
      </c>
      <c r="M86" s="19">
        <v>122</v>
      </c>
      <c r="N86" s="19">
        <v>7.6</v>
      </c>
      <c r="O86" s="19" t="s">
        <v>255</v>
      </c>
    </row>
    <row r="87" spans="1:15" x14ac:dyDescent="0.3">
      <c r="A87" s="19">
        <v>86</v>
      </c>
      <c r="B87" s="19" t="s">
        <v>25</v>
      </c>
      <c r="C87" s="19">
        <v>2018</v>
      </c>
      <c r="D87" s="19" t="s">
        <v>334</v>
      </c>
      <c r="E87" s="19" t="s">
        <v>281</v>
      </c>
      <c r="F87" s="19" t="s">
        <v>286</v>
      </c>
      <c r="H87" t="s">
        <v>335</v>
      </c>
      <c r="I87" s="19">
        <v>22.3</v>
      </c>
      <c r="J87" s="19">
        <v>63.7</v>
      </c>
      <c r="K87" s="19">
        <v>-1.9</v>
      </c>
      <c r="L87" s="19" t="s">
        <v>255</v>
      </c>
      <c r="M87" s="19">
        <v>282</v>
      </c>
      <c r="N87" s="19">
        <v>17.600000000000001</v>
      </c>
      <c r="O87" s="19" t="s">
        <v>255</v>
      </c>
    </row>
    <row r="88" spans="1:15" x14ac:dyDescent="0.3">
      <c r="A88" s="19">
        <v>87</v>
      </c>
      <c r="B88" s="19" t="s">
        <v>23</v>
      </c>
      <c r="C88" s="19">
        <v>2019</v>
      </c>
      <c r="D88" s="19" t="s">
        <v>295</v>
      </c>
      <c r="E88" s="19" t="s">
        <v>285</v>
      </c>
      <c r="F88" s="19" t="s">
        <v>286</v>
      </c>
      <c r="G88" s="19" t="s">
        <v>12</v>
      </c>
      <c r="H88" t="s">
        <v>389</v>
      </c>
      <c r="I88" s="19">
        <v>33.799999999999997</v>
      </c>
      <c r="J88" s="19">
        <v>84.5</v>
      </c>
      <c r="K88" s="19">
        <v>0</v>
      </c>
      <c r="L88" s="19">
        <v>8</v>
      </c>
      <c r="M88" s="19">
        <v>273</v>
      </c>
      <c r="N88" s="19">
        <v>17.100000000000001</v>
      </c>
      <c r="O88" s="19">
        <v>13</v>
      </c>
    </row>
    <row r="89" spans="1:15" x14ac:dyDescent="0.3">
      <c r="A89" s="19">
        <v>88</v>
      </c>
      <c r="B89" s="19" t="s">
        <v>23</v>
      </c>
      <c r="C89" s="19">
        <v>2019</v>
      </c>
      <c r="D89" s="19" t="s">
        <v>310</v>
      </c>
      <c r="E89" s="19" t="s">
        <v>285</v>
      </c>
      <c r="F89" s="19" t="s">
        <v>282</v>
      </c>
      <c r="H89" t="s">
        <v>427</v>
      </c>
      <c r="I89" s="19">
        <v>39</v>
      </c>
      <c r="J89" s="19">
        <v>84.4</v>
      </c>
      <c r="K89" s="19">
        <v>0</v>
      </c>
      <c r="L89" s="19">
        <v>24</v>
      </c>
      <c r="M89" s="19">
        <v>132</v>
      </c>
      <c r="N89" s="19">
        <v>8.3000000000000007</v>
      </c>
      <c r="O89" s="19">
        <v>13</v>
      </c>
    </row>
    <row r="90" spans="1:15" x14ac:dyDescent="0.3">
      <c r="A90" s="19">
        <v>89</v>
      </c>
      <c r="B90" s="19" t="s">
        <v>23</v>
      </c>
      <c r="C90" s="19">
        <v>2019</v>
      </c>
      <c r="D90" s="19" t="s">
        <v>297</v>
      </c>
      <c r="E90" s="19" t="s">
        <v>285</v>
      </c>
      <c r="F90" s="19" t="s">
        <v>282</v>
      </c>
      <c r="H90" t="s">
        <v>416</v>
      </c>
      <c r="I90" s="19">
        <v>45.4</v>
      </c>
      <c r="J90" s="19">
        <v>72.400000000000006</v>
      </c>
      <c r="K90" s="19">
        <v>0</v>
      </c>
      <c r="L90" s="19">
        <v>20</v>
      </c>
      <c r="M90" s="19">
        <v>141</v>
      </c>
      <c r="N90" s="19">
        <v>8.8000000000000007</v>
      </c>
      <c r="O90" s="19">
        <v>18</v>
      </c>
    </row>
    <row r="91" spans="1:15" x14ac:dyDescent="0.3">
      <c r="A91" s="19">
        <v>90</v>
      </c>
      <c r="B91" s="19" t="s">
        <v>23</v>
      </c>
      <c r="C91" s="19">
        <v>2019</v>
      </c>
      <c r="D91" s="19" t="s">
        <v>299</v>
      </c>
      <c r="E91" s="19" t="s">
        <v>285</v>
      </c>
      <c r="F91" s="19" t="s">
        <v>289</v>
      </c>
      <c r="G91" s="19" t="s">
        <v>12</v>
      </c>
      <c r="H91" t="s">
        <v>340</v>
      </c>
      <c r="I91" s="19">
        <v>75.8</v>
      </c>
      <c r="J91" s="19">
        <v>99.8</v>
      </c>
      <c r="K91" s="19">
        <v>0</v>
      </c>
      <c r="L91" s="19">
        <v>10</v>
      </c>
      <c r="M91" s="19">
        <v>157</v>
      </c>
      <c r="N91" s="19">
        <v>10.5</v>
      </c>
      <c r="O91" s="19" t="s">
        <v>255</v>
      </c>
    </row>
    <row r="92" spans="1:15" x14ac:dyDescent="0.3">
      <c r="A92" s="19">
        <v>91</v>
      </c>
      <c r="B92" s="19" t="s">
        <v>23</v>
      </c>
      <c r="C92" s="19">
        <v>2019</v>
      </c>
      <c r="D92" s="19" t="s">
        <v>318</v>
      </c>
      <c r="E92" s="19" t="s">
        <v>285</v>
      </c>
      <c r="F92" s="19" t="s">
        <v>289</v>
      </c>
      <c r="H92" t="s">
        <v>319</v>
      </c>
      <c r="I92" s="19">
        <v>50.1</v>
      </c>
      <c r="J92" s="19">
        <v>68.3</v>
      </c>
      <c r="K92" s="19">
        <v>0</v>
      </c>
      <c r="L92" s="19">
        <v>41</v>
      </c>
      <c r="M92" s="19">
        <v>98</v>
      </c>
      <c r="N92" s="19">
        <v>7</v>
      </c>
      <c r="O92" s="19">
        <v>19</v>
      </c>
    </row>
    <row r="93" spans="1:15" x14ac:dyDescent="0.3">
      <c r="A93" s="19">
        <v>92</v>
      </c>
      <c r="B93" s="19" t="s">
        <v>23</v>
      </c>
      <c r="C93" s="19">
        <v>2019</v>
      </c>
      <c r="D93" s="19" t="s">
        <v>307</v>
      </c>
      <c r="E93" s="19" t="s">
        <v>285</v>
      </c>
      <c r="F93" s="19" t="s">
        <v>316</v>
      </c>
      <c r="H93" t="s">
        <v>443</v>
      </c>
      <c r="I93" s="19">
        <v>62.3</v>
      </c>
      <c r="J93" s="19">
        <v>91.9</v>
      </c>
      <c r="K93" s="19">
        <v>0</v>
      </c>
      <c r="L93" s="19">
        <v>5</v>
      </c>
      <c r="M93" s="19">
        <v>122</v>
      </c>
      <c r="N93" s="19">
        <v>8.1</v>
      </c>
      <c r="O93" s="19" t="s">
        <v>255</v>
      </c>
    </row>
    <row r="94" spans="1:15" x14ac:dyDescent="0.3">
      <c r="A94" s="19">
        <v>93</v>
      </c>
      <c r="B94" s="19" t="s">
        <v>23</v>
      </c>
      <c r="C94" s="19">
        <v>2019</v>
      </c>
      <c r="D94" s="19" t="s">
        <v>312</v>
      </c>
      <c r="E94" s="19" t="s">
        <v>285</v>
      </c>
      <c r="F94" s="19" t="s">
        <v>282</v>
      </c>
      <c r="G94" s="19" t="s">
        <v>12</v>
      </c>
      <c r="H94" t="s">
        <v>395</v>
      </c>
      <c r="I94" s="19">
        <v>74.900000000000006</v>
      </c>
      <c r="J94" s="19">
        <v>98.1</v>
      </c>
      <c r="K94" s="19">
        <v>0</v>
      </c>
      <c r="L94" s="19">
        <v>21</v>
      </c>
      <c r="M94" s="19">
        <v>137</v>
      </c>
      <c r="N94" s="19">
        <v>9.1</v>
      </c>
      <c r="O94" s="19">
        <v>7</v>
      </c>
    </row>
    <row r="95" spans="1:15" x14ac:dyDescent="0.3">
      <c r="A95" s="19">
        <v>94</v>
      </c>
      <c r="B95" s="19" t="s">
        <v>23</v>
      </c>
      <c r="C95" s="19">
        <v>2019</v>
      </c>
      <c r="D95" s="19" t="s">
        <v>313</v>
      </c>
      <c r="E95" s="19" t="s">
        <v>285</v>
      </c>
      <c r="F95" s="19" t="s">
        <v>301</v>
      </c>
      <c r="H95" t="s">
        <v>320</v>
      </c>
      <c r="I95" s="19">
        <v>28.6</v>
      </c>
      <c r="J95" s="19">
        <v>43.3</v>
      </c>
      <c r="K95" s="19">
        <v>0</v>
      </c>
      <c r="L95" s="19">
        <v>20</v>
      </c>
      <c r="M95" s="19">
        <v>81</v>
      </c>
      <c r="N95" s="19">
        <v>5.0999999999999996</v>
      </c>
      <c r="O95" s="19">
        <v>0</v>
      </c>
    </row>
    <row r="96" spans="1:15" x14ac:dyDescent="0.3">
      <c r="A96" s="19">
        <v>95</v>
      </c>
      <c r="B96" s="19" t="s">
        <v>23</v>
      </c>
      <c r="C96" s="19">
        <v>2019</v>
      </c>
      <c r="D96" s="19" t="s">
        <v>313</v>
      </c>
      <c r="E96" s="19" t="s">
        <v>285</v>
      </c>
      <c r="F96" s="19" t="s">
        <v>314</v>
      </c>
      <c r="H96" t="s">
        <v>315</v>
      </c>
      <c r="I96" s="19">
        <v>4</v>
      </c>
      <c r="J96" s="19">
        <v>5.8</v>
      </c>
      <c r="K96" s="19">
        <v>0</v>
      </c>
      <c r="L96" s="19">
        <v>9</v>
      </c>
      <c r="M96" s="19">
        <v>125</v>
      </c>
      <c r="N96" s="19">
        <v>7.8</v>
      </c>
      <c r="O96" s="19">
        <v>13</v>
      </c>
    </row>
    <row r="97" spans="1:15" x14ac:dyDescent="0.3">
      <c r="A97" s="19">
        <v>96</v>
      </c>
      <c r="B97" s="19" t="s">
        <v>23</v>
      </c>
      <c r="C97" s="19">
        <v>2019</v>
      </c>
      <c r="D97" s="19" t="s">
        <v>362</v>
      </c>
      <c r="E97" s="19" t="s">
        <v>281</v>
      </c>
      <c r="F97" s="19" t="s">
        <v>289</v>
      </c>
      <c r="H97" t="s">
        <v>367</v>
      </c>
      <c r="I97" s="19">
        <v>67.3</v>
      </c>
      <c r="J97" s="19">
        <v>93.7</v>
      </c>
      <c r="K97" s="19">
        <v>0</v>
      </c>
      <c r="L97" s="19">
        <v>15</v>
      </c>
      <c r="M97" s="19">
        <v>147</v>
      </c>
      <c r="N97" s="19">
        <v>9.1999999999999993</v>
      </c>
      <c r="O97" s="19">
        <v>14</v>
      </c>
    </row>
    <row r="98" spans="1:15" x14ac:dyDescent="0.3">
      <c r="A98" s="19">
        <v>97</v>
      </c>
      <c r="B98" s="19" t="s">
        <v>23</v>
      </c>
      <c r="C98" s="19">
        <v>2019</v>
      </c>
      <c r="D98" s="19" t="s">
        <v>350</v>
      </c>
      <c r="E98" s="19" t="s">
        <v>281</v>
      </c>
      <c r="F98" s="19" t="s">
        <v>289</v>
      </c>
      <c r="H98" t="s">
        <v>355</v>
      </c>
      <c r="I98" s="19">
        <v>19</v>
      </c>
      <c r="J98" s="19">
        <v>66.7</v>
      </c>
      <c r="K98" s="19">
        <v>0</v>
      </c>
      <c r="L98" s="19">
        <v>40</v>
      </c>
      <c r="M98" s="19">
        <v>99</v>
      </c>
      <c r="N98" s="19">
        <v>9</v>
      </c>
      <c r="O98" s="19">
        <v>12</v>
      </c>
    </row>
    <row r="99" spans="1:15" x14ac:dyDescent="0.3">
      <c r="A99" s="19">
        <v>98</v>
      </c>
      <c r="B99" s="19" t="s">
        <v>23</v>
      </c>
      <c r="C99" s="19">
        <v>2019</v>
      </c>
      <c r="D99" s="19" t="s">
        <v>291</v>
      </c>
      <c r="E99" s="19" t="s">
        <v>281</v>
      </c>
      <c r="F99" s="19" t="s">
        <v>282</v>
      </c>
      <c r="H99" t="s">
        <v>392</v>
      </c>
      <c r="I99" s="19">
        <v>11.9</v>
      </c>
      <c r="J99" s="19">
        <v>62.2</v>
      </c>
      <c r="K99" s="19">
        <v>0</v>
      </c>
      <c r="L99" s="19">
        <v>30</v>
      </c>
      <c r="M99" s="19">
        <v>110</v>
      </c>
      <c r="N99" s="19">
        <v>6.9</v>
      </c>
      <c r="O99" s="19">
        <v>7</v>
      </c>
    </row>
    <row r="100" spans="1:15" x14ac:dyDescent="0.3">
      <c r="A100" s="19">
        <v>99</v>
      </c>
      <c r="B100" s="19" t="s">
        <v>23</v>
      </c>
      <c r="C100" s="19">
        <v>2019</v>
      </c>
      <c r="D100" s="19" t="s">
        <v>312</v>
      </c>
      <c r="E100" s="19" t="s">
        <v>281</v>
      </c>
      <c r="F100" s="19" t="s">
        <v>301</v>
      </c>
      <c r="H100" t="s">
        <v>376</v>
      </c>
      <c r="I100" s="19">
        <v>22.6</v>
      </c>
      <c r="J100" s="19">
        <v>36.5</v>
      </c>
      <c r="K100" s="19">
        <v>0</v>
      </c>
      <c r="L100" s="19">
        <v>7</v>
      </c>
      <c r="M100" s="19">
        <v>129</v>
      </c>
      <c r="N100" s="19">
        <v>8.1</v>
      </c>
      <c r="O100" s="19">
        <v>11</v>
      </c>
    </row>
    <row r="101" spans="1:15" x14ac:dyDescent="0.3">
      <c r="A101" s="19">
        <v>100</v>
      </c>
      <c r="B101" s="19" t="s">
        <v>23</v>
      </c>
      <c r="C101" s="19">
        <v>2019</v>
      </c>
      <c r="D101" s="19" t="s">
        <v>330</v>
      </c>
      <c r="E101" s="19" t="s">
        <v>281</v>
      </c>
      <c r="F101" s="19" t="s">
        <v>282</v>
      </c>
      <c r="H101" t="s">
        <v>401</v>
      </c>
      <c r="I101" s="19">
        <v>8.6999999999999993</v>
      </c>
      <c r="J101" s="19">
        <v>25.4</v>
      </c>
      <c r="K101" s="19">
        <v>-0.1</v>
      </c>
      <c r="L101" s="19">
        <v>100</v>
      </c>
      <c r="M101" s="19">
        <v>9</v>
      </c>
      <c r="N101" s="19">
        <v>9</v>
      </c>
      <c r="O101" s="19">
        <v>9</v>
      </c>
    </row>
    <row r="102" spans="1:15" x14ac:dyDescent="0.3">
      <c r="A102" s="19">
        <v>101</v>
      </c>
      <c r="B102" s="19" t="s">
        <v>24</v>
      </c>
      <c r="C102" s="19">
        <v>2020</v>
      </c>
      <c r="D102" s="19" t="s">
        <v>326</v>
      </c>
      <c r="E102" s="19" t="s">
        <v>285</v>
      </c>
      <c r="F102" s="19" t="s">
        <v>286</v>
      </c>
      <c r="H102" t="s">
        <v>413</v>
      </c>
      <c r="I102" s="19">
        <v>62.1</v>
      </c>
      <c r="J102" s="19">
        <v>97.2</v>
      </c>
      <c r="K102" s="19">
        <v>-2.7</v>
      </c>
      <c r="L102" s="19">
        <v>1</v>
      </c>
      <c r="M102" s="19">
        <v>373</v>
      </c>
      <c r="N102" s="19">
        <v>24.9</v>
      </c>
      <c r="O102" s="19" t="s">
        <v>255</v>
      </c>
    </row>
    <row r="103" spans="1:15" x14ac:dyDescent="0.3">
      <c r="A103" s="19">
        <v>102</v>
      </c>
      <c r="B103" s="19" t="s">
        <v>24</v>
      </c>
      <c r="C103" s="19">
        <v>2020</v>
      </c>
      <c r="D103" s="19" t="s">
        <v>318</v>
      </c>
      <c r="E103" s="19" t="s">
        <v>285</v>
      </c>
      <c r="F103" s="19" t="s">
        <v>282</v>
      </c>
      <c r="H103" t="s">
        <v>393</v>
      </c>
      <c r="I103" s="19">
        <v>28.4</v>
      </c>
      <c r="J103" s="19">
        <v>77.099999999999994</v>
      </c>
      <c r="K103" s="19">
        <v>-9.9</v>
      </c>
      <c r="L103" s="19">
        <v>40</v>
      </c>
      <c r="M103" s="19">
        <v>86</v>
      </c>
      <c r="N103" s="19">
        <v>6.6</v>
      </c>
      <c r="O103" s="19">
        <v>2</v>
      </c>
    </row>
    <row r="104" spans="1:15" x14ac:dyDescent="0.3">
      <c r="A104" s="19">
        <v>103</v>
      </c>
      <c r="B104" s="19" t="s">
        <v>24</v>
      </c>
      <c r="C104" s="19">
        <v>2020</v>
      </c>
      <c r="D104" s="19" t="s">
        <v>362</v>
      </c>
      <c r="E104" s="19" t="s">
        <v>285</v>
      </c>
      <c r="F104" s="19" t="s">
        <v>282</v>
      </c>
      <c r="H104" t="s">
        <v>409</v>
      </c>
      <c r="I104" s="19">
        <v>91.6</v>
      </c>
      <c r="J104" s="19">
        <v>99.2</v>
      </c>
      <c r="K104" s="19">
        <v>-0.1</v>
      </c>
      <c r="L104" s="19">
        <v>8</v>
      </c>
      <c r="M104" s="19">
        <v>183</v>
      </c>
      <c r="N104" s="19">
        <v>15.3</v>
      </c>
      <c r="O104" s="19">
        <v>16</v>
      </c>
    </row>
    <row r="105" spans="1:15" x14ac:dyDescent="0.3">
      <c r="A105" s="19">
        <v>104</v>
      </c>
      <c r="B105" s="19" t="s">
        <v>24</v>
      </c>
      <c r="C105" s="19">
        <v>2020</v>
      </c>
      <c r="D105" s="19" t="s">
        <v>326</v>
      </c>
      <c r="E105" s="19" t="s">
        <v>285</v>
      </c>
      <c r="F105" s="19" t="s">
        <v>289</v>
      </c>
      <c r="G105" s="19" t="s">
        <v>12</v>
      </c>
      <c r="H105" t="s">
        <v>440</v>
      </c>
      <c r="I105" s="19">
        <v>59.7</v>
      </c>
      <c r="J105" s="19">
        <v>99.7</v>
      </c>
      <c r="K105" s="19">
        <v>-0.2</v>
      </c>
      <c r="L105" s="19">
        <v>1</v>
      </c>
      <c r="M105" s="19">
        <v>230</v>
      </c>
      <c r="N105" s="19">
        <v>15.3</v>
      </c>
      <c r="O105" s="19" t="s">
        <v>255</v>
      </c>
    </row>
    <row r="106" spans="1:15" x14ac:dyDescent="0.3">
      <c r="A106" s="19">
        <v>105</v>
      </c>
      <c r="B106" s="19" t="s">
        <v>24</v>
      </c>
      <c r="C106" s="19">
        <v>2020</v>
      </c>
      <c r="D106" s="19" t="s">
        <v>297</v>
      </c>
      <c r="E106" s="19" t="s">
        <v>285</v>
      </c>
      <c r="F106" s="19" t="s">
        <v>289</v>
      </c>
      <c r="H106" t="s">
        <v>309</v>
      </c>
      <c r="I106" s="19">
        <v>27.9</v>
      </c>
      <c r="J106" s="19">
        <v>63.5</v>
      </c>
      <c r="K106" s="19">
        <v>-24</v>
      </c>
      <c r="L106" s="19">
        <v>22</v>
      </c>
      <c r="M106" s="19">
        <v>119</v>
      </c>
      <c r="N106" s="19">
        <v>9.9</v>
      </c>
      <c r="O106" s="19" t="s">
        <v>255</v>
      </c>
    </row>
    <row r="107" spans="1:15" x14ac:dyDescent="0.3">
      <c r="A107" s="19">
        <v>106</v>
      </c>
      <c r="B107" s="19" t="s">
        <v>24</v>
      </c>
      <c r="C107" s="19">
        <v>2020</v>
      </c>
      <c r="D107" s="19" t="s">
        <v>313</v>
      </c>
      <c r="E107" s="19" t="s">
        <v>285</v>
      </c>
      <c r="F107" s="19" t="s">
        <v>316</v>
      </c>
      <c r="H107" t="s">
        <v>411</v>
      </c>
      <c r="I107" s="19">
        <v>47.7</v>
      </c>
      <c r="J107" s="19">
        <v>77.599999999999994</v>
      </c>
      <c r="K107" s="19">
        <v>1</v>
      </c>
      <c r="L107" s="19">
        <v>15</v>
      </c>
      <c r="M107" s="19">
        <v>79</v>
      </c>
      <c r="N107" s="19">
        <v>5.3</v>
      </c>
      <c r="O107" s="19">
        <v>4</v>
      </c>
    </row>
    <row r="108" spans="1:15" x14ac:dyDescent="0.3">
      <c r="A108" s="19">
        <v>107</v>
      </c>
      <c r="B108" s="19" t="s">
        <v>24</v>
      </c>
      <c r="C108" s="19">
        <v>2020</v>
      </c>
      <c r="D108" s="19" t="s">
        <v>326</v>
      </c>
      <c r="E108" s="19" t="s">
        <v>285</v>
      </c>
      <c r="F108" s="19" t="s">
        <v>282</v>
      </c>
      <c r="G108" s="19" t="s">
        <v>12</v>
      </c>
      <c r="H108" t="s">
        <v>395</v>
      </c>
      <c r="I108" s="19">
        <v>24.4</v>
      </c>
      <c r="J108" s="19">
        <v>71.2</v>
      </c>
      <c r="K108" s="19">
        <v>-11.1</v>
      </c>
      <c r="L108" s="19">
        <v>55</v>
      </c>
      <c r="M108" s="19">
        <v>52</v>
      </c>
      <c r="N108" s="19">
        <v>4.7</v>
      </c>
      <c r="O108" s="19" t="s">
        <v>255</v>
      </c>
    </row>
    <row r="109" spans="1:15" x14ac:dyDescent="0.3">
      <c r="A109" s="19">
        <v>108</v>
      </c>
      <c r="B109" s="19" t="s">
        <v>24</v>
      </c>
      <c r="C109" s="19">
        <v>2020</v>
      </c>
      <c r="D109" s="19" t="s">
        <v>288</v>
      </c>
      <c r="E109" s="19" t="s">
        <v>285</v>
      </c>
      <c r="F109" s="19" t="s">
        <v>301</v>
      </c>
      <c r="G109" s="19" t="s">
        <v>12</v>
      </c>
      <c r="H109" t="s">
        <v>302</v>
      </c>
      <c r="I109" s="19">
        <v>41.7</v>
      </c>
      <c r="J109" s="19">
        <v>62.6</v>
      </c>
      <c r="K109" s="19">
        <v>-8.8000000000000007</v>
      </c>
      <c r="L109" s="19">
        <v>13</v>
      </c>
      <c r="M109" s="19">
        <v>82</v>
      </c>
      <c r="N109" s="19">
        <v>5.0999999999999996</v>
      </c>
      <c r="O109" s="19">
        <v>0</v>
      </c>
    </row>
    <row r="110" spans="1:15" x14ac:dyDescent="0.3">
      <c r="A110" s="19">
        <v>109</v>
      </c>
      <c r="B110" s="19" t="s">
        <v>24</v>
      </c>
      <c r="C110" s="19">
        <v>2020</v>
      </c>
      <c r="D110" s="19" t="s">
        <v>368</v>
      </c>
      <c r="E110" s="19" t="s">
        <v>285</v>
      </c>
      <c r="F110" s="19" t="s">
        <v>314</v>
      </c>
      <c r="G110" s="19" t="s">
        <v>12</v>
      </c>
      <c r="H110" t="s">
        <v>369</v>
      </c>
      <c r="I110" s="19">
        <v>68.400000000000006</v>
      </c>
      <c r="J110" s="19">
        <v>75.3</v>
      </c>
      <c r="K110" s="19">
        <v>-4.2</v>
      </c>
      <c r="L110" s="19">
        <v>1</v>
      </c>
      <c r="M110" s="19">
        <v>169</v>
      </c>
      <c r="N110" s="19">
        <v>10.6</v>
      </c>
      <c r="O110" s="19">
        <v>9</v>
      </c>
    </row>
    <row r="111" spans="1:15" x14ac:dyDescent="0.3">
      <c r="A111" s="19">
        <v>110</v>
      </c>
      <c r="B111" s="19" t="s">
        <v>24</v>
      </c>
      <c r="C111" s="19">
        <v>2020</v>
      </c>
      <c r="D111" s="19" t="s">
        <v>330</v>
      </c>
      <c r="E111" s="19" t="s">
        <v>281</v>
      </c>
      <c r="F111" s="19" t="s">
        <v>289</v>
      </c>
      <c r="G111" s="19" t="s">
        <v>12</v>
      </c>
      <c r="H111" t="s">
        <v>439</v>
      </c>
      <c r="I111" s="19">
        <v>73.7</v>
      </c>
      <c r="J111" s="19">
        <v>98.4</v>
      </c>
      <c r="K111" s="19">
        <v>-0.6</v>
      </c>
      <c r="L111" s="19">
        <v>13</v>
      </c>
      <c r="M111" s="19">
        <v>160</v>
      </c>
      <c r="N111" s="19">
        <v>10</v>
      </c>
      <c r="O111" s="19">
        <v>21</v>
      </c>
    </row>
    <row r="112" spans="1:15" x14ac:dyDescent="0.3">
      <c r="A112" s="19">
        <v>111</v>
      </c>
      <c r="B112" s="19" t="s">
        <v>24</v>
      </c>
      <c r="C112" s="19">
        <v>2020</v>
      </c>
      <c r="D112" s="19" t="s">
        <v>303</v>
      </c>
      <c r="E112" s="19" t="s">
        <v>281</v>
      </c>
      <c r="F112" s="19" t="s">
        <v>282</v>
      </c>
      <c r="H112" t="s">
        <v>345</v>
      </c>
      <c r="I112" s="19">
        <v>24.9</v>
      </c>
      <c r="J112" s="19">
        <v>69.099999999999994</v>
      </c>
      <c r="K112" s="19">
        <v>-3.1</v>
      </c>
      <c r="L112" s="19">
        <v>35</v>
      </c>
      <c r="M112" s="19">
        <v>94</v>
      </c>
      <c r="N112" s="19">
        <v>5.9</v>
      </c>
      <c r="O112" s="19">
        <v>0</v>
      </c>
    </row>
    <row r="113" spans="1:15" x14ac:dyDescent="0.3">
      <c r="A113" s="19">
        <v>112</v>
      </c>
      <c r="B113" s="19" t="s">
        <v>24</v>
      </c>
      <c r="C113" s="19">
        <v>2020</v>
      </c>
      <c r="D113" s="19" t="s">
        <v>297</v>
      </c>
      <c r="E113" s="19" t="s">
        <v>281</v>
      </c>
      <c r="F113" s="19" t="s">
        <v>282</v>
      </c>
      <c r="H113" t="s">
        <v>372</v>
      </c>
      <c r="I113" s="19">
        <v>61.7</v>
      </c>
      <c r="J113" s="19">
        <v>77.7</v>
      </c>
      <c r="K113" s="19">
        <v>23.4</v>
      </c>
      <c r="L113" s="19">
        <v>26</v>
      </c>
      <c r="M113" s="19">
        <v>123</v>
      </c>
      <c r="N113" s="19">
        <v>10.3</v>
      </c>
      <c r="O113" s="19">
        <v>20</v>
      </c>
    </row>
    <row r="114" spans="1:15" x14ac:dyDescent="0.3">
      <c r="A114" s="19">
        <v>113</v>
      </c>
      <c r="B114" s="19" t="s">
        <v>24</v>
      </c>
      <c r="C114" s="19">
        <v>2020</v>
      </c>
      <c r="D114" s="19" t="s">
        <v>303</v>
      </c>
      <c r="E114" s="19" t="s">
        <v>281</v>
      </c>
      <c r="F114" s="19" t="s">
        <v>289</v>
      </c>
      <c r="H114" t="s">
        <v>380</v>
      </c>
      <c r="I114" s="19">
        <v>2.7</v>
      </c>
      <c r="J114" s="19">
        <v>36.1</v>
      </c>
      <c r="K114" s="19">
        <v>-2.2000000000000002</v>
      </c>
      <c r="L114" s="19">
        <v>86</v>
      </c>
      <c r="M114" s="19">
        <v>62</v>
      </c>
      <c r="N114" s="19">
        <v>6.9</v>
      </c>
      <c r="O114" s="19">
        <v>13</v>
      </c>
    </row>
    <row r="115" spans="1:15" x14ac:dyDescent="0.3">
      <c r="A115" s="19">
        <v>114</v>
      </c>
      <c r="B115" s="19" t="s">
        <v>24</v>
      </c>
      <c r="C115" s="19">
        <v>2020</v>
      </c>
      <c r="D115" s="19" t="s">
        <v>299</v>
      </c>
      <c r="E115" s="19" t="s">
        <v>281</v>
      </c>
      <c r="F115" s="19" t="s">
        <v>289</v>
      </c>
      <c r="H115" t="s">
        <v>388</v>
      </c>
      <c r="I115" s="19">
        <v>7.5</v>
      </c>
      <c r="J115" s="19">
        <v>23.3</v>
      </c>
      <c r="K115" s="19">
        <v>-6.4</v>
      </c>
      <c r="L115" s="19">
        <v>93</v>
      </c>
      <c r="M115" s="19">
        <v>52</v>
      </c>
      <c r="N115" s="19">
        <v>6.5</v>
      </c>
      <c r="O115" s="19">
        <v>9</v>
      </c>
    </row>
    <row r="116" spans="1:15" x14ac:dyDescent="0.3">
      <c r="A116" s="19">
        <v>115</v>
      </c>
      <c r="B116" s="19" t="s">
        <v>25</v>
      </c>
      <c r="C116" s="19">
        <v>2021</v>
      </c>
      <c r="D116" s="19" t="s">
        <v>303</v>
      </c>
      <c r="E116" s="19" t="s">
        <v>285</v>
      </c>
      <c r="F116" s="19" t="s">
        <v>286</v>
      </c>
      <c r="H116" t="s">
        <v>382</v>
      </c>
      <c r="I116" s="19">
        <v>94.6</v>
      </c>
      <c r="J116" s="19">
        <v>99.9</v>
      </c>
      <c r="K116" s="19">
        <v>0</v>
      </c>
      <c r="L116" s="19">
        <v>1</v>
      </c>
      <c r="M116" s="19">
        <v>387</v>
      </c>
      <c r="N116" s="19">
        <v>22.8</v>
      </c>
      <c r="O116" s="19">
        <v>23</v>
      </c>
    </row>
    <row r="117" spans="1:15" x14ac:dyDescent="0.3">
      <c r="A117" s="19">
        <v>116</v>
      </c>
      <c r="B117" s="19" t="s">
        <v>25</v>
      </c>
      <c r="C117" s="19">
        <v>2021</v>
      </c>
      <c r="D117" s="19" t="s">
        <v>291</v>
      </c>
      <c r="E117" s="19" t="s">
        <v>285</v>
      </c>
      <c r="F117" s="19" t="s">
        <v>282</v>
      </c>
      <c r="H117" t="s">
        <v>292</v>
      </c>
      <c r="I117" s="19">
        <v>94.3</v>
      </c>
      <c r="J117" s="19">
        <v>99.9</v>
      </c>
      <c r="K117" s="19">
        <v>0</v>
      </c>
      <c r="L117" s="19">
        <v>9</v>
      </c>
      <c r="M117" s="19">
        <v>177</v>
      </c>
      <c r="N117" s="19">
        <v>13.6</v>
      </c>
      <c r="O117" s="19">
        <v>15</v>
      </c>
    </row>
    <row r="118" spans="1:15" x14ac:dyDescent="0.3">
      <c r="A118" s="19">
        <v>117</v>
      </c>
      <c r="B118" s="19" t="s">
        <v>25</v>
      </c>
      <c r="C118" s="19">
        <v>2021</v>
      </c>
      <c r="D118" s="19" t="s">
        <v>284</v>
      </c>
      <c r="E118" s="19" t="s">
        <v>285</v>
      </c>
      <c r="F118" s="19" t="s">
        <v>282</v>
      </c>
      <c r="H118" t="s">
        <v>366</v>
      </c>
      <c r="I118" s="19">
        <v>8.6999999999999993</v>
      </c>
      <c r="J118" s="19">
        <v>22.4</v>
      </c>
      <c r="K118" s="19">
        <v>8.9</v>
      </c>
      <c r="L118" s="19">
        <v>71</v>
      </c>
      <c r="M118" s="19">
        <v>39</v>
      </c>
      <c r="N118" s="19">
        <v>2.8</v>
      </c>
      <c r="O118" s="19">
        <v>3</v>
      </c>
    </row>
    <row r="119" spans="1:15" x14ac:dyDescent="0.3">
      <c r="A119" s="19">
        <v>118</v>
      </c>
      <c r="B119" s="19" t="s">
        <v>25</v>
      </c>
      <c r="C119" s="19">
        <v>2021</v>
      </c>
      <c r="D119" s="19" t="s">
        <v>353</v>
      </c>
      <c r="E119" s="19" t="s">
        <v>285</v>
      </c>
      <c r="F119" s="19" t="s">
        <v>289</v>
      </c>
      <c r="H119" t="s">
        <v>432</v>
      </c>
      <c r="I119" s="19">
        <v>59.7</v>
      </c>
      <c r="J119" s="19">
        <v>94.4</v>
      </c>
      <c r="K119" s="19">
        <v>-0.5</v>
      </c>
      <c r="L119" s="19">
        <v>17</v>
      </c>
      <c r="M119" s="19">
        <v>139</v>
      </c>
      <c r="N119" s="19">
        <v>9.9</v>
      </c>
      <c r="O119" s="19" t="s">
        <v>255</v>
      </c>
    </row>
    <row r="120" spans="1:15" x14ac:dyDescent="0.3">
      <c r="A120" s="19">
        <v>119</v>
      </c>
      <c r="B120" s="19" t="s">
        <v>25</v>
      </c>
      <c r="C120" s="19">
        <v>2021</v>
      </c>
      <c r="D120" s="19" t="s">
        <v>297</v>
      </c>
      <c r="E120" s="19" t="s">
        <v>285</v>
      </c>
      <c r="F120" s="19" t="s">
        <v>289</v>
      </c>
      <c r="H120" t="s">
        <v>341</v>
      </c>
      <c r="I120" s="19">
        <v>86</v>
      </c>
      <c r="J120" s="19">
        <v>99.5</v>
      </c>
      <c r="K120" s="19">
        <v>0.1</v>
      </c>
      <c r="L120" s="19">
        <v>2</v>
      </c>
      <c r="M120" s="19">
        <v>248</v>
      </c>
      <c r="N120" s="19">
        <v>15.5</v>
      </c>
      <c r="O120" s="19">
        <v>23</v>
      </c>
    </row>
    <row r="121" spans="1:15" x14ac:dyDescent="0.3">
      <c r="A121" s="19">
        <v>120</v>
      </c>
      <c r="B121" s="19" t="s">
        <v>25</v>
      </c>
      <c r="C121" s="19">
        <v>2021</v>
      </c>
      <c r="D121" s="19" t="s">
        <v>378</v>
      </c>
      <c r="E121" s="19" t="s">
        <v>285</v>
      </c>
      <c r="F121" s="19" t="s">
        <v>316</v>
      </c>
      <c r="G121" s="19" t="s">
        <v>12</v>
      </c>
      <c r="H121" t="s">
        <v>397</v>
      </c>
      <c r="I121" s="19">
        <v>97</v>
      </c>
      <c r="J121" s="19">
        <v>99.8</v>
      </c>
      <c r="K121" s="19">
        <v>0</v>
      </c>
      <c r="L121" s="19">
        <v>1</v>
      </c>
      <c r="M121" s="19">
        <v>185</v>
      </c>
      <c r="N121" s="19">
        <v>10.9</v>
      </c>
      <c r="O121" s="19">
        <v>8</v>
      </c>
    </row>
    <row r="122" spans="1:15" x14ac:dyDescent="0.3">
      <c r="A122" s="19">
        <v>121</v>
      </c>
      <c r="B122" s="19" t="s">
        <v>25</v>
      </c>
      <c r="C122" s="19">
        <v>2021</v>
      </c>
      <c r="D122" s="19" t="s">
        <v>291</v>
      </c>
      <c r="E122" s="19" t="s">
        <v>285</v>
      </c>
      <c r="F122" s="19" t="s">
        <v>289</v>
      </c>
      <c r="H122" t="s">
        <v>399</v>
      </c>
      <c r="I122" s="19">
        <v>6.4</v>
      </c>
      <c r="J122" s="19">
        <v>30.1</v>
      </c>
      <c r="K122" s="19">
        <v>0.6</v>
      </c>
      <c r="L122" s="19">
        <v>39</v>
      </c>
      <c r="M122" s="19">
        <v>99</v>
      </c>
      <c r="N122" s="19">
        <v>5.8</v>
      </c>
      <c r="O122" s="19">
        <v>0</v>
      </c>
    </row>
    <row r="123" spans="1:15" x14ac:dyDescent="0.3">
      <c r="A123" s="19">
        <v>122</v>
      </c>
      <c r="B123" s="19" t="s">
        <v>25</v>
      </c>
      <c r="C123" s="19">
        <v>2021</v>
      </c>
      <c r="D123" s="19" t="s">
        <v>310</v>
      </c>
      <c r="E123" s="19" t="s">
        <v>285</v>
      </c>
      <c r="F123" s="19" t="s">
        <v>301</v>
      </c>
      <c r="H123" t="s">
        <v>414</v>
      </c>
      <c r="I123" s="19">
        <v>64.099999999999994</v>
      </c>
      <c r="J123" s="19">
        <v>90.3</v>
      </c>
      <c r="K123" s="19">
        <v>-0.1</v>
      </c>
      <c r="L123" s="19">
        <v>3</v>
      </c>
      <c r="M123" s="19">
        <v>148</v>
      </c>
      <c r="N123" s="19">
        <v>8.6999999999999993</v>
      </c>
      <c r="O123" s="19">
        <v>3</v>
      </c>
    </row>
    <row r="124" spans="1:15" x14ac:dyDescent="0.3">
      <c r="A124" s="19">
        <v>123</v>
      </c>
      <c r="B124" s="19" t="s">
        <v>25</v>
      </c>
      <c r="C124" s="19">
        <v>2021</v>
      </c>
      <c r="D124" s="19" t="s">
        <v>326</v>
      </c>
      <c r="E124" s="19" t="s">
        <v>285</v>
      </c>
      <c r="F124" s="19" t="s">
        <v>314</v>
      </c>
      <c r="H124" t="s">
        <v>360</v>
      </c>
      <c r="I124" s="19">
        <v>52.4</v>
      </c>
      <c r="J124" s="19">
        <v>76.099999999999994</v>
      </c>
      <c r="K124" s="19">
        <v>2.6</v>
      </c>
      <c r="L124" s="19">
        <v>12</v>
      </c>
      <c r="M124" s="19">
        <v>137</v>
      </c>
      <c r="N124" s="19">
        <v>8.6</v>
      </c>
      <c r="O124" s="19">
        <v>10</v>
      </c>
    </row>
    <row r="125" spans="1:15" x14ac:dyDescent="0.3">
      <c r="A125" s="19">
        <v>124</v>
      </c>
      <c r="B125" s="19" t="s">
        <v>25</v>
      </c>
      <c r="C125" s="19">
        <v>2021</v>
      </c>
      <c r="D125" s="19" t="s">
        <v>368</v>
      </c>
      <c r="E125" s="19" t="s">
        <v>281</v>
      </c>
      <c r="F125" s="19" t="s">
        <v>282</v>
      </c>
      <c r="H125" t="s">
        <v>408</v>
      </c>
      <c r="I125" s="19">
        <v>24</v>
      </c>
      <c r="J125" s="19">
        <v>82.4</v>
      </c>
      <c r="K125" s="19">
        <v>-3.1</v>
      </c>
      <c r="L125" s="19">
        <v>29</v>
      </c>
      <c r="M125" s="19">
        <v>110</v>
      </c>
      <c r="N125" s="19">
        <v>6.5</v>
      </c>
      <c r="O125" s="19">
        <v>1</v>
      </c>
    </row>
    <row r="126" spans="1:15" x14ac:dyDescent="0.3">
      <c r="A126" s="19">
        <v>125</v>
      </c>
      <c r="B126" s="19" t="s">
        <v>25</v>
      </c>
      <c r="C126" s="19">
        <v>2021</v>
      </c>
      <c r="D126" s="19" t="s">
        <v>342</v>
      </c>
      <c r="E126" s="19" t="s">
        <v>281</v>
      </c>
      <c r="F126" s="19" t="s">
        <v>286</v>
      </c>
      <c r="H126" t="s">
        <v>424</v>
      </c>
      <c r="I126" s="19">
        <v>23.5</v>
      </c>
      <c r="J126" s="19">
        <v>59.4</v>
      </c>
      <c r="K126" s="19">
        <v>1.7</v>
      </c>
      <c r="L126" s="19">
        <v>13</v>
      </c>
      <c r="M126" s="19">
        <v>251</v>
      </c>
      <c r="N126" s="19">
        <v>14.8</v>
      </c>
      <c r="O126" s="19">
        <v>27</v>
      </c>
    </row>
    <row r="127" spans="1:15" x14ac:dyDescent="0.3">
      <c r="A127" s="19">
        <v>126</v>
      </c>
      <c r="B127" s="19" t="s">
        <v>25</v>
      </c>
      <c r="C127" s="19">
        <v>2021</v>
      </c>
      <c r="D127" s="19" t="s">
        <v>307</v>
      </c>
      <c r="E127" s="19" t="s">
        <v>281</v>
      </c>
      <c r="F127" s="19" t="s">
        <v>282</v>
      </c>
      <c r="G127" s="19" t="s">
        <v>12</v>
      </c>
      <c r="H127" t="s">
        <v>381</v>
      </c>
      <c r="I127" s="19">
        <v>2.5</v>
      </c>
      <c r="J127" s="19">
        <v>13.4</v>
      </c>
      <c r="K127" s="19">
        <v>-0.6</v>
      </c>
      <c r="L127" s="19">
        <v>60</v>
      </c>
      <c r="M127" s="19">
        <v>56</v>
      </c>
      <c r="N127" s="19">
        <v>8</v>
      </c>
      <c r="O127" s="19" t="s">
        <v>255</v>
      </c>
    </row>
    <row r="128" spans="1:15" x14ac:dyDescent="0.3">
      <c r="A128" s="19">
        <v>127</v>
      </c>
      <c r="B128" s="19" t="s">
        <v>25</v>
      </c>
      <c r="C128" s="19">
        <v>2021</v>
      </c>
      <c r="D128" s="19" t="s">
        <v>307</v>
      </c>
      <c r="E128" s="19" t="s">
        <v>281</v>
      </c>
      <c r="F128" s="19" t="s">
        <v>282</v>
      </c>
      <c r="H128" t="s">
        <v>308</v>
      </c>
      <c r="I128" s="19">
        <v>6.1</v>
      </c>
      <c r="J128" s="19">
        <v>24.3</v>
      </c>
      <c r="K128" s="19">
        <v>2.2999999999999998</v>
      </c>
      <c r="L128" s="19">
        <v>46</v>
      </c>
      <c r="M128" s="19">
        <v>80</v>
      </c>
      <c r="N128" s="19">
        <v>6.7</v>
      </c>
      <c r="O128" s="19" t="s">
        <v>255</v>
      </c>
    </row>
    <row r="129" spans="1:15" x14ac:dyDescent="0.3">
      <c r="A129" s="19">
        <v>128</v>
      </c>
      <c r="B129" s="19" t="s">
        <v>25</v>
      </c>
      <c r="C129" s="19">
        <v>2021</v>
      </c>
      <c r="D129" s="19" t="s">
        <v>337</v>
      </c>
      <c r="E129" s="19" t="s">
        <v>281</v>
      </c>
      <c r="F129" s="19" t="s">
        <v>289</v>
      </c>
      <c r="H129" t="s">
        <v>400</v>
      </c>
      <c r="I129" s="19">
        <v>6.1</v>
      </c>
      <c r="J129" s="19">
        <v>20</v>
      </c>
      <c r="K129" s="19">
        <v>0.6</v>
      </c>
      <c r="L129" s="19">
        <v>70</v>
      </c>
      <c r="M129" s="19">
        <v>57</v>
      </c>
      <c r="N129" s="19">
        <v>5.2</v>
      </c>
      <c r="O129" s="19">
        <v>0</v>
      </c>
    </row>
    <row r="130" spans="1:15" x14ac:dyDescent="0.3">
      <c r="A130" s="19">
        <v>129</v>
      </c>
      <c r="B130" s="19" t="s">
        <v>22</v>
      </c>
      <c r="C130" s="19">
        <v>2022</v>
      </c>
      <c r="D130" s="19" t="s">
        <v>353</v>
      </c>
      <c r="E130" s="19" t="s">
        <v>285</v>
      </c>
      <c r="F130" s="19" t="s">
        <v>286</v>
      </c>
      <c r="H130" t="s">
        <v>377</v>
      </c>
      <c r="I130" s="19">
        <v>81.099999999999994</v>
      </c>
      <c r="J130" s="19">
        <v>99.3</v>
      </c>
      <c r="K130" s="19">
        <v>0.2</v>
      </c>
      <c r="L130" s="19">
        <v>4</v>
      </c>
      <c r="M130" s="19">
        <v>352</v>
      </c>
      <c r="N130" s="19">
        <v>22</v>
      </c>
      <c r="O130" s="19">
        <v>11</v>
      </c>
    </row>
    <row r="131" spans="1:15" x14ac:dyDescent="0.3">
      <c r="A131" s="19">
        <v>130</v>
      </c>
      <c r="B131" s="19" t="s">
        <v>22</v>
      </c>
      <c r="C131" s="19">
        <v>2022</v>
      </c>
      <c r="D131" s="19" t="s">
        <v>310</v>
      </c>
      <c r="E131" s="19" t="s">
        <v>285</v>
      </c>
      <c r="F131" s="19" t="s">
        <v>282</v>
      </c>
      <c r="G131" s="19" t="s">
        <v>12</v>
      </c>
      <c r="H131" t="s">
        <v>486</v>
      </c>
      <c r="I131" s="19">
        <v>69.3</v>
      </c>
      <c r="J131" s="19">
        <v>98</v>
      </c>
      <c r="K131" s="19">
        <v>0.1</v>
      </c>
      <c r="L131" s="19">
        <v>14</v>
      </c>
      <c r="M131" s="19">
        <v>166</v>
      </c>
      <c r="N131" s="19">
        <v>9.8000000000000007</v>
      </c>
      <c r="O131" s="19">
        <v>7</v>
      </c>
    </row>
    <row r="132" spans="1:15" x14ac:dyDescent="0.3">
      <c r="A132" s="19">
        <v>131</v>
      </c>
      <c r="B132" s="19" t="s">
        <v>22</v>
      </c>
      <c r="C132" s="19">
        <v>2022</v>
      </c>
      <c r="D132" s="19" t="s">
        <v>321</v>
      </c>
      <c r="E132" s="19" t="s">
        <v>285</v>
      </c>
      <c r="F132" s="19" t="s">
        <v>282</v>
      </c>
      <c r="H132" t="s">
        <v>322</v>
      </c>
      <c r="I132" s="19">
        <v>64</v>
      </c>
      <c r="J132" s="19">
        <v>90.1</v>
      </c>
      <c r="K132" s="19">
        <v>4.2</v>
      </c>
      <c r="L132" s="19">
        <v>31</v>
      </c>
      <c r="M132" s="19">
        <v>121</v>
      </c>
      <c r="N132" s="19">
        <v>8.1</v>
      </c>
      <c r="O132" s="19">
        <v>12</v>
      </c>
    </row>
    <row r="133" spans="1:15" x14ac:dyDescent="0.3">
      <c r="A133" s="19">
        <v>132</v>
      </c>
      <c r="B133" s="19" t="s">
        <v>22</v>
      </c>
      <c r="C133" s="19">
        <v>2022</v>
      </c>
      <c r="D133" s="19" t="s">
        <v>303</v>
      </c>
      <c r="E133" s="19" t="s">
        <v>285</v>
      </c>
      <c r="F133" s="19" t="s">
        <v>289</v>
      </c>
      <c r="H133" t="s">
        <v>428</v>
      </c>
      <c r="I133" s="19">
        <v>98</v>
      </c>
      <c r="J133" s="19">
        <v>100</v>
      </c>
      <c r="K133" s="19">
        <v>0</v>
      </c>
      <c r="L133" s="19">
        <v>5</v>
      </c>
      <c r="M133" s="19">
        <v>201</v>
      </c>
      <c r="N133" s="19">
        <v>12.6</v>
      </c>
      <c r="O133" s="19">
        <v>16</v>
      </c>
    </row>
    <row r="134" spans="1:15" x14ac:dyDescent="0.3">
      <c r="A134" s="19">
        <v>133</v>
      </c>
      <c r="B134" s="19" t="s">
        <v>22</v>
      </c>
      <c r="C134" s="19">
        <v>2022</v>
      </c>
      <c r="D134" s="19" t="s">
        <v>368</v>
      </c>
      <c r="E134" s="19" t="s">
        <v>285</v>
      </c>
      <c r="F134" s="19" t="s">
        <v>289</v>
      </c>
      <c r="H134" t="s">
        <v>371</v>
      </c>
      <c r="I134" s="19">
        <v>83.5</v>
      </c>
      <c r="J134" s="19">
        <v>99.7</v>
      </c>
      <c r="K134" s="19">
        <v>0</v>
      </c>
      <c r="L134" s="19">
        <v>7</v>
      </c>
      <c r="M134" s="19">
        <v>173</v>
      </c>
      <c r="N134" s="19">
        <v>10.199999999999999</v>
      </c>
      <c r="O134" s="19">
        <v>4</v>
      </c>
    </row>
    <row r="135" spans="1:15" x14ac:dyDescent="0.3">
      <c r="A135" s="19">
        <v>134</v>
      </c>
      <c r="B135" s="19" t="s">
        <v>22</v>
      </c>
      <c r="C135" s="19">
        <v>2022</v>
      </c>
      <c r="D135" s="19" t="s">
        <v>326</v>
      </c>
      <c r="E135" s="19" t="s">
        <v>285</v>
      </c>
      <c r="F135" s="19" t="s">
        <v>316</v>
      </c>
      <c r="G135" s="19" t="s">
        <v>12</v>
      </c>
      <c r="H135" t="s">
        <v>436</v>
      </c>
      <c r="I135" s="19">
        <v>99.1</v>
      </c>
      <c r="J135" s="19">
        <v>100</v>
      </c>
      <c r="K135" s="19">
        <v>0</v>
      </c>
      <c r="L135" s="19">
        <v>1</v>
      </c>
      <c r="M135" s="19">
        <v>198</v>
      </c>
      <c r="N135" s="19">
        <v>11.6</v>
      </c>
      <c r="O135" s="19">
        <v>3</v>
      </c>
    </row>
    <row r="136" spans="1:15" x14ac:dyDescent="0.3">
      <c r="A136" s="19">
        <v>135</v>
      </c>
      <c r="B136" s="19" t="s">
        <v>22</v>
      </c>
      <c r="C136" s="19">
        <v>2022</v>
      </c>
      <c r="D136" s="19" t="s">
        <v>293</v>
      </c>
      <c r="E136" s="19" t="s">
        <v>285</v>
      </c>
      <c r="F136" s="19" t="s">
        <v>289</v>
      </c>
      <c r="H136" t="s">
        <v>294</v>
      </c>
      <c r="I136" s="19">
        <v>91.2</v>
      </c>
      <c r="J136" s="19">
        <v>99.6</v>
      </c>
      <c r="K136" s="19">
        <v>0.1</v>
      </c>
      <c r="L136" s="19">
        <v>11</v>
      </c>
      <c r="M136" s="19">
        <v>149</v>
      </c>
      <c r="N136" s="19">
        <v>9.3000000000000007</v>
      </c>
      <c r="O136" s="19">
        <v>4</v>
      </c>
    </row>
    <row r="137" spans="1:15" x14ac:dyDescent="0.3">
      <c r="A137" s="19">
        <v>136</v>
      </c>
      <c r="B137" s="19" t="s">
        <v>22</v>
      </c>
      <c r="C137" s="19">
        <v>2022</v>
      </c>
      <c r="D137" s="19" t="s">
        <v>326</v>
      </c>
      <c r="E137" s="19" t="s">
        <v>285</v>
      </c>
      <c r="F137" s="19" t="s">
        <v>301</v>
      </c>
      <c r="H137" t="s">
        <v>327</v>
      </c>
      <c r="I137" s="19">
        <v>56.6</v>
      </c>
      <c r="J137" s="19">
        <v>71.5</v>
      </c>
      <c r="K137" s="19">
        <v>-3.7</v>
      </c>
      <c r="L137" s="19">
        <v>9</v>
      </c>
      <c r="M137" s="19">
        <v>115</v>
      </c>
      <c r="N137" s="19">
        <v>6.8</v>
      </c>
      <c r="O137" s="19">
        <v>15</v>
      </c>
    </row>
    <row r="138" spans="1:15" x14ac:dyDescent="0.3">
      <c r="A138" s="19">
        <v>137</v>
      </c>
      <c r="B138" s="19" t="s">
        <v>22</v>
      </c>
      <c r="C138" s="19">
        <v>2022</v>
      </c>
      <c r="D138" s="19" t="s">
        <v>350</v>
      </c>
      <c r="E138" s="19" t="s">
        <v>285</v>
      </c>
      <c r="F138" s="19" t="s">
        <v>314</v>
      </c>
      <c r="H138" t="s">
        <v>356</v>
      </c>
      <c r="I138" s="19">
        <v>60.2</v>
      </c>
      <c r="J138" s="19">
        <v>73.900000000000006</v>
      </c>
      <c r="K138" s="19">
        <v>-1.1000000000000001</v>
      </c>
      <c r="L138" s="19">
        <v>7</v>
      </c>
      <c r="M138" s="19">
        <v>142</v>
      </c>
      <c r="N138" s="19">
        <v>8.4</v>
      </c>
      <c r="O138" s="19">
        <v>4</v>
      </c>
    </row>
    <row r="139" spans="1:15" x14ac:dyDescent="0.3">
      <c r="A139" s="19">
        <v>138</v>
      </c>
      <c r="B139" s="19" t="s">
        <v>22</v>
      </c>
      <c r="C139" s="19">
        <v>2022</v>
      </c>
      <c r="D139" s="19" t="s">
        <v>378</v>
      </c>
      <c r="E139" s="19" t="s">
        <v>281</v>
      </c>
      <c r="F139" s="19" t="s">
        <v>316</v>
      </c>
      <c r="G139" s="19" t="s">
        <v>12</v>
      </c>
      <c r="H139" t="s">
        <v>397</v>
      </c>
      <c r="I139" s="19">
        <v>88.9</v>
      </c>
      <c r="J139" s="19">
        <v>99.5</v>
      </c>
      <c r="K139" s="19">
        <v>0</v>
      </c>
      <c r="L139" s="19">
        <v>5</v>
      </c>
      <c r="M139" s="19">
        <v>111</v>
      </c>
      <c r="N139" s="19">
        <v>7.4</v>
      </c>
      <c r="O139" s="19" t="s">
        <v>255</v>
      </c>
    </row>
    <row r="140" spans="1:15" x14ac:dyDescent="0.3">
      <c r="A140" s="19">
        <v>139</v>
      </c>
      <c r="B140" s="19" t="s">
        <v>22</v>
      </c>
      <c r="C140" s="19">
        <v>2022</v>
      </c>
      <c r="D140" s="19" t="s">
        <v>332</v>
      </c>
      <c r="E140" s="19" t="s">
        <v>281</v>
      </c>
      <c r="F140" s="19" t="s">
        <v>282</v>
      </c>
      <c r="H140" t="s">
        <v>333</v>
      </c>
      <c r="I140" s="19">
        <v>22</v>
      </c>
      <c r="J140" s="19">
        <v>82.9</v>
      </c>
      <c r="K140" s="19">
        <v>0</v>
      </c>
      <c r="L140" s="19">
        <v>28</v>
      </c>
      <c r="M140" s="19">
        <v>125</v>
      </c>
      <c r="N140" s="19">
        <v>9.6</v>
      </c>
      <c r="O140" s="19">
        <v>7</v>
      </c>
    </row>
    <row r="141" spans="1:15" x14ac:dyDescent="0.3">
      <c r="A141" s="19">
        <v>140</v>
      </c>
      <c r="B141" s="19" t="s">
        <v>22</v>
      </c>
      <c r="C141" s="19">
        <v>2022</v>
      </c>
      <c r="D141" s="19" t="s">
        <v>313</v>
      </c>
      <c r="E141" s="19" t="s">
        <v>281</v>
      </c>
      <c r="F141" s="19" t="s">
        <v>286</v>
      </c>
      <c r="H141" t="s">
        <v>423</v>
      </c>
      <c r="I141" s="19">
        <v>15.6</v>
      </c>
      <c r="J141" s="19">
        <v>42.4</v>
      </c>
      <c r="K141" s="19">
        <v>1.6</v>
      </c>
      <c r="L141" s="19">
        <v>17</v>
      </c>
      <c r="M141" s="19">
        <v>213</v>
      </c>
      <c r="N141" s="19">
        <v>14.2</v>
      </c>
      <c r="O141" s="19">
        <v>22</v>
      </c>
    </row>
    <row r="142" spans="1:15" x14ac:dyDescent="0.3">
      <c r="A142" s="19">
        <v>141</v>
      </c>
      <c r="B142" s="19" t="s">
        <v>22</v>
      </c>
      <c r="C142" s="19">
        <v>2022</v>
      </c>
      <c r="D142" s="19" t="s">
        <v>313</v>
      </c>
      <c r="E142" s="19" t="s">
        <v>281</v>
      </c>
      <c r="F142" s="19" t="s">
        <v>316</v>
      </c>
      <c r="H142" t="s">
        <v>357</v>
      </c>
      <c r="I142" s="19">
        <v>15.9</v>
      </c>
      <c r="J142" s="19">
        <v>43.5</v>
      </c>
      <c r="K142" s="19">
        <v>-5.9</v>
      </c>
      <c r="L142" s="19">
        <v>25</v>
      </c>
      <c r="M142" s="19">
        <v>50</v>
      </c>
      <c r="N142" s="19">
        <v>5</v>
      </c>
      <c r="O142" s="19" t="s">
        <v>255</v>
      </c>
    </row>
    <row r="143" spans="1:15" x14ac:dyDescent="0.3">
      <c r="A143" s="19">
        <v>142</v>
      </c>
      <c r="B143" s="19" t="s">
        <v>48</v>
      </c>
      <c r="C143" s="19">
        <v>2023</v>
      </c>
      <c r="D143" s="19" t="s">
        <v>328</v>
      </c>
      <c r="E143" s="19" t="s">
        <v>285</v>
      </c>
      <c r="F143" s="19" t="s">
        <v>286</v>
      </c>
      <c r="H143" t="s">
        <v>474</v>
      </c>
    </row>
    <row r="144" spans="1:15" x14ac:dyDescent="0.3">
      <c r="A144" s="19">
        <v>143</v>
      </c>
      <c r="B144" s="19" t="s">
        <v>48</v>
      </c>
      <c r="C144" s="19">
        <v>2023</v>
      </c>
      <c r="D144" s="19" t="s">
        <v>312</v>
      </c>
      <c r="E144" s="19" t="s">
        <v>285</v>
      </c>
      <c r="F144" s="19" t="s">
        <v>282</v>
      </c>
      <c r="H144" t="s">
        <v>475</v>
      </c>
    </row>
    <row r="145" spans="1:15" x14ac:dyDescent="0.3">
      <c r="A145" s="19">
        <v>144</v>
      </c>
      <c r="B145" s="19" t="s">
        <v>48</v>
      </c>
      <c r="C145" s="19">
        <v>2023</v>
      </c>
      <c r="D145" s="19" t="s">
        <v>303</v>
      </c>
      <c r="E145" s="19" t="s">
        <v>285</v>
      </c>
      <c r="F145" s="19" t="s">
        <v>282</v>
      </c>
      <c r="H145" t="s">
        <v>476</v>
      </c>
    </row>
    <row r="146" spans="1:15" x14ac:dyDescent="0.3">
      <c r="A146" s="19">
        <v>145</v>
      </c>
      <c r="B146" s="19" t="s">
        <v>48</v>
      </c>
      <c r="C146" s="19">
        <v>2023</v>
      </c>
      <c r="D146" s="19" t="s">
        <v>321</v>
      </c>
      <c r="E146" s="19" t="s">
        <v>285</v>
      </c>
      <c r="F146" s="19" t="s">
        <v>289</v>
      </c>
      <c r="H146" t="s">
        <v>477</v>
      </c>
    </row>
    <row r="147" spans="1:15" x14ac:dyDescent="0.3">
      <c r="A147" s="19">
        <v>146</v>
      </c>
      <c r="B147" s="19" t="s">
        <v>48</v>
      </c>
      <c r="C147" s="19">
        <v>2023</v>
      </c>
      <c r="D147" s="19" t="s">
        <v>321</v>
      </c>
      <c r="E147" s="19" t="s">
        <v>285</v>
      </c>
      <c r="F147" s="19" t="s">
        <v>289</v>
      </c>
      <c r="H147" t="s">
        <v>478</v>
      </c>
    </row>
    <row r="148" spans="1:15" x14ac:dyDescent="0.3">
      <c r="A148" s="19">
        <v>147</v>
      </c>
      <c r="B148" s="19" t="s">
        <v>48</v>
      </c>
      <c r="C148" s="19">
        <v>2023</v>
      </c>
      <c r="D148" s="19" t="s">
        <v>362</v>
      </c>
      <c r="E148" s="19" t="s">
        <v>285</v>
      </c>
      <c r="F148" s="19" t="s">
        <v>316</v>
      </c>
      <c r="H148" t="s">
        <v>479</v>
      </c>
    </row>
    <row r="149" spans="1:15" x14ac:dyDescent="0.3">
      <c r="A149" s="19">
        <v>148</v>
      </c>
      <c r="B149" s="19" t="s">
        <v>48</v>
      </c>
      <c r="C149" s="19">
        <v>2023</v>
      </c>
      <c r="D149" s="19" t="s">
        <v>374</v>
      </c>
      <c r="E149" s="19" t="s">
        <v>285</v>
      </c>
      <c r="F149" s="19" t="s">
        <v>289</v>
      </c>
      <c r="G149" s="19" t="s">
        <v>12</v>
      </c>
      <c r="H149" t="s">
        <v>480</v>
      </c>
    </row>
    <row r="150" spans="1:15" x14ac:dyDescent="0.3">
      <c r="A150" s="19">
        <v>149</v>
      </c>
      <c r="B150" s="19" t="s">
        <v>48</v>
      </c>
      <c r="C150" s="19">
        <v>2023</v>
      </c>
      <c r="D150" s="19" t="s">
        <v>321</v>
      </c>
      <c r="E150" s="19" t="s">
        <v>285</v>
      </c>
      <c r="F150" s="19" t="s">
        <v>301</v>
      </c>
      <c r="H150" t="s">
        <v>481</v>
      </c>
    </row>
    <row r="151" spans="1:15" x14ac:dyDescent="0.3">
      <c r="A151" s="19">
        <v>150</v>
      </c>
      <c r="B151" s="19" t="s">
        <v>48</v>
      </c>
      <c r="C151" s="19">
        <v>2023</v>
      </c>
      <c r="D151" s="19" t="s">
        <v>368</v>
      </c>
      <c r="E151" s="19" t="s">
        <v>285</v>
      </c>
      <c r="F151" s="19" t="s">
        <v>314</v>
      </c>
      <c r="G151" s="19" t="s">
        <v>12</v>
      </c>
      <c r="H151" t="s">
        <v>369</v>
      </c>
    </row>
    <row r="152" spans="1:15" x14ac:dyDescent="0.3">
      <c r="A152" s="19">
        <v>151</v>
      </c>
      <c r="B152" s="19" t="s">
        <v>48</v>
      </c>
      <c r="C152" s="19">
        <v>2023</v>
      </c>
      <c r="D152" s="19" t="s">
        <v>295</v>
      </c>
      <c r="E152" s="19" t="s">
        <v>281</v>
      </c>
      <c r="F152" s="19" t="s">
        <v>286</v>
      </c>
      <c r="G152" s="19" t="s">
        <v>12</v>
      </c>
      <c r="H152" t="s">
        <v>389</v>
      </c>
    </row>
    <row r="153" spans="1:15" x14ac:dyDescent="0.3">
      <c r="A153" s="19">
        <v>152</v>
      </c>
      <c r="B153" s="19" t="s">
        <v>48</v>
      </c>
      <c r="C153" s="19">
        <v>2023</v>
      </c>
      <c r="D153" s="19" t="s">
        <v>284</v>
      </c>
      <c r="E153" s="19" t="s">
        <v>281</v>
      </c>
      <c r="F153" s="19" t="s">
        <v>289</v>
      </c>
      <c r="H153" t="s">
        <v>482</v>
      </c>
    </row>
    <row r="154" spans="1:15" x14ac:dyDescent="0.3">
      <c r="A154" s="19">
        <v>153</v>
      </c>
      <c r="B154" s="19" t="s">
        <v>48</v>
      </c>
      <c r="C154" s="19">
        <v>2023</v>
      </c>
      <c r="D154" s="19" t="s">
        <v>487</v>
      </c>
      <c r="E154" s="19" t="s">
        <v>281</v>
      </c>
      <c r="F154" s="19" t="s">
        <v>282</v>
      </c>
      <c r="H154" t="s">
        <v>483</v>
      </c>
    </row>
    <row r="155" spans="1:15" x14ac:dyDescent="0.3">
      <c r="A155" s="19">
        <v>154</v>
      </c>
      <c r="B155" s="19" t="s">
        <v>48</v>
      </c>
      <c r="C155" s="19">
        <v>2023</v>
      </c>
      <c r="D155" s="19" t="s">
        <v>337</v>
      </c>
      <c r="E155" s="19" t="s">
        <v>281</v>
      </c>
      <c r="F155" s="19" t="s">
        <v>289</v>
      </c>
      <c r="H155" t="s">
        <v>484</v>
      </c>
    </row>
    <row r="156" spans="1:15" x14ac:dyDescent="0.3">
      <c r="A156" s="19">
        <v>155</v>
      </c>
      <c r="B156" s="19" t="s">
        <v>48</v>
      </c>
      <c r="C156" s="19">
        <v>2023</v>
      </c>
      <c r="D156" s="19" t="s">
        <v>324</v>
      </c>
      <c r="E156" s="19" t="s">
        <v>281</v>
      </c>
      <c r="F156" s="19" t="s">
        <v>286</v>
      </c>
      <c r="H156" t="s">
        <v>485</v>
      </c>
    </row>
    <row r="157" spans="1:15" x14ac:dyDescent="0.3">
      <c r="A157" s="19">
        <v>156</v>
      </c>
      <c r="B157" s="19" t="s">
        <v>48</v>
      </c>
      <c r="C157" s="19">
        <v>2023</v>
      </c>
      <c r="D157" s="19" t="s">
        <v>310</v>
      </c>
      <c r="E157" s="19" t="s">
        <v>281</v>
      </c>
      <c r="F157" s="19" t="s">
        <v>282</v>
      </c>
      <c r="G157" s="19" t="s">
        <v>12</v>
      </c>
      <c r="H157" t="s">
        <v>486</v>
      </c>
    </row>
    <row r="158" spans="1:15" x14ac:dyDescent="0.3">
      <c r="A158" s="19">
        <v>157</v>
      </c>
      <c r="B158" s="19" t="s">
        <v>48</v>
      </c>
      <c r="C158" s="19">
        <v>2024</v>
      </c>
      <c r="D158" s="19" t="s">
        <v>378</v>
      </c>
      <c r="E158" s="19" t="s">
        <v>285</v>
      </c>
      <c r="F158" s="19" t="s">
        <v>286</v>
      </c>
      <c r="H158" t="s">
        <v>515</v>
      </c>
      <c r="I158" s="19">
        <v>91.7</v>
      </c>
      <c r="J158" s="19">
        <v>99.9</v>
      </c>
      <c r="K158" s="19">
        <v>0</v>
      </c>
      <c r="L158" s="19">
        <v>1</v>
      </c>
      <c r="M158" s="19">
        <v>426</v>
      </c>
      <c r="N158" s="19">
        <v>25.1</v>
      </c>
      <c r="O158">
        <v>22</v>
      </c>
    </row>
    <row r="159" spans="1:15" x14ac:dyDescent="0.3">
      <c r="A159" s="19">
        <v>158</v>
      </c>
      <c r="B159" s="19" t="s">
        <v>48</v>
      </c>
      <c r="C159" s="19">
        <v>2024</v>
      </c>
      <c r="D159" s="19" t="s">
        <v>293</v>
      </c>
      <c r="E159" s="19" t="s">
        <v>285</v>
      </c>
      <c r="F159" s="19" t="s">
        <v>282</v>
      </c>
      <c r="H159" t="s">
        <v>516</v>
      </c>
      <c r="I159" s="19">
        <v>98</v>
      </c>
      <c r="J159" s="19">
        <v>99.9</v>
      </c>
      <c r="K159" s="19">
        <v>0</v>
      </c>
      <c r="L159" s="19">
        <v>1</v>
      </c>
      <c r="M159" s="19">
        <v>348</v>
      </c>
      <c r="N159" s="19">
        <v>20.5</v>
      </c>
      <c r="O159">
        <v>45</v>
      </c>
    </row>
    <row r="160" spans="1:15" x14ac:dyDescent="0.3">
      <c r="A160" s="19">
        <v>159</v>
      </c>
      <c r="B160" s="19" t="s">
        <v>48</v>
      </c>
      <c r="C160" s="19">
        <v>2024</v>
      </c>
      <c r="D160" s="19" t="s">
        <v>362</v>
      </c>
      <c r="E160" s="19" t="s">
        <v>285</v>
      </c>
      <c r="F160" s="19" t="s">
        <v>282</v>
      </c>
      <c r="H160" t="s">
        <v>523</v>
      </c>
      <c r="I160" s="19">
        <v>19.899999999999999</v>
      </c>
      <c r="J160" s="19">
        <v>57</v>
      </c>
      <c r="K160" s="19">
        <v>-12.3</v>
      </c>
      <c r="L160" s="19">
        <v>34</v>
      </c>
      <c r="M160" s="19">
        <v>122</v>
      </c>
      <c r="N160" s="19">
        <v>8.6999999999999993</v>
      </c>
      <c r="O160" t="s">
        <v>255</v>
      </c>
    </row>
    <row r="161" spans="1:15" x14ac:dyDescent="0.3">
      <c r="A161" s="19">
        <v>160</v>
      </c>
      <c r="B161" s="19" t="s">
        <v>48</v>
      </c>
      <c r="C161" s="19">
        <v>2024</v>
      </c>
      <c r="D161" s="19" t="s">
        <v>288</v>
      </c>
      <c r="E161" s="19" t="s">
        <v>285</v>
      </c>
      <c r="F161" s="19" t="s">
        <v>289</v>
      </c>
      <c r="H161" t="s">
        <v>517</v>
      </c>
      <c r="I161" s="19">
        <v>71.8</v>
      </c>
      <c r="J161" s="19">
        <v>94.5</v>
      </c>
      <c r="K161" s="19">
        <v>0</v>
      </c>
      <c r="L161" s="19">
        <v>16</v>
      </c>
      <c r="M161" s="19">
        <v>226</v>
      </c>
      <c r="N161" s="19">
        <v>13.3</v>
      </c>
      <c r="O161">
        <v>21</v>
      </c>
    </row>
    <row r="162" spans="1:15" x14ac:dyDescent="0.3">
      <c r="A162" s="19">
        <v>161</v>
      </c>
      <c r="B162" s="19" t="s">
        <v>48</v>
      </c>
      <c r="C162" s="19">
        <v>2024</v>
      </c>
      <c r="D162" s="19" t="s">
        <v>313</v>
      </c>
      <c r="E162" s="19" t="s">
        <v>285</v>
      </c>
      <c r="F162" s="19" t="s">
        <v>289</v>
      </c>
      <c r="H162" t="s">
        <v>518</v>
      </c>
      <c r="I162" s="19">
        <v>50.9</v>
      </c>
      <c r="J162" s="19">
        <v>89.2</v>
      </c>
      <c r="K162" s="19">
        <v>-0.9</v>
      </c>
      <c r="L162" s="19">
        <v>12</v>
      </c>
      <c r="M162" s="19">
        <v>234</v>
      </c>
      <c r="N162" s="19">
        <v>13.8</v>
      </c>
      <c r="O162">
        <v>20</v>
      </c>
    </row>
    <row r="163" spans="1:15" x14ac:dyDescent="0.3">
      <c r="A163" s="19">
        <v>162</v>
      </c>
      <c r="B163" s="19" t="s">
        <v>48</v>
      </c>
      <c r="C163" s="19">
        <v>2024</v>
      </c>
      <c r="D163" s="19" t="s">
        <v>295</v>
      </c>
      <c r="E163" s="19" t="s">
        <v>285</v>
      </c>
      <c r="F163" s="19" t="s">
        <v>316</v>
      </c>
      <c r="H163" t="s">
        <v>519</v>
      </c>
      <c r="I163" s="19">
        <v>93.4</v>
      </c>
      <c r="J163" s="19">
        <v>99.1</v>
      </c>
      <c r="K163" s="19">
        <v>0</v>
      </c>
      <c r="L163" s="19">
        <v>2</v>
      </c>
      <c r="M163" s="19">
        <v>244</v>
      </c>
      <c r="N163" s="19">
        <v>15.3</v>
      </c>
      <c r="O163">
        <v>19</v>
      </c>
    </row>
    <row r="164" spans="1:15" x14ac:dyDescent="0.3">
      <c r="A164" s="19">
        <v>163</v>
      </c>
      <c r="B164" s="19" t="s">
        <v>48</v>
      </c>
      <c r="C164" s="19">
        <v>2024</v>
      </c>
      <c r="D164" s="19" t="s">
        <v>374</v>
      </c>
      <c r="E164" s="19" t="s">
        <v>285</v>
      </c>
      <c r="F164" s="19" t="s">
        <v>289</v>
      </c>
      <c r="G164" s="19" t="s">
        <v>12</v>
      </c>
      <c r="H164" t="s">
        <v>480</v>
      </c>
      <c r="I164" s="19">
        <v>98.6</v>
      </c>
      <c r="J164" s="19">
        <v>99.9</v>
      </c>
      <c r="K164" s="19">
        <v>0</v>
      </c>
      <c r="L164" s="19">
        <v>3</v>
      </c>
      <c r="M164" s="19">
        <v>309</v>
      </c>
      <c r="N164" s="19">
        <v>18.2</v>
      </c>
      <c r="O164">
        <v>8</v>
      </c>
    </row>
    <row r="165" spans="1:15" x14ac:dyDescent="0.3">
      <c r="A165" s="19">
        <v>164</v>
      </c>
      <c r="B165" s="19" t="s">
        <v>48</v>
      </c>
      <c r="C165" s="19">
        <v>2024</v>
      </c>
      <c r="D165" s="19" t="s">
        <v>330</v>
      </c>
      <c r="E165" s="19" t="s">
        <v>285</v>
      </c>
      <c r="F165" s="19" t="s">
        <v>301</v>
      </c>
      <c r="G165" s="19" t="s">
        <v>12</v>
      </c>
      <c r="H165" t="s">
        <v>425</v>
      </c>
      <c r="I165" s="19">
        <v>17.2</v>
      </c>
      <c r="J165" s="19">
        <v>25.4</v>
      </c>
      <c r="K165" s="19">
        <v>-1.2</v>
      </c>
      <c r="L165" s="19">
        <v>7</v>
      </c>
      <c r="M165" s="19">
        <v>121</v>
      </c>
      <c r="N165" s="19">
        <v>7.1</v>
      </c>
      <c r="O165">
        <v>2</v>
      </c>
    </row>
    <row r="166" spans="1:15" x14ac:dyDescent="0.3">
      <c r="A166" s="19">
        <v>165</v>
      </c>
      <c r="B166" s="19" t="s">
        <v>48</v>
      </c>
      <c r="C166" s="19">
        <v>2024</v>
      </c>
      <c r="D166" s="19" t="s">
        <v>328</v>
      </c>
      <c r="E166" s="19" t="s">
        <v>285</v>
      </c>
      <c r="F166" s="19" t="s">
        <v>314</v>
      </c>
      <c r="G166" s="19" t="s">
        <v>12</v>
      </c>
      <c r="H166" t="s">
        <v>329</v>
      </c>
      <c r="I166" s="19">
        <v>81.400000000000006</v>
      </c>
      <c r="J166" s="19">
        <v>87.9</v>
      </c>
      <c r="K166" s="19">
        <v>-2</v>
      </c>
      <c r="L166" s="19">
        <v>1</v>
      </c>
      <c r="M166" s="19">
        <v>188</v>
      </c>
      <c r="N166" s="19">
        <v>11.1</v>
      </c>
      <c r="O166">
        <v>7</v>
      </c>
    </row>
    <row r="167" spans="1:15" x14ac:dyDescent="0.3">
      <c r="A167" s="19">
        <v>166</v>
      </c>
      <c r="B167" s="19" t="s">
        <v>48</v>
      </c>
      <c r="C167" s="19">
        <v>2024</v>
      </c>
      <c r="D167" s="19" t="s">
        <v>374</v>
      </c>
      <c r="E167" s="19" t="s">
        <v>281</v>
      </c>
      <c r="F167" s="19" t="s">
        <v>316</v>
      </c>
      <c r="H167" t="s">
        <v>520</v>
      </c>
      <c r="I167" s="19">
        <v>55.3</v>
      </c>
      <c r="J167" s="19">
        <v>89.5</v>
      </c>
      <c r="K167" s="19">
        <v>0.6</v>
      </c>
      <c r="L167" s="19">
        <v>34</v>
      </c>
      <c r="M167" s="19">
        <v>81</v>
      </c>
      <c r="N167" s="19">
        <v>8.1</v>
      </c>
      <c r="O167">
        <v>2</v>
      </c>
    </row>
    <row r="168" spans="1:15" x14ac:dyDescent="0.3">
      <c r="A168" s="19">
        <v>167</v>
      </c>
      <c r="B168" s="19" t="s">
        <v>48</v>
      </c>
      <c r="C168" s="19">
        <v>2024</v>
      </c>
      <c r="D168" s="19" t="s">
        <v>330</v>
      </c>
      <c r="E168" s="19" t="s">
        <v>281</v>
      </c>
      <c r="F168" s="19" t="s">
        <v>286</v>
      </c>
      <c r="H168" t="s">
        <v>521</v>
      </c>
      <c r="I168" s="19">
        <v>57.8</v>
      </c>
      <c r="J168" s="19">
        <v>89.3</v>
      </c>
      <c r="K168" s="19">
        <v>3.8</v>
      </c>
      <c r="L168" s="19">
        <v>9</v>
      </c>
      <c r="M168" s="19">
        <v>303</v>
      </c>
      <c r="N168" s="19">
        <v>17.8</v>
      </c>
      <c r="O168">
        <v>7</v>
      </c>
    </row>
    <row r="169" spans="1:15" x14ac:dyDescent="0.3">
      <c r="A169" s="19">
        <v>168</v>
      </c>
      <c r="B169" s="19" t="s">
        <v>48</v>
      </c>
      <c r="C169" s="19">
        <v>2024</v>
      </c>
      <c r="D169" s="19" t="s">
        <v>312</v>
      </c>
      <c r="E169" s="19" t="s">
        <v>281</v>
      </c>
      <c r="F169" s="19" t="s">
        <v>286</v>
      </c>
      <c r="H169" t="s">
        <v>522</v>
      </c>
      <c r="I169" s="19">
        <v>18.3</v>
      </c>
      <c r="J169" s="19">
        <v>49.9</v>
      </c>
      <c r="K169" s="19">
        <v>-3.9</v>
      </c>
      <c r="L169" s="19">
        <v>15</v>
      </c>
      <c r="M169" s="19">
        <v>250</v>
      </c>
      <c r="N169" s="19">
        <v>14.7</v>
      </c>
      <c r="O169">
        <v>24</v>
      </c>
    </row>
    <row r="170" spans="1:15" x14ac:dyDescent="0.3">
      <c r="A170" s="19">
        <v>169</v>
      </c>
      <c r="B170" s="19" t="s">
        <v>28</v>
      </c>
      <c r="C170" s="19">
        <v>2025</v>
      </c>
      <c r="D170" s="19" t="s">
        <v>297</v>
      </c>
      <c r="E170" s="19" t="s">
        <v>285</v>
      </c>
      <c r="F170" s="19" t="s">
        <v>286</v>
      </c>
      <c r="H170" t="s">
        <v>524</v>
      </c>
    </row>
    <row r="171" spans="1:15" x14ac:dyDescent="0.3">
      <c r="A171" s="19">
        <v>170</v>
      </c>
      <c r="B171" s="19" t="s">
        <v>28</v>
      </c>
      <c r="C171" s="19">
        <v>2025</v>
      </c>
      <c r="D171" s="19" t="s">
        <v>297</v>
      </c>
      <c r="E171" s="19" t="s">
        <v>285</v>
      </c>
      <c r="F171" s="19" t="s">
        <v>282</v>
      </c>
      <c r="H171" t="s">
        <v>525</v>
      </c>
    </row>
    <row r="172" spans="1:15" x14ac:dyDescent="0.3">
      <c r="A172" s="19">
        <v>171</v>
      </c>
      <c r="B172" s="19" t="s">
        <v>28</v>
      </c>
      <c r="C172" s="19">
        <v>2025</v>
      </c>
      <c r="D172" s="19" t="s">
        <v>337</v>
      </c>
      <c r="E172" s="19" t="s">
        <v>285</v>
      </c>
      <c r="F172" s="19" t="s">
        <v>282</v>
      </c>
      <c r="H172" t="s">
        <v>526</v>
      </c>
    </row>
    <row r="173" spans="1:15" x14ac:dyDescent="0.3">
      <c r="A173" s="19">
        <v>172</v>
      </c>
      <c r="B173" s="19" t="s">
        <v>28</v>
      </c>
      <c r="C173" s="19">
        <v>2025</v>
      </c>
      <c r="D173" s="19" t="s">
        <v>334</v>
      </c>
      <c r="E173" s="19" t="s">
        <v>285</v>
      </c>
      <c r="F173" s="19" t="s">
        <v>289</v>
      </c>
      <c r="H173" t="s">
        <v>527</v>
      </c>
    </row>
    <row r="174" spans="1:15" x14ac:dyDescent="0.3">
      <c r="A174" s="19">
        <v>173</v>
      </c>
      <c r="B174" s="19" t="s">
        <v>28</v>
      </c>
      <c r="C174" s="19">
        <v>2025</v>
      </c>
      <c r="D174" s="19" t="s">
        <v>295</v>
      </c>
      <c r="E174" s="19" t="s">
        <v>285</v>
      </c>
      <c r="F174" s="19" t="s">
        <v>289</v>
      </c>
      <c r="H174" t="s">
        <v>528</v>
      </c>
    </row>
    <row r="175" spans="1:15" x14ac:dyDescent="0.3">
      <c r="A175" s="19">
        <v>174</v>
      </c>
      <c r="B175" s="19" t="s">
        <v>28</v>
      </c>
      <c r="C175" s="19">
        <v>2025</v>
      </c>
      <c r="D175" s="19" t="s">
        <v>307</v>
      </c>
      <c r="E175" s="19" t="s">
        <v>285</v>
      </c>
      <c r="F175" s="19" t="s">
        <v>316</v>
      </c>
      <c r="H175" t="s">
        <v>529</v>
      </c>
    </row>
    <row r="176" spans="1:15" x14ac:dyDescent="0.3">
      <c r="A176" s="19">
        <v>175</v>
      </c>
      <c r="B176" s="19" t="s">
        <v>28</v>
      </c>
      <c r="C176" s="19">
        <v>2025</v>
      </c>
      <c r="D176" s="19" t="s">
        <v>295</v>
      </c>
      <c r="E176" s="19" t="s">
        <v>285</v>
      </c>
      <c r="F176" s="19" t="s">
        <v>282</v>
      </c>
      <c r="H176" t="s">
        <v>530</v>
      </c>
    </row>
    <row r="177" spans="1:8" x14ac:dyDescent="0.3">
      <c r="A177" s="19">
        <v>176</v>
      </c>
      <c r="B177" s="19" t="s">
        <v>28</v>
      </c>
      <c r="C177" s="19">
        <v>2025</v>
      </c>
      <c r="D177" s="19" t="s">
        <v>293</v>
      </c>
      <c r="E177" s="19" t="s">
        <v>285</v>
      </c>
      <c r="F177" s="19" t="s">
        <v>301</v>
      </c>
      <c r="G177" s="19" t="s">
        <v>12</v>
      </c>
      <c r="H177" t="s">
        <v>396</v>
      </c>
    </row>
    <row r="178" spans="1:8" x14ac:dyDescent="0.3">
      <c r="A178" s="19">
        <v>177</v>
      </c>
      <c r="B178" s="19" t="s">
        <v>28</v>
      </c>
      <c r="C178" s="19">
        <v>2025</v>
      </c>
      <c r="D178" s="19" t="s">
        <v>299</v>
      </c>
      <c r="E178" s="19" t="s">
        <v>285</v>
      </c>
      <c r="F178" s="19" t="s">
        <v>314</v>
      </c>
      <c r="G178" s="19" t="s">
        <v>12</v>
      </c>
      <c r="H178" t="s">
        <v>386</v>
      </c>
    </row>
    <row r="179" spans="1:8" x14ac:dyDescent="0.3">
      <c r="A179" s="19">
        <v>178</v>
      </c>
      <c r="B179" s="19" t="s">
        <v>28</v>
      </c>
      <c r="C179" s="19">
        <v>2025</v>
      </c>
      <c r="D179" s="19" t="s">
        <v>295</v>
      </c>
      <c r="E179" s="19" t="s">
        <v>281</v>
      </c>
      <c r="F179" s="19" t="s">
        <v>289</v>
      </c>
      <c r="H179" t="s">
        <v>531</v>
      </c>
    </row>
    <row r="180" spans="1:8" x14ac:dyDescent="0.3">
      <c r="A180" s="19">
        <v>179</v>
      </c>
      <c r="B180" s="19" t="s">
        <v>28</v>
      </c>
      <c r="C180" s="19">
        <v>2025</v>
      </c>
      <c r="D180" s="19" t="s">
        <v>303</v>
      </c>
      <c r="E180" s="19" t="s">
        <v>281</v>
      </c>
      <c r="F180" s="19" t="s">
        <v>289</v>
      </c>
      <c r="H180" t="s">
        <v>532</v>
      </c>
    </row>
    <row r="181" spans="1:8" x14ac:dyDescent="0.3">
      <c r="A181" s="19">
        <v>180</v>
      </c>
      <c r="B181" s="19" t="s">
        <v>28</v>
      </c>
      <c r="C181" s="19">
        <v>2025</v>
      </c>
      <c r="D181" s="19" t="s">
        <v>297</v>
      </c>
      <c r="E181" s="19" t="s">
        <v>281</v>
      </c>
      <c r="F181" s="19" t="s">
        <v>282</v>
      </c>
      <c r="H181" t="s">
        <v>533</v>
      </c>
    </row>
  </sheetData>
  <autoFilter ref="A1:Q169" xr:uid="{4589B291-9D11-4272-8756-56789A326896}">
    <sortState xmlns:xlrd2="http://schemas.microsoft.com/office/spreadsheetml/2017/richdata2" ref="A2:O181">
      <sortCondition ref="A1:A169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9B8E-0DD3-40B2-9F3B-E25DB76610E6}">
  <dimension ref="A1:L50"/>
  <sheetViews>
    <sheetView workbookViewId="0">
      <selection activeCell="J11" sqref="J11"/>
    </sheetView>
  </sheetViews>
  <sheetFormatPr defaultRowHeight="14.4" x14ac:dyDescent="0.3"/>
  <cols>
    <col min="1" max="1" width="20.77734375" bestFit="1" customWidth="1"/>
    <col min="2" max="2" width="15.77734375" bestFit="1" customWidth="1"/>
    <col min="3" max="3" width="6.77734375" bestFit="1" customWidth="1"/>
    <col min="4" max="4" width="11" bestFit="1" customWidth="1"/>
    <col min="6" max="6" width="12.77734375" bestFit="1" customWidth="1"/>
    <col min="7" max="7" width="10.5546875" bestFit="1" customWidth="1"/>
    <col min="9" max="9" width="24.88671875" bestFit="1" customWidth="1"/>
    <col min="10" max="10" width="15.77734375" bestFit="1" customWidth="1"/>
    <col min="11" max="11" width="6.77734375" bestFit="1" customWidth="1"/>
    <col min="12" max="12" width="11" bestFit="1" customWidth="1"/>
  </cols>
  <sheetData>
    <row r="1" spans="1:12" x14ac:dyDescent="0.3">
      <c r="A1" s="22" t="s">
        <v>271</v>
      </c>
      <c r="B1" t="s">
        <v>12</v>
      </c>
      <c r="I1" s="22" t="s">
        <v>271</v>
      </c>
      <c r="J1" t="s">
        <v>12</v>
      </c>
    </row>
    <row r="3" spans="1:12" x14ac:dyDescent="0.3">
      <c r="A3" s="22" t="s">
        <v>444</v>
      </c>
      <c r="B3" s="22" t="s">
        <v>243</v>
      </c>
      <c r="F3" s="22" t="s">
        <v>241</v>
      </c>
      <c r="G3" t="s">
        <v>444</v>
      </c>
      <c r="I3" s="22" t="s">
        <v>444</v>
      </c>
      <c r="J3" s="22" t="s">
        <v>243</v>
      </c>
    </row>
    <row r="4" spans="1:12" x14ac:dyDescent="0.3">
      <c r="A4" s="22" t="s">
        <v>241</v>
      </c>
      <c r="B4" t="s">
        <v>281</v>
      </c>
      <c r="C4" t="s">
        <v>285</v>
      </c>
      <c r="D4" t="s">
        <v>242</v>
      </c>
      <c r="F4" s="1" t="s">
        <v>295</v>
      </c>
      <c r="G4">
        <v>8</v>
      </c>
      <c r="I4" s="22" t="s">
        <v>241</v>
      </c>
      <c r="J4" t="s">
        <v>281</v>
      </c>
      <c r="K4" t="s">
        <v>285</v>
      </c>
      <c r="L4" t="s">
        <v>242</v>
      </c>
    </row>
    <row r="5" spans="1:12" x14ac:dyDescent="0.3">
      <c r="A5" s="1" t="s">
        <v>302</v>
      </c>
      <c r="C5">
        <v>2</v>
      </c>
      <c r="D5">
        <v>2</v>
      </c>
      <c r="F5" s="1" t="s">
        <v>332</v>
      </c>
      <c r="G5">
        <v>4</v>
      </c>
      <c r="I5" s="1" t="s">
        <v>25</v>
      </c>
      <c r="J5">
        <v>3</v>
      </c>
      <c r="K5">
        <v>4</v>
      </c>
      <c r="L5">
        <v>7</v>
      </c>
    </row>
    <row r="6" spans="1:12" x14ac:dyDescent="0.3">
      <c r="A6" s="1" t="s">
        <v>329</v>
      </c>
      <c r="C6">
        <v>2</v>
      </c>
      <c r="D6">
        <v>2</v>
      </c>
      <c r="F6" s="1" t="s">
        <v>378</v>
      </c>
      <c r="G6">
        <v>5</v>
      </c>
      <c r="I6" s="23" t="s">
        <v>302</v>
      </c>
      <c r="K6">
        <v>1</v>
      </c>
      <c r="L6">
        <v>1</v>
      </c>
    </row>
    <row r="7" spans="1:12" x14ac:dyDescent="0.3">
      <c r="A7" s="1" t="s">
        <v>340</v>
      </c>
      <c r="C7">
        <v>2</v>
      </c>
      <c r="D7">
        <v>2</v>
      </c>
      <c r="F7" s="1" t="s">
        <v>303</v>
      </c>
      <c r="G7">
        <v>7</v>
      </c>
      <c r="I7" s="23" t="s">
        <v>344</v>
      </c>
      <c r="J7">
        <v>1</v>
      </c>
      <c r="L7">
        <v>1</v>
      </c>
    </row>
    <row r="8" spans="1:12" x14ac:dyDescent="0.3">
      <c r="A8" s="1" t="s">
        <v>344</v>
      </c>
      <c r="B8">
        <v>1</v>
      </c>
      <c r="C8">
        <v>1</v>
      </c>
      <c r="D8">
        <v>2</v>
      </c>
      <c r="F8" s="1" t="s">
        <v>358</v>
      </c>
      <c r="G8">
        <v>3</v>
      </c>
      <c r="I8" s="23" t="s">
        <v>381</v>
      </c>
      <c r="J8">
        <v>1</v>
      </c>
      <c r="L8">
        <v>1</v>
      </c>
    </row>
    <row r="9" spans="1:12" x14ac:dyDescent="0.3">
      <c r="A9" s="1" t="s">
        <v>359</v>
      </c>
      <c r="C9">
        <v>2</v>
      </c>
      <c r="D9">
        <v>2</v>
      </c>
      <c r="F9" s="1" t="s">
        <v>288</v>
      </c>
      <c r="G9">
        <v>5</v>
      </c>
      <c r="I9" s="23" t="s">
        <v>386</v>
      </c>
      <c r="K9">
        <v>1</v>
      </c>
      <c r="L9">
        <v>1</v>
      </c>
    </row>
    <row r="10" spans="1:12" x14ac:dyDescent="0.3">
      <c r="A10" s="1" t="s">
        <v>369</v>
      </c>
      <c r="C10">
        <v>2</v>
      </c>
      <c r="D10">
        <v>2</v>
      </c>
      <c r="F10" s="1" t="s">
        <v>353</v>
      </c>
      <c r="G10">
        <v>4</v>
      </c>
      <c r="I10" s="23" t="s">
        <v>394</v>
      </c>
      <c r="J10">
        <v>1</v>
      </c>
      <c r="L10">
        <v>1</v>
      </c>
    </row>
    <row r="11" spans="1:12" x14ac:dyDescent="0.3">
      <c r="A11" s="1" t="s">
        <v>381</v>
      </c>
      <c r="B11">
        <v>1</v>
      </c>
      <c r="C11">
        <v>1</v>
      </c>
      <c r="D11">
        <v>2</v>
      </c>
      <c r="F11" s="1" t="s">
        <v>362</v>
      </c>
      <c r="G11">
        <v>6</v>
      </c>
      <c r="I11" s="23" t="s">
        <v>397</v>
      </c>
      <c r="K11">
        <v>1</v>
      </c>
      <c r="L11">
        <v>1</v>
      </c>
    </row>
    <row r="12" spans="1:12" x14ac:dyDescent="0.3">
      <c r="A12" s="1" t="s">
        <v>386</v>
      </c>
      <c r="C12">
        <v>1</v>
      </c>
      <c r="D12">
        <v>1</v>
      </c>
      <c r="F12" s="1" t="s">
        <v>334</v>
      </c>
      <c r="G12">
        <v>2</v>
      </c>
      <c r="I12" s="23" t="s">
        <v>439</v>
      </c>
      <c r="K12">
        <v>1</v>
      </c>
      <c r="L12">
        <v>1</v>
      </c>
    </row>
    <row r="13" spans="1:12" x14ac:dyDescent="0.3">
      <c r="A13" s="1" t="s">
        <v>389</v>
      </c>
      <c r="B13">
        <v>1</v>
      </c>
      <c r="C13">
        <v>1</v>
      </c>
      <c r="D13">
        <v>2</v>
      </c>
      <c r="F13" s="1" t="s">
        <v>313</v>
      </c>
      <c r="G13">
        <v>7</v>
      </c>
      <c r="I13" s="1" t="s">
        <v>47</v>
      </c>
      <c r="K13">
        <v>2</v>
      </c>
      <c r="L13">
        <v>2</v>
      </c>
    </row>
    <row r="14" spans="1:12" x14ac:dyDescent="0.3">
      <c r="A14" s="1" t="s">
        <v>394</v>
      </c>
      <c r="B14">
        <v>1</v>
      </c>
      <c r="C14">
        <v>1</v>
      </c>
      <c r="D14">
        <v>2</v>
      </c>
      <c r="F14" s="1" t="s">
        <v>293</v>
      </c>
      <c r="G14">
        <v>5</v>
      </c>
      <c r="I14" s="23" t="s">
        <v>407</v>
      </c>
      <c r="K14">
        <v>1</v>
      </c>
      <c r="L14">
        <v>1</v>
      </c>
    </row>
    <row r="15" spans="1:12" x14ac:dyDescent="0.3">
      <c r="A15" s="1" t="s">
        <v>395</v>
      </c>
      <c r="B15">
        <v>1</v>
      </c>
      <c r="C15">
        <v>2</v>
      </c>
      <c r="D15">
        <v>3</v>
      </c>
      <c r="F15" s="1" t="s">
        <v>337</v>
      </c>
      <c r="G15">
        <v>4</v>
      </c>
      <c r="I15" s="23" t="s">
        <v>436</v>
      </c>
      <c r="K15">
        <v>1</v>
      </c>
      <c r="L15">
        <v>1</v>
      </c>
    </row>
    <row r="16" spans="1:12" x14ac:dyDescent="0.3">
      <c r="A16" s="1" t="s">
        <v>396</v>
      </c>
      <c r="C16">
        <v>1</v>
      </c>
      <c r="D16">
        <v>1</v>
      </c>
      <c r="F16" s="1" t="s">
        <v>299</v>
      </c>
      <c r="G16">
        <v>6</v>
      </c>
      <c r="I16" s="1" t="s">
        <v>26</v>
      </c>
      <c r="K16">
        <v>4</v>
      </c>
      <c r="L16">
        <v>4</v>
      </c>
    </row>
    <row r="17" spans="1:12" x14ac:dyDescent="0.3">
      <c r="A17" s="1" t="s">
        <v>397</v>
      </c>
      <c r="B17">
        <v>1</v>
      </c>
      <c r="C17">
        <v>1</v>
      </c>
      <c r="D17">
        <v>2</v>
      </c>
      <c r="F17" s="1" t="s">
        <v>280</v>
      </c>
      <c r="G17">
        <v>4</v>
      </c>
      <c r="I17" s="23" t="s">
        <v>344</v>
      </c>
      <c r="K17">
        <v>1</v>
      </c>
      <c r="L17">
        <v>1</v>
      </c>
    </row>
    <row r="18" spans="1:12" x14ac:dyDescent="0.3">
      <c r="A18" s="1" t="s">
        <v>407</v>
      </c>
      <c r="C18">
        <v>2</v>
      </c>
      <c r="D18">
        <v>2</v>
      </c>
      <c r="F18" s="1" t="s">
        <v>305</v>
      </c>
      <c r="G18">
        <v>2</v>
      </c>
      <c r="I18" s="23" t="s">
        <v>394</v>
      </c>
      <c r="K18">
        <v>1</v>
      </c>
      <c r="L18">
        <v>1</v>
      </c>
    </row>
    <row r="19" spans="1:12" x14ac:dyDescent="0.3">
      <c r="A19" s="1" t="s">
        <v>486</v>
      </c>
      <c r="B19">
        <v>1</v>
      </c>
      <c r="C19">
        <v>1</v>
      </c>
      <c r="D19">
        <v>2</v>
      </c>
      <c r="F19" s="1" t="s">
        <v>326</v>
      </c>
      <c r="G19">
        <v>9</v>
      </c>
      <c r="I19" s="23" t="s">
        <v>425</v>
      </c>
      <c r="K19">
        <v>1</v>
      </c>
      <c r="L19">
        <v>1</v>
      </c>
    </row>
    <row r="20" spans="1:12" x14ac:dyDescent="0.3">
      <c r="A20" s="1" t="s">
        <v>425</v>
      </c>
      <c r="C20">
        <v>2</v>
      </c>
      <c r="D20">
        <v>2</v>
      </c>
      <c r="F20" s="1" t="s">
        <v>324</v>
      </c>
      <c r="G20">
        <v>4</v>
      </c>
      <c r="I20" s="23" t="s">
        <v>429</v>
      </c>
      <c r="K20">
        <v>1</v>
      </c>
      <c r="L20">
        <v>1</v>
      </c>
    </row>
    <row r="21" spans="1:12" x14ac:dyDescent="0.3">
      <c r="A21" s="1" t="s">
        <v>429</v>
      </c>
      <c r="C21">
        <v>2</v>
      </c>
      <c r="D21">
        <v>2</v>
      </c>
      <c r="F21" s="1" t="s">
        <v>321</v>
      </c>
      <c r="G21">
        <v>7</v>
      </c>
      <c r="I21" s="1" t="s">
        <v>22</v>
      </c>
      <c r="J21">
        <v>1</v>
      </c>
      <c r="K21">
        <v>2</v>
      </c>
      <c r="L21">
        <v>3</v>
      </c>
    </row>
    <row r="22" spans="1:12" x14ac:dyDescent="0.3">
      <c r="A22" s="1" t="s">
        <v>436</v>
      </c>
      <c r="C22">
        <v>2</v>
      </c>
      <c r="D22">
        <v>2</v>
      </c>
      <c r="F22" s="1" t="s">
        <v>368</v>
      </c>
      <c r="G22">
        <v>5</v>
      </c>
      <c r="I22" s="23" t="s">
        <v>397</v>
      </c>
      <c r="J22">
        <v>1</v>
      </c>
      <c r="L22">
        <v>1</v>
      </c>
    </row>
    <row r="23" spans="1:12" x14ac:dyDescent="0.3">
      <c r="A23" s="1" t="s">
        <v>439</v>
      </c>
      <c r="B23">
        <v>1</v>
      </c>
      <c r="C23">
        <v>1</v>
      </c>
      <c r="D23">
        <v>2</v>
      </c>
      <c r="F23" s="1" t="s">
        <v>374</v>
      </c>
      <c r="G23">
        <v>4</v>
      </c>
      <c r="I23" s="23" t="s">
        <v>486</v>
      </c>
      <c r="K23">
        <v>1</v>
      </c>
      <c r="L23">
        <v>1</v>
      </c>
    </row>
    <row r="24" spans="1:12" x14ac:dyDescent="0.3">
      <c r="A24" s="1" t="s">
        <v>440</v>
      </c>
      <c r="C24">
        <v>2</v>
      </c>
      <c r="D24">
        <v>2</v>
      </c>
      <c r="F24" s="1" t="s">
        <v>310</v>
      </c>
      <c r="G24">
        <v>8</v>
      </c>
      <c r="I24" s="23" t="s">
        <v>436</v>
      </c>
      <c r="K24">
        <v>1</v>
      </c>
      <c r="L24">
        <v>1</v>
      </c>
    </row>
    <row r="25" spans="1:12" x14ac:dyDescent="0.3">
      <c r="A25" s="1" t="s">
        <v>480</v>
      </c>
      <c r="C25">
        <v>2</v>
      </c>
      <c r="D25">
        <v>2</v>
      </c>
      <c r="F25" s="1" t="s">
        <v>291</v>
      </c>
      <c r="G25">
        <v>6</v>
      </c>
      <c r="I25" s="1" t="s">
        <v>23</v>
      </c>
      <c r="J25">
        <v>1</v>
      </c>
      <c r="K25">
        <v>8</v>
      </c>
      <c r="L25">
        <v>9</v>
      </c>
    </row>
    <row r="26" spans="1:12" x14ac:dyDescent="0.3">
      <c r="A26" s="1" t="s">
        <v>242</v>
      </c>
      <c r="B26">
        <v>8</v>
      </c>
      <c r="C26">
        <v>33</v>
      </c>
      <c r="D26">
        <v>41</v>
      </c>
      <c r="F26" s="1" t="s">
        <v>350</v>
      </c>
      <c r="G26">
        <v>3</v>
      </c>
      <c r="I26" s="23" t="s">
        <v>329</v>
      </c>
      <c r="K26">
        <v>1</v>
      </c>
      <c r="L26">
        <v>1</v>
      </c>
    </row>
    <row r="27" spans="1:12" x14ac:dyDescent="0.3">
      <c r="F27" s="1" t="s">
        <v>312</v>
      </c>
      <c r="G27">
        <v>7</v>
      </c>
      <c r="I27" s="23" t="s">
        <v>340</v>
      </c>
      <c r="K27">
        <v>2</v>
      </c>
      <c r="L27">
        <v>2</v>
      </c>
    </row>
    <row r="28" spans="1:12" x14ac:dyDescent="0.3">
      <c r="F28" s="1" t="s">
        <v>307</v>
      </c>
      <c r="G28">
        <v>8</v>
      </c>
      <c r="I28" s="23" t="s">
        <v>359</v>
      </c>
      <c r="K28">
        <v>1</v>
      </c>
      <c r="L28">
        <v>1</v>
      </c>
    </row>
    <row r="29" spans="1:12" x14ac:dyDescent="0.3">
      <c r="F29" s="1" t="s">
        <v>328</v>
      </c>
      <c r="G29">
        <v>5</v>
      </c>
      <c r="I29" s="23" t="s">
        <v>389</v>
      </c>
      <c r="K29">
        <v>1</v>
      </c>
      <c r="L29">
        <v>1</v>
      </c>
    </row>
    <row r="30" spans="1:12" x14ac:dyDescent="0.3">
      <c r="F30" s="1" t="s">
        <v>330</v>
      </c>
      <c r="G30">
        <v>8</v>
      </c>
      <c r="I30" s="23" t="s">
        <v>395</v>
      </c>
      <c r="J30">
        <v>1</v>
      </c>
      <c r="K30">
        <v>1</v>
      </c>
      <c r="L30">
        <v>2</v>
      </c>
    </row>
    <row r="31" spans="1:12" x14ac:dyDescent="0.3">
      <c r="F31" s="1" t="s">
        <v>297</v>
      </c>
      <c r="G31">
        <v>6</v>
      </c>
      <c r="I31" s="23" t="s">
        <v>396</v>
      </c>
      <c r="K31">
        <v>1</v>
      </c>
      <c r="L31">
        <v>1</v>
      </c>
    </row>
    <row r="32" spans="1:12" x14ac:dyDescent="0.3">
      <c r="F32" s="1" t="s">
        <v>318</v>
      </c>
      <c r="G32">
        <v>4</v>
      </c>
      <c r="I32" s="23" t="s">
        <v>407</v>
      </c>
      <c r="K32">
        <v>1</v>
      </c>
      <c r="L32">
        <v>1</v>
      </c>
    </row>
    <row r="33" spans="6:12" x14ac:dyDescent="0.3">
      <c r="F33" s="1" t="s">
        <v>342</v>
      </c>
      <c r="G33">
        <v>2</v>
      </c>
      <c r="I33" s="1" t="s">
        <v>28</v>
      </c>
      <c r="K33">
        <v>2</v>
      </c>
      <c r="L33">
        <v>2</v>
      </c>
    </row>
    <row r="34" spans="6:12" x14ac:dyDescent="0.3">
      <c r="F34" s="1" t="s">
        <v>284</v>
      </c>
      <c r="G34">
        <v>7</v>
      </c>
      <c r="I34" s="23" t="s">
        <v>359</v>
      </c>
      <c r="K34">
        <v>1</v>
      </c>
      <c r="L34">
        <v>1</v>
      </c>
    </row>
    <row r="35" spans="6:12" x14ac:dyDescent="0.3">
      <c r="F35" s="1" t="s">
        <v>487</v>
      </c>
      <c r="G35">
        <v>3</v>
      </c>
      <c r="I35" s="23" t="s">
        <v>429</v>
      </c>
      <c r="K35">
        <v>1</v>
      </c>
      <c r="L35">
        <v>1</v>
      </c>
    </row>
    <row r="36" spans="6:12" x14ac:dyDescent="0.3">
      <c r="F36" s="1" t="s">
        <v>242</v>
      </c>
      <c r="G36">
        <v>168</v>
      </c>
      <c r="I36" s="1" t="s">
        <v>24</v>
      </c>
      <c r="J36">
        <v>1</v>
      </c>
      <c r="K36">
        <v>6</v>
      </c>
      <c r="L36">
        <v>7</v>
      </c>
    </row>
    <row r="37" spans="6:12" x14ac:dyDescent="0.3">
      <c r="I37" s="23" t="s">
        <v>302</v>
      </c>
      <c r="K37">
        <v>1</v>
      </c>
      <c r="L37">
        <v>1</v>
      </c>
    </row>
    <row r="38" spans="6:12" x14ac:dyDescent="0.3">
      <c r="I38" s="23" t="s">
        <v>369</v>
      </c>
      <c r="K38">
        <v>1</v>
      </c>
      <c r="L38">
        <v>1</v>
      </c>
    </row>
    <row r="39" spans="6:12" x14ac:dyDescent="0.3">
      <c r="I39" s="23" t="s">
        <v>381</v>
      </c>
      <c r="K39">
        <v>1</v>
      </c>
      <c r="L39">
        <v>1</v>
      </c>
    </row>
    <row r="40" spans="6:12" x14ac:dyDescent="0.3">
      <c r="I40" s="23" t="s">
        <v>395</v>
      </c>
      <c r="K40">
        <v>1</v>
      </c>
      <c r="L40">
        <v>1</v>
      </c>
    </row>
    <row r="41" spans="6:12" x14ac:dyDescent="0.3">
      <c r="I41" s="23" t="s">
        <v>439</v>
      </c>
      <c r="J41">
        <v>1</v>
      </c>
      <c r="L41">
        <v>1</v>
      </c>
    </row>
    <row r="42" spans="6:12" x14ac:dyDescent="0.3">
      <c r="I42" s="23" t="s">
        <v>440</v>
      </c>
      <c r="K42">
        <v>2</v>
      </c>
      <c r="L42">
        <v>2</v>
      </c>
    </row>
    <row r="43" spans="6:12" x14ac:dyDescent="0.3">
      <c r="I43" s="1" t="s">
        <v>48</v>
      </c>
      <c r="J43">
        <v>2</v>
      </c>
      <c r="K43">
        <v>5</v>
      </c>
      <c r="L43">
        <v>7</v>
      </c>
    </row>
    <row r="44" spans="6:12" x14ac:dyDescent="0.3">
      <c r="I44" s="23" t="s">
        <v>329</v>
      </c>
      <c r="K44">
        <v>1</v>
      </c>
      <c r="L44">
        <v>1</v>
      </c>
    </row>
    <row r="45" spans="6:12" x14ac:dyDescent="0.3">
      <c r="I45" s="23" t="s">
        <v>369</v>
      </c>
      <c r="K45">
        <v>1</v>
      </c>
      <c r="L45">
        <v>1</v>
      </c>
    </row>
    <row r="46" spans="6:12" x14ac:dyDescent="0.3">
      <c r="I46" s="23" t="s">
        <v>389</v>
      </c>
      <c r="J46">
        <v>1</v>
      </c>
      <c r="L46">
        <v>1</v>
      </c>
    </row>
    <row r="47" spans="6:12" x14ac:dyDescent="0.3">
      <c r="I47" s="23" t="s">
        <v>486</v>
      </c>
      <c r="J47">
        <v>1</v>
      </c>
      <c r="L47">
        <v>1</v>
      </c>
    </row>
    <row r="48" spans="6:12" x14ac:dyDescent="0.3">
      <c r="I48" s="23" t="s">
        <v>425</v>
      </c>
      <c r="K48">
        <v>1</v>
      </c>
      <c r="L48">
        <v>1</v>
      </c>
    </row>
    <row r="49" spans="9:12" x14ac:dyDescent="0.3">
      <c r="I49" s="23" t="s">
        <v>480</v>
      </c>
      <c r="K49">
        <v>2</v>
      </c>
      <c r="L49">
        <v>2</v>
      </c>
    </row>
    <row r="50" spans="9:12" x14ac:dyDescent="0.3">
      <c r="I50" s="1" t="s">
        <v>242</v>
      </c>
      <c r="J50">
        <v>8</v>
      </c>
      <c r="K50">
        <v>33</v>
      </c>
      <c r="L50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1186-8504-480B-808F-CFACEDE44BA0}">
  <dimension ref="A1:I20"/>
  <sheetViews>
    <sheetView workbookViewId="0">
      <selection activeCell="B20" sqref="B20"/>
    </sheetView>
  </sheetViews>
  <sheetFormatPr defaultRowHeight="14.4" x14ac:dyDescent="0.3"/>
  <cols>
    <col min="2" max="2" width="12.33203125" bestFit="1" customWidth="1"/>
    <col min="3" max="3" width="9.33203125" bestFit="1" customWidth="1"/>
    <col min="4" max="4" width="9.33203125" customWidth="1"/>
  </cols>
  <sheetData>
    <row r="1" spans="1:9" x14ac:dyDescent="0.3">
      <c r="A1" t="s">
        <v>461</v>
      </c>
    </row>
    <row r="2" spans="1:9" x14ac:dyDescent="0.3">
      <c r="A2" t="s">
        <v>460</v>
      </c>
      <c r="B2">
        <v>66</v>
      </c>
      <c r="C2">
        <v>127</v>
      </c>
      <c r="D2" s="131">
        <f>B2/C2</f>
        <v>0.51968503937007871</v>
      </c>
    </row>
    <row r="3" spans="1:9" x14ac:dyDescent="0.3">
      <c r="A3" t="s">
        <v>17</v>
      </c>
      <c r="B3" t="s">
        <v>462</v>
      </c>
      <c r="C3" t="s">
        <v>465</v>
      </c>
      <c r="D3" t="s">
        <v>466</v>
      </c>
      <c r="E3" t="s">
        <v>463</v>
      </c>
      <c r="F3" t="s">
        <v>464</v>
      </c>
      <c r="H3" t="s">
        <v>467</v>
      </c>
    </row>
    <row r="4" spans="1:9" x14ac:dyDescent="0.3">
      <c r="A4">
        <v>1</v>
      </c>
      <c r="B4">
        <v>7</v>
      </c>
      <c r="C4">
        <v>14</v>
      </c>
      <c r="D4" s="130">
        <f>IFERROR(B4/C4,"Unknown")</f>
        <v>0.5</v>
      </c>
      <c r="E4">
        <v>153</v>
      </c>
      <c r="F4">
        <v>1</v>
      </c>
      <c r="H4">
        <f>276-E4</f>
        <v>123</v>
      </c>
      <c r="I4">
        <v>2</v>
      </c>
    </row>
    <row r="5" spans="1:9" x14ac:dyDescent="0.3">
      <c r="A5">
        <v>2</v>
      </c>
      <c r="B5">
        <v>6</v>
      </c>
      <c r="C5">
        <v>10</v>
      </c>
      <c r="D5" s="130">
        <f t="shared" ref="D5:D16" si="0">IFERROR(B5/C5,"Unknown")</f>
        <v>0.6</v>
      </c>
      <c r="E5">
        <v>84</v>
      </c>
      <c r="F5">
        <v>0</v>
      </c>
      <c r="H5">
        <v>162</v>
      </c>
      <c r="I5">
        <v>3</v>
      </c>
    </row>
    <row r="6" spans="1:9" x14ac:dyDescent="0.3">
      <c r="A6">
        <v>3</v>
      </c>
      <c r="B6" t="s">
        <v>468</v>
      </c>
      <c r="C6" t="s">
        <v>468</v>
      </c>
      <c r="D6" s="130" t="str">
        <f t="shared" si="0"/>
        <v>Unknown</v>
      </c>
      <c r="E6" t="s">
        <v>468</v>
      </c>
      <c r="F6">
        <v>0</v>
      </c>
      <c r="H6" t="s">
        <v>468</v>
      </c>
      <c r="I6">
        <v>2</v>
      </c>
    </row>
    <row r="7" spans="1:9" x14ac:dyDescent="0.3">
      <c r="A7">
        <v>4</v>
      </c>
      <c r="B7">
        <v>8</v>
      </c>
      <c r="C7">
        <v>17</v>
      </c>
      <c r="D7" s="130">
        <f t="shared" si="0"/>
        <v>0.47058823529411764</v>
      </c>
      <c r="E7">
        <v>114</v>
      </c>
      <c r="F7">
        <v>0</v>
      </c>
      <c r="G7" t="s">
        <v>469</v>
      </c>
      <c r="H7">
        <v>105</v>
      </c>
    </row>
    <row r="8" spans="1:9" x14ac:dyDescent="0.3">
      <c r="B8">
        <v>5</v>
      </c>
      <c r="C8">
        <v>7</v>
      </c>
      <c r="D8" s="130">
        <f t="shared" si="0"/>
        <v>0.7142857142857143</v>
      </c>
      <c r="E8">
        <v>83</v>
      </c>
    </row>
    <row r="9" spans="1:9" x14ac:dyDescent="0.3">
      <c r="B9">
        <v>10</v>
      </c>
      <c r="C9">
        <v>15</v>
      </c>
      <c r="D9" s="130">
        <f t="shared" si="0"/>
        <v>0.66666666666666663</v>
      </c>
      <c r="E9">
        <v>232</v>
      </c>
    </row>
    <row r="10" spans="1:9" x14ac:dyDescent="0.3">
      <c r="D10" s="130" t="str">
        <f t="shared" si="0"/>
        <v>Unknown</v>
      </c>
    </row>
    <row r="11" spans="1:9" x14ac:dyDescent="0.3">
      <c r="D11" s="130" t="str">
        <f t="shared" si="0"/>
        <v>Unknown</v>
      </c>
    </row>
    <row r="12" spans="1:9" x14ac:dyDescent="0.3">
      <c r="D12" s="130" t="str">
        <f t="shared" si="0"/>
        <v>Unknown</v>
      </c>
    </row>
    <row r="13" spans="1:9" x14ac:dyDescent="0.3">
      <c r="D13" s="130" t="str">
        <f t="shared" si="0"/>
        <v>Unknown</v>
      </c>
    </row>
    <row r="14" spans="1:9" x14ac:dyDescent="0.3">
      <c r="D14" s="130" t="str">
        <f t="shared" si="0"/>
        <v>Unknown</v>
      </c>
    </row>
    <row r="15" spans="1:9" x14ac:dyDescent="0.3">
      <c r="D15" s="130" t="str">
        <f t="shared" si="0"/>
        <v>Unknown</v>
      </c>
    </row>
    <row r="16" spans="1:9" x14ac:dyDescent="0.3">
      <c r="D16" s="130" t="str">
        <f t="shared" si="0"/>
        <v>Unknown</v>
      </c>
    </row>
    <row r="19" spans="2:2" x14ac:dyDescent="0.3">
      <c r="B19" t="s">
        <v>470</v>
      </c>
    </row>
    <row r="20" spans="2:2" x14ac:dyDescent="0.3">
      <c r="B20" s="132" t="s">
        <v>471</v>
      </c>
    </row>
  </sheetData>
  <hyperlinks>
    <hyperlink ref="B20" r:id="rId1" xr:uid="{E2405C6B-4D33-4F69-8514-AEC61D9FC3E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880-CCD3-407E-99C0-BDC7A8D2F6A2}">
  <dimension ref="A1:T153"/>
  <sheetViews>
    <sheetView workbookViewId="0">
      <selection activeCell="X18" sqref="X18"/>
    </sheetView>
  </sheetViews>
  <sheetFormatPr defaultColWidth="9.109375" defaultRowHeight="14.4" x14ac:dyDescent="0.3"/>
  <cols>
    <col min="3" max="3" width="12.6640625" customWidth="1"/>
    <col min="20" max="20" width="9.109375" style="176"/>
  </cols>
  <sheetData>
    <row r="1" spans="1:20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2"/>
    </row>
    <row r="2" spans="1:20" ht="15" thickBot="1" x14ac:dyDescent="0.35">
      <c r="A2" s="2"/>
      <c r="B2" s="2"/>
      <c r="C2" s="2"/>
      <c r="D2" s="202" t="s">
        <v>501</v>
      </c>
      <c r="E2" s="203"/>
      <c r="F2" s="203"/>
      <c r="G2" s="203"/>
      <c r="H2" s="203"/>
      <c r="I2" s="203"/>
      <c r="J2" s="203"/>
      <c r="K2" s="203"/>
      <c r="L2" s="202" t="s">
        <v>502</v>
      </c>
      <c r="M2" s="203"/>
      <c r="N2" s="203"/>
      <c r="O2" s="203"/>
      <c r="P2" s="203"/>
      <c r="Q2" s="203"/>
      <c r="R2" s="203"/>
      <c r="S2" s="204"/>
      <c r="T2" s="12"/>
    </row>
    <row r="3" spans="1:20" ht="28.8" x14ac:dyDescent="0.3">
      <c r="A3" s="161" t="s">
        <v>494</v>
      </c>
      <c r="B3" s="162" t="s">
        <v>500</v>
      </c>
      <c r="C3" s="162" t="s">
        <v>21</v>
      </c>
      <c r="D3" s="163" t="s">
        <v>495</v>
      </c>
      <c r="E3" s="164" t="s">
        <v>496</v>
      </c>
      <c r="F3" s="163" t="s">
        <v>8</v>
      </c>
      <c r="G3" s="163" t="s">
        <v>497</v>
      </c>
      <c r="H3" s="164" t="s">
        <v>498</v>
      </c>
      <c r="I3" s="163" t="s">
        <v>9</v>
      </c>
      <c r="J3" s="163" t="s">
        <v>41</v>
      </c>
      <c r="K3" s="164" t="s">
        <v>499</v>
      </c>
      <c r="L3" s="163" t="s">
        <v>495</v>
      </c>
      <c r="M3" s="164" t="s">
        <v>496</v>
      </c>
      <c r="N3" s="163" t="s">
        <v>8</v>
      </c>
      <c r="O3" s="163" t="s">
        <v>497</v>
      </c>
      <c r="P3" s="164" t="s">
        <v>498</v>
      </c>
      <c r="Q3" s="163" t="s">
        <v>9</v>
      </c>
      <c r="R3" s="163" t="s">
        <v>41</v>
      </c>
      <c r="S3" s="164" t="s">
        <v>499</v>
      </c>
      <c r="T3" s="164" t="s">
        <v>460</v>
      </c>
    </row>
    <row r="4" spans="1:20" x14ac:dyDescent="0.3">
      <c r="A4" s="159">
        <v>86</v>
      </c>
      <c r="B4" s="118" t="s">
        <v>29</v>
      </c>
      <c r="C4" s="172" t="s">
        <v>227</v>
      </c>
      <c r="D4" s="151">
        <v>108.5</v>
      </c>
      <c r="E4" s="152">
        <v>10.626760563380287</v>
      </c>
      <c r="F4" s="153">
        <v>2</v>
      </c>
      <c r="G4" s="151">
        <v>95</v>
      </c>
      <c r="H4" s="152">
        <v>19.57692307692308</v>
      </c>
      <c r="I4" s="153">
        <v>1</v>
      </c>
      <c r="J4" s="151">
        <v>104</v>
      </c>
      <c r="K4" s="169">
        <v>17.853333333333339</v>
      </c>
      <c r="L4" s="151">
        <v>96</v>
      </c>
      <c r="M4" s="152">
        <v>-3.7333333333333343</v>
      </c>
      <c r="N4" s="153">
        <v>1</v>
      </c>
      <c r="O4" s="151">
        <v>66</v>
      </c>
      <c r="P4" s="152">
        <v>-13.387096774193552</v>
      </c>
      <c r="Q4" s="153">
        <v>2</v>
      </c>
      <c r="R4" s="151">
        <v>76</v>
      </c>
      <c r="S4" s="169">
        <v>-10.021739130434781</v>
      </c>
      <c r="T4" s="174">
        <v>27.87507246376812</v>
      </c>
    </row>
    <row r="5" spans="1:20" x14ac:dyDescent="0.3">
      <c r="A5" s="159">
        <v>25</v>
      </c>
      <c r="B5" s="118" t="s">
        <v>227</v>
      </c>
      <c r="C5" s="172" t="s">
        <v>30</v>
      </c>
      <c r="D5" s="151">
        <v>98</v>
      </c>
      <c r="E5" s="152">
        <v>-1.7333333333333343</v>
      </c>
      <c r="F5" s="153">
        <v>2</v>
      </c>
      <c r="G5" s="151">
        <v>73</v>
      </c>
      <c r="H5" s="152">
        <v>-6.3870967741935516</v>
      </c>
      <c r="I5" s="153">
        <v>1</v>
      </c>
      <c r="J5" s="151">
        <v>89.666666666666671</v>
      </c>
      <c r="K5" s="169">
        <v>3.64492753623189</v>
      </c>
      <c r="L5" s="151">
        <v>81</v>
      </c>
      <c r="M5" s="152">
        <v>-18.768115942028984</v>
      </c>
      <c r="N5" s="153">
        <v>1</v>
      </c>
      <c r="O5" s="151">
        <v>66</v>
      </c>
      <c r="P5" s="152">
        <v>-13.349999999999994</v>
      </c>
      <c r="Q5" s="153">
        <v>2</v>
      </c>
      <c r="R5" s="151">
        <v>71</v>
      </c>
      <c r="S5" s="169">
        <v>-17.75333333333333</v>
      </c>
      <c r="T5" s="174">
        <v>21.39826086956522</v>
      </c>
    </row>
    <row r="6" spans="1:20" x14ac:dyDescent="0.3">
      <c r="A6" s="159">
        <v>58</v>
      </c>
      <c r="B6" s="118" t="s">
        <v>26</v>
      </c>
      <c r="C6" s="172" t="s">
        <v>227</v>
      </c>
      <c r="D6" s="151">
        <v>124</v>
      </c>
      <c r="E6" s="152">
        <v>22.686746987951807</v>
      </c>
      <c r="F6" s="153">
        <v>2</v>
      </c>
      <c r="G6" s="151">
        <v>91</v>
      </c>
      <c r="H6" s="152">
        <v>15.166666666666671</v>
      </c>
      <c r="I6" s="153">
        <v>1</v>
      </c>
      <c r="J6" s="151">
        <v>113</v>
      </c>
      <c r="K6" s="169">
        <v>22.946666666666673</v>
      </c>
      <c r="L6" s="151">
        <v>105</v>
      </c>
      <c r="M6" s="152">
        <v>5.2666666666666657</v>
      </c>
      <c r="N6" s="153">
        <v>1</v>
      </c>
      <c r="O6" s="151">
        <v>83</v>
      </c>
      <c r="P6" s="152">
        <v>3.6129032258064484</v>
      </c>
      <c r="Q6" s="153">
        <v>2</v>
      </c>
      <c r="R6" s="151">
        <v>90.333333333333329</v>
      </c>
      <c r="S6" s="169">
        <v>4.3115942028985472</v>
      </c>
      <c r="T6" s="174">
        <v>18.635072463768125</v>
      </c>
    </row>
    <row r="7" spans="1:20" x14ac:dyDescent="0.3">
      <c r="A7" s="159">
        <v>187</v>
      </c>
      <c r="B7" s="118" t="s">
        <v>28</v>
      </c>
      <c r="C7" s="172" t="s">
        <v>26</v>
      </c>
      <c r="D7" s="151">
        <v>108.3</v>
      </c>
      <c r="E7" s="152">
        <v>5.1421052631578874</v>
      </c>
      <c r="F7" s="153">
        <v>10</v>
      </c>
      <c r="G7" s="151">
        <v>82.6</v>
      </c>
      <c r="H7" s="152">
        <v>4.6277777777777658</v>
      </c>
      <c r="I7" s="153">
        <v>5</v>
      </c>
      <c r="J7" s="151">
        <v>99.733333333333334</v>
      </c>
      <c r="K7" s="169">
        <v>8.7733333333333405</v>
      </c>
      <c r="L7" s="151">
        <v>100.6</v>
      </c>
      <c r="M7" s="152">
        <v>-0.7132530120481988</v>
      </c>
      <c r="N7" s="153">
        <v>5</v>
      </c>
      <c r="O7" s="151">
        <v>71.599999999999994</v>
      </c>
      <c r="P7" s="152">
        <v>-4.2333333333333343</v>
      </c>
      <c r="Q7" s="153">
        <v>10</v>
      </c>
      <c r="R7" s="151">
        <v>81.266666666666666</v>
      </c>
      <c r="S7" s="169">
        <v>-8.7866666666666617</v>
      </c>
      <c r="T7" s="174">
        <v>17.560000000000002</v>
      </c>
    </row>
    <row r="8" spans="1:20" x14ac:dyDescent="0.3">
      <c r="A8" s="159">
        <v>80</v>
      </c>
      <c r="B8" s="118" t="s">
        <v>48</v>
      </c>
      <c r="C8" s="172" t="s">
        <v>22</v>
      </c>
      <c r="D8" s="151">
        <v>116.375</v>
      </c>
      <c r="E8" s="152">
        <v>12.536764705882348</v>
      </c>
      <c r="F8" s="153">
        <v>8</v>
      </c>
      <c r="G8" s="151">
        <v>63</v>
      </c>
      <c r="H8" s="152">
        <v>-17.25</v>
      </c>
      <c r="I8" s="153">
        <v>2</v>
      </c>
      <c r="J8" s="151">
        <v>105.7</v>
      </c>
      <c r="K8" s="169">
        <v>12.514516129032259</v>
      </c>
      <c r="L8" s="151">
        <v>92</v>
      </c>
      <c r="M8" s="152">
        <v>-5.4666666666666686</v>
      </c>
      <c r="N8" s="153">
        <v>2</v>
      </c>
      <c r="O8" s="151">
        <v>77.625</v>
      </c>
      <c r="P8" s="152">
        <v>0.58005617977528345</v>
      </c>
      <c r="Q8" s="153">
        <v>8</v>
      </c>
      <c r="R8" s="151">
        <v>80.5</v>
      </c>
      <c r="S8" s="169">
        <v>-4.7999999999999972</v>
      </c>
      <c r="T8" s="174">
        <v>17.314516129032256</v>
      </c>
    </row>
    <row r="9" spans="1:20" x14ac:dyDescent="0.3">
      <c r="A9" s="159">
        <v>27</v>
      </c>
      <c r="B9" s="118" t="s">
        <v>227</v>
      </c>
      <c r="C9" s="172" t="s">
        <v>28</v>
      </c>
      <c r="D9" s="151">
        <v>92.5</v>
      </c>
      <c r="E9" s="152">
        <v>-7.2333333333333343</v>
      </c>
      <c r="F9" s="153">
        <v>2</v>
      </c>
      <c r="G9" s="151">
        <v>92</v>
      </c>
      <c r="H9" s="152">
        <v>12.612903225806448</v>
      </c>
      <c r="I9" s="153">
        <v>1</v>
      </c>
      <c r="J9" s="151">
        <v>92.333333333333329</v>
      </c>
      <c r="K9" s="169">
        <v>6.3115942028985472</v>
      </c>
      <c r="L9" s="151">
        <v>95</v>
      </c>
      <c r="M9" s="152">
        <v>-8.1578947368421098</v>
      </c>
      <c r="N9" s="153">
        <v>1</v>
      </c>
      <c r="O9" s="151">
        <v>72.5</v>
      </c>
      <c r="P9" s="152">
        <v>-5.4722222222222285</v>
      </c>
      <c r="Q9" s="153">
        <v>2</v>
      </c>
      <c r="R9" s="151">
        <v>80</v>
      </c>
      <c r="S9" s="169">
        <v>-10.959999999999994</v>
      </c>
      <c r="T9" s="174">
        <v>17.271594202898541</v>
      </c>
    </row>
    <row r="10" spans="1:20" x14ac:dyDescent="0.3">
      <c r="A10" s="159">
        <v>198</v>
      </c>
      <c r="B10" s="118" t="s">
        <v>24</v>
      </c>
      <c r="C10" s="172" t="s">
        <v>227</v>
      </c>
      <c r="D10" s="151">
        <v>101.33333333333333</v>
      </c>
      <c r="E10" s="152">
        <v>-1.9444444444444429</v>
      </c>
      <c r="F10" s="153">
        <v>3</v>
      </c>
      <c r="G10" s="151">
        <v>91</v>
      </c>
      <c r="H10" s="152">
        <v>16.038461538461533</v>
      </c>
      <c r="I10" s="153">
        <v>2</v>
      </c>
      <c r="J10" s="151">
        <v>97.2</v>
      </c>
      <c r="K10" s="169">
        <v>8.6466666666666754</v>
      </c>
      <c r="L10" s="151">
        <v>99.5</v>
      </c>
      <c r="M10" s="152">
        <v>-0.23333333333333428</v>
      </c>
      <c r="N10" s="153">
        <v>2</v>
      </c>
      <c r="O10" s="151">
        <v>64.666666666666671</v>
      </c>
      <c r="P10" s="152">
        <v>-14.72043010752688</v>
      </c>
      <c r="Q10" s="153">
        <v>3</v>
      </c>
      <c r="R10" s="151">
        <v>78.599999999999994</v>
      </c>
      <c r="S10" s="169">
        <v>-7.4217391304347871</v>
      </c>
      <c r="T10" s="174">
        <v>16.068405797101462</v>
      </c>
    </row>
    <row r="11" spans="1:20" x14ac:dyDescent="0.3">
      <c r="A11" s="159">
        <v>204</v>
      </c>
      <c r="B11" s="118" t="s">
        <v>24</v>
      </c>
      <c r="C11" s="172" t="s">
        <v>43</v>
      </c>
      <c r="D11" s="151">
        <v>115.42857142857143</v>
      </c>
      <c r="E11" s="152">
        <v>12.150793650793659</v>
      </c>
      <c r="F11" s="153">
        <v>7</v>
      </c>
      <c r="G11" s="151">
        <v>86.8</v>
      </c>
      <c r="H11" s="152">
        <v>11.83846153846153</v>
      </c>
      <c r="I11" s="153">
        <v>5</v>
      </c>
      <c r="J11" s="151">
        <v>103.5</v>
      </c>
      <c r="K11" s="169">
        <v>14.946666666666673</v>
      </c>
      <c r="L11" s="151">
        <v>102.2</v>
      </c>
      <c r="M11" s="152">
        <v>4.7441176470588289</v>
      </c>
      <c r="N11" s="153">
        <v>5</v>
      </c>
      <c r="O11" s="151">
        <v>68.714285714285708</v>
      </c>
      <c r="P11" s="152">
        <v>-3.6313932980599759</v>
      </c>
      <c r="Q11" s="153">
        <v>7</v>
      </c>
      <c r="R11" s="151">
        <v>82.666666666666671</v>
      </c>
      <c r="S11" s="169">
        <v>-1.1066666666666549</v>
      </c>
      <c r="T11" s="174">
        <v>16.053333333333327</v>
      </c>
    </row>
    <row r="12" spans="1:20" x14ac:dyDescent="0.3">
      <c r="A12" s="159">
        <v>6</v>
      </c>
      <c r="B12" s="118" t="s">
        <v>27</v>
      </c>
      <c r="C12" s="172" t="s">
        <v>29</v>
      </c>
      <c r="D12" s="151">
        <v>91.857142857142861</v>
      </c>
      <c r="E12" s="152">
        <v>-3.6322188449847914</v>
      </c>
      <c r="F12" s="153">
        <v>7</v>
      </c>
      <c r="G12" s="151">
        <v>78.5</v>
      </c>
      <c r="H12" s="152">
        <v>8.5350877192982466</v>
      </c>
      <c r="I12" s="153">
        <v>2</v>
      </c>
      <c r="J12" s="151">
        <v>88.888888888888886</v>
      </c>
      <c r="K12" s="169">
        <v>7.3888888888888857</v>
      </c>
      <c r="L12" s="151">
        <v>90.5</v>
      </c>
      <c r="M12" s="152">
        <v>-7.3732394366197127</v>
      </c>
      <c r="N12" s="153">
        <v>2</v>
      </c>
      <c r="O12" s="151">
        <v>74.285714285714292</v>
      </c>
      <c r="P12" s="152">
        <v>-1.137362637362628</v>
      </c>
      <c r="Q12" s="153">
        <v>7</v>
      </c>
      <c r="R12" s="151">
        <v>77.888888888888886</v>
      </c>
      <c r="S12" s="169">
        <v>-8.2577777777777754</v>
      </c>
      <c r="T12" s="174">
        <v>15.646666666666661</v>
      </c>
    </row>
    <row r="13" spans="1:20" x14ac:dyDescent="0.3">
      <c r="A13" s="159">
        <v>96</v>
      </c>
      <c r="B13" s="118" t="s">
        <v>29</v>
      </c>
      <c r="C13" s="172" t="s">
        <v>23</v>
      </c>
      <c r="D13" s="151">
        <v>107.42857142857143</v>
      </c>
      <c r="E13" s="152">
        <v>9.5553319919517179</v>
      </c>
      <c r="F13" s="153">
        <v>7</v>
      </c>
      <c r="G13" s="151">
        <v>73.666666666666671</v>
      </c>
      <c r="H13" s="152">
        <v>-1.7564102564102484</v>
      </c>
      <c r="I13" s="153">
        <v>6</v>
      </c>
      <c r="J13" s="151">
        <v>91.84615384615384</v>
      </c>
      <c r="K13" s="169">
        <v>5.6994871794871784</v>
      </c>
      <c r="L13" s="151">
        <v>92.166666666666671</v>
      </c>
      <c r="M13" s="152">
        <v>-10.25</v>
      </c>
      <c r="N13" s="153">
        <v>6</v>
      </c>
      <c r="O13" s="151">
        <v>73</v>
      </c>
      <c r="P13" s="152">
        <v>-4.5999999999999943</v>
      </c>
      <c r="Q13" s="153">
        <v>7</v>
      </c>
      <c r="R13" s="151">
        <v>81.84615384615384</v>
      </c>
      <c r="S13" s="169">
        <v>-9.8605128205128239</v>
      </c>
      <c r="T13" s="174">
        <v>15.560000000000002</v>
      </c>
    </row>
    <row r="14" spans="1:20" x14ac:dyDescent="0.3">
      <c r="A14" s="159">
        <v>10</v>
      </c>
      <c r="B14" s="118" t="s">
        <v>27</v>
      </c>
      <c r="C14" s="172" t="s">
        <v>22</v>
      </c>
      <c r="D14" s="151">
        <v>95.333333333333329</v>
      </c>
      <c r="E14" s="152">
        <v>-0.15602836879432402</v>
      </c>
      <c r="F14" s="153">
        <v>6</v>
      </c>
      <c r="G14" s="151">
        <v>65.666666666666671</v>
      </c>
      <c r="H14" s="152">
        <v>-4.298245614035082</v>
      </c>
      <c r="I14" s="153">
        <v>3</v>
      </c>
      <c r="J14" s="151">
        <v>85.444444444444443</v>
      </c>
      <c r="K14" s="169">
        <v>3.9444444444444429</v>
      </c>
      <c r="L14" s="151">
        <v>93.666666666666671</v>
      </c>
      <c r="M14" s="152">
        <v>-3.7999999999999972</v>
      </c>
      <c r="N14" s="153">
        <v>3</v>
      </c>
      <c r="O14" s="151">
        <v>64.166666666666671</v>
      </c>
      <c r="P14" s="152">
        <v>-12.878277153558045</v>
      </c>
      <c r="Q14" s="153">
        <v>6</v>
      </c>
      <c r="R14" s="151">
        <v>74</v>
      </c>
      <c r="S14" s="169">
        <v>-11.299999999999997</v>
      </c>
      <c r="T14" s="174">
        <v>15.24444444444444</v>
      </c>
    </row>
    <row r="15" spans="1:20" x14ac:dyDescent="0.3">
      <c r="A15" s="159">
        <v>71</v>
      </c>
      <c r="B15" s="118" t="s">
        <v>48</v>
      </c>
      <c r="C15" s="172" t="s">
        <v>27</v>
      </c>
      <c r="D15" s="151">
        <v>119</v>
      </c>
      <c r="E15" s="152">
        <v>15.161764705882348</v>
      </c>
      <c r="F15" s="153">
        <v>4</v>
      </c>
      <c r="G15" s="151">
        <v>75.5</v>
      </c>
      <c r="H15" s="152">
        <v>-4.75</v>
      </c>
      <c r="I15" s="153">
        <v>2</v>
      </c>
      <c r="J15" s="151">
        <v>104.5</v>
      </c>
      <c r="K15" s="169">
        <v>11.314516129032256</v>
      </c>
      <c r="L15" s="151">
        <v>98.5</v>
      </c>
      <c r="M15" s="152">
        <v>3.0106382978723474</v>
      </c>
      <c r="N15" s="153">
        <v>2</v>
      </c>
      <c r="O15" s="151">
        <v>69.5</v>
      </c>
      <c r="P15" s="152">
        <v>-0.46491228070175339</v>
      </c>
      <c r="Q15" s="153">
        <v>4</v>
      </c>
      <c r="R15" s="151">
        <v>79.166666666666671</v>
      </c>
      <c r="S15" s="169">
        <v>-2.3333333333333286</v>
      </c>
      <c r="T15" s="174">
        <v>13.647849462365585</v>
      </c>
    </row>
    <row r="16" spans="1:20" x14ac:dyDescent="0.3">
      <c r="A16" s="159">
        <v>95</v>
      </c>
      <c r="B16" s="118" t="s">
        <v>29</v>
      </c>
      <c r="C16" s="172" t="s">
        <v>30</v>
      </c>
      <c r="D16" s="151">
        <v>103.3</v>
      </c>
      <c r="E16" s="152">
        <v>5.4267605633802845</v>
      </c>
      <c r="F16" s="153">
        <v>10</v>
      </c>
      <c r="G16" s="151">
        <v>67.75</v>
      </c>
      <c r="H16" s="152">
        <v>-7.6730769230769198</v>
      </c>
      <c r="I16" s="153">
        <v>4</v>
      </c>
      <c r="J16" s="151">
        <v>93.142857142857139</v>
      </c>
      <c r="K16" s="169">
        <v>6.9961904761904776</v>
      </c>
      <c r="L16" s="151">
        <v>97.25</v>
      </c>
      <c r="M16" s="152">
        <v>-2.5181159420289845</v>
      </c>
      <c r="N16" s="153">
        <v>4</v>
      </c>
      <c r="O16" s="151">
        <v>76.900000000000006</v>
      </c>
      <c r="P16" s="152">
        <v>-2.4499999999999886</v>
      </c>
      <c r="Q16" s="153">
        <v>10</v>
      </c>
      <c r="R16" s="151">
        <v>82.714285714285708</v>
      </c>
      <c r="S16" s="169">
        <v>-6.0390476190476221</v>
      </c>
      <c r="T16" s="174">
        <v>13.0352380952381</v>
      </c>
    </row>
    <row r="17" spans="1:20" x14ac:dyDescent="0.3">
      <c r="A17" s="159">
        <v>111</v>
      </c>
      <c r="B17" s="118" t="s">
        <v>43</v>
      </c>
      <c r="C17" s="172" t="s">
        <v>28</v>
      </c>
      <c r="D17" s="151">
        <v>104.5</v>
      </c>
      <c r="E17" s="152">
        <v>7.044117647058826</v>
      </c>
      <c r="F17" s="153">
        <v>12</v>
      </c>
      <c r="G17" s="151">
        <v>71.333333333333329</v>
      </c>
      <c r="H17" s="152">
        <v>-1.0123456790123555</v>
      </c>
      <c r="I17" s="153">
        <v>6</v>
      </c>
      <c r="J17" s="151">
        <v>93.444444444444443</v>
      </c>
      <c r="K17" s="169">
        <v>9.6711111111111165</v>
      </c>
      <c r="L17" s="151">
        <v>99.666666666666671</v>
      </c>
      <c r="M17" s="152">
        <v>-3.4912280701754383</v>
      </c>
      <c r="N17" s="153">
        <v>6</v>
      </c>
      <c r="O17" s="151">
        <v>81.916666666666671</v>
      </c>
      <c r="P17" s="152">
        <v>3.9444444444444429</v>
      </c>
      <c r="Q17" s="153">
        <v>12</v>
      </c>
      <c r="R17" s="151">
        <v>87.833333333333329</v>
      </c>
      <c r="S17" s="169">
        <v>-3.1266666666666652</v>
      </c>
      <c r="T17" s="174">
        <v>12.797777777777782</v>
      </c>
    </row>
    <row r="18" spans="1:20" x14ac:dyDescent="0.3">
      <c r="A18" s="159">
        <v>44</v>
      </c>
      <c r="B18" s="118" t="s">
        <v>47</v>
      </c>
      <c r="C18" s="172" t="s">
        <v>227</v>
      </c>
      <c r="D18" s="151">
        <v>115.75</v>
      </c>
      <c r="E18" s="152">
        <v>13.545180722891573</v>
      </c>
      <c r="F18" s="153">
        <v>4</v>
      </c>
      <c r="G18" s="151">
        <v>66</v>
      </c>
      <c r="H18" s="152">
        <v>-14.900000000000006</v>
      </c>
      <c r="I18" s="153">
        <v>1</v>
      </c>
      <c r="J18" s="151">
        <v>105.8</v>
      </c>
      <c r="K18" s="169">
        <v>10.614516129032253</v>
      </c>
      <c r="L18" s="151">
        <v>77</v>
      </c>
      <c r="M18" s="152">
        <v>-22.733333333333334</v>
      </c>
      <c r="N18" s="153">
        <v>1</v>
      </c>
      <c r="O18" s="151">
        <v>85.75</v>
      </c>
      <c r="P18" s="152">
        <v>6.3629032258064484</v>
      </c>
      <c r="Q18" s="153">
        <v>4</v>
      </c>
      <c r="R18" s="151">
        <v>84</v>
      </c>
      <c r="S18" s="169">
        <v>-2.0217391304347814</v>
      </c>
      <c r="T18" s="174">
        <v>12.636255259467035</v>
      </c>
    </row>
    <row r="19" spans="1:20" x14ac:dyDescent="0.3">
      <c r="A19" s="159">
        <v>38</v>
      </c>
      <c r="B19" s="118" t="s">
        <v>25</v>
      </c>
      <c r="C19" s="172" t="s">
        <v>22</v>
      </c>
      <c r="D19" s="151">
        <v>99.545454545454547</v>
      </c>
      <c r="E19" s="152">
        <v>1.8832923832923854</v>
      </c>
      <c r="F19" s="153">
        <v>11</v>
      </c>
      <c r="G19" s="151">
        <v>73</v>
      </c>
      <c r="H19" s="152">
        <v>-3.2602739726027465</v>
      </c>
      <c r="I19" s="153">
        <v>3</v>
      </c>
      <c r="J19" s="151">
        <v>93.857142857142861</v>
      </c>
      <c r="K19" s="169">
        <v>6.8504761904762006</v>
      </c>
      <c r="L19" s="151">
        <v>86</v>
      </c>
      <c r="M19" s="152">
        <v>-11.466666666666669</v>
      </c>
      <c r="N19" s="153">
        <v>3</v>
      </c>
      <c r="O19" s="151">
        <v>78.272727272727266</v>
      </c>
      <c r="P19" s="152">
        <v>1.2277834525025497</v>
      </c>
      <c r="Q19" s="153">
        <v>11</v>
      </c>
      <c r="R19" s="151">
        <v>79.928571428571431</v>
      </c>
      <c r="S19" s="169">
        <v>-5.3714285714285666</v>
      </c>
      <c r="T19" s="174">
        <v>12.221904761904767</v>
      </c>
    </row>
    <row r="20" spans="1:20" x14ac:dyDescent="0.3">
      <c r="A20" s="159">
        <v>4</v>
      </c>
      <c r="B20" s="118" t="s">
        <v>27</v>
      </c>
      <c r="C20" s="172" t="s">
        <v>26</v>
      </c>
      <c r="D20" s="151">
        <v>80.714285714285708</v>
      </c>
      <c r="E20" s="152">
        <v>-14.775075987841944</v>
      </c>
      <c r="F20" s="153">
        <v>7</v>
      </c>
      <c r="G20" s="151">
        <v>69</v>
      </c>
      <c r="H20" s="152">
        <v>-0.96491228070175339</v>
      </c>
      <c r="I20" s="153">
        <v>2</v>
      </c>
      <c r="J20" s="151">
        <v>78.111111111111114</v>
      </c>
      <c r="K20" s="169">
        <v>-3.3888888888888857</v>
      </c>
      <c r="L20" s="151">
        <v>113</v>
      </c>
      <c r="M20" s="152">
        <v>11.686746987951807</v>
      </c>
      <c r="N20" s="153">
        <v>2</v>
      </c>
      <c r="O20" s="151">
        <v>66</v>
      </c>
      <c r="P20" s="152">
        <v>-9.8333333333333286</v>
      </c>
      <c r="Q20" s="153">
        <v>7</v>
      </c>
      <c r="R20" s="151">
        <v>76.444444444444443</v>
      </c>
      <c r="S20" s="169">
        <v>-13.608888888888885</v>
      </c>
      <c r="T20" s="174">
        <v>10.219999999999999</v>
      </c>
    </row>
    <row r="21" spans="1:20" x14ac:dyDescent="0.3">
      <c r="A21" s="159">
        <v>202</v>
      </c>
      <c r="B21" s="118" t="s">
        <v>24</v>
      </c>
      <c r="C21" s="172" t="s">
        <v>48</v>
      </c>
      <c r="D21" s="151">
        <v>97.428571428571431</v>
      </c>
      <c r="E21" s="152">
        <v>-5.8492063492063409</v>
      </c>
      <c r="F21" s="153">
        <v>7</v>
      </c>
      <c r="G21" s="151">
        <v>69.666666666666671</v>
      </c>
      <c r="H21" s="152">
        <v>-5.2948717948717956</v>
      </c>
      <c r="I21" s="153">
        <v>3</v>
      </c>
      <c r="J21" s="151">
        <v>89.1</v>
      </c>
      <c r="K21" s="169">
        <v>0.54666666666666686</v>
      </c>
      <c r="L21" s="151">
        <v>92.333333333333329</v>
      </c>
      <c r="M21" s="152">
        <v>-11.504901960784323</v>
      </c>
      <c r="N21" s="153">
        <v>3</v>
      </c>
      <c r="O21" s="151">
        <v>79.857142857142861</v>
      </c>
      <c r="P21" s="152">
        <v>-0.3928571428571388</v>
      </c>
      <c r="Q21" s="153">
        <v>7</v>
      </c>
      <c r="R21" s="151">
        <v>83.6</v>
      </c>
      <c r="S21" s="169">
        <v>-9.5854838709677495</v>
      </c>
      <c r="T21" s="174">
        <v>10.132150537634416</v>
      </c>
    </row>
    <row r="22" spans="1:20" x14ac:dyDescent="0.3">
      <c r="A22" s="159">
        <v>167</v>
      </c>
      <c r="B22" s="118" t="s">
        <v>30</v>
      </c>
      <c r="C22" s="172" t="s">
        <v>28</v>
      </c>
      <c r="D22" s="151">
        <v>106.75</v>
      </c>
      <c r="E22" s="152">
        <v>6.9818840579710155</v>
      </c>
      <c r="F22" s="153">
        <v>8</v>
      </c>
      <c r="G22" s="151">
        <v>55.333333333333336</v>
      </c>
      <c r="H22" s="152">
        <v>-24.016666666666659</v>
      </c>
      <c r="I22" s="153">
        <v>3</v>
      </c>
      <c r="J22" s="151">
        <v>92.727272727272734</v>
      </c>
      <c r="K22" s="169">
        <v>3.9739393939394034</v>
      </c>
      <c r="L22" s="151">
        <v>98.333333333333329</v>
      </c>
      <c r="M22" s="152">
        <v>-4.8245614035087812</v>
      </c>
      <c r="N22" s="153">
        <v>3</v>
      </c>
      <c r="O22" s="151">
        <v>80.5</v>
      </c>
      <c r="P22" s="152">
        <v>2.5277777777777715</v>
      </c>
      <c r="Q22" s="153">
        <v>8</v>
      </c>
      <c r="R22" s="151">
        <v>85.36363636363636</v>
      </c>
      <c r="S22" s="169">
        <v>-5.596363636363634</v>
      </c>
      <c r="T22" s="174">
        <v>9.5703030303030374</v>
      </c>
    </row>
    <row r="23" spans="1:20" x14ac:dyDescent="0.3">
      <c r="A23" s="159">
        <v>88</v>
      </c>
      <c r="B23" s="118" t="s">
        <v>29</v>
      </c>
      <c r="C23" s="172" t="s">
        <v>47</v>
      </c>
      <c r="D23" s="151">
        <v>105</v>
      </c>
      <c r="E23" s="152">
        <v>7.1267605633802873</v>
      </c>
      <c r="F23" s="153">
        <v>5</v>
      </c>
      <c r="G23" s="151">
        <v>79.8</v>
      </c>
      <c r="H23" s="152">
        <v>4.3769230769230774</v>
      </c>
      <c r="I23" s="153">
        <v>5</v>
      </c>
      <c r="J23" s="151">
        <v>92.4</v>
      </c>
      <c r="K23" s="169">
        <v>6.2533333333333445</v>
      </c>
      <c r="L23" s="151">
        <v>102.4</v>
      </c>
      <c r="M23" s="152">
        <v>0.19518072289157828</v>
      </c>
      <c r="N23" s="153">
        <v>5</v>
      </c>
      <c r="O23" s="151">
        <v>81.8</v>
      </c>
      <c r="P23" s="152">
        <v>0.89999999999999147</v>
      </c>
      <c r="Q23" s="153">
        <v>5</v>
      </c>
      <c r="R23" s="151">
        <v>92.1</v>
      </c>
      <c r="S23" s="169">
        <v>-3.0854838709677495</v>
      </c>
      <c r="T23" s="174">
        <v>9.338817204301094</v>
      </c>
    </row>
    <row r="24" spans="1:20" x14ac:dyDescent="0.3">
      <c r="A24" s="159">
        <v>147</v>
      </c>
      <c r="B24" s="118" t="s">
        <v>22</v>
      </c>
      <c r="C24" s="172" t="s">
        <v>29</v>
      </c>
      <c r="D24" s="151">
        <v>100.71428571428571</v>
      </c>
      <c r="E24" s="152">
        <v>3.2476190476190396</v>
      </c>
      <c r="F24" s="153">
        <v>7</v>
      </c>
      <c r="G24" s="151">
        <v>80</v>
      </c>
      <c r="H24" s="152">
        <v>2.9550561797752835</v>
      </c>
      <c r="I24" s="153">
        <v>3</v>
      </c>
      <c r="J24" s="151">
        <v>94.5</v>
      </c>
      <c r="K24" s="169">
        <v>9.2000000000000028</v>
      </c>
      <c r="L24" s="151">
        <v>104.66666666666667</v>
      </c>
      <c r="M24" s="152">
        <v>6.7934272300469587</v>
      </c>
      <c r="N24" s="153">
        <v>3</v>
      </c>
      <c r="O24" s="151">
        <v>78.428571428571431</v>
      </c>
      <c r="P24" s="152">
        <v>3.0054945054945108</v>
      </c>
      <c r="Q24" s="153">
        <v>7</v>
      </c>
      <c r="R24" s="151">
        <v>86.3</v>
      </c>
      <c r="S24" s="169">
        <v>0.15333333333333599</v>
      </c>
      <c r="T24" s="174">
        <v>9.0466666666666669</v>
      </c>
    </row>
    <row r="25" spans="1:20" x14ac:dyDescent="0.3">
      <c r="A25" s="159">
        <v>197</v>
      </c>
      <c r="B25" s="118" t="s">
        <v>24</v>
      </c>
      <c r="C25" s="172" t="s">
        <v>27</v>
      </c>
      <c r="D25" s="151">
        <v>101.71428571428571</v>
      </c>
      <c r="E25" s="152">
        <v>-1.5634920634920633</v>
      </c>
      <c r="F25" s="153">
        <v>7</v>
      </c>
      <c r="G25" s="151">
        <v>77.25</v>
      </c>
      <c r="H25" s="152">
        <v>2.288461538461533</v>
      </c>
      <c r="I25" s="153">
        <v>4</v>
      </c>
      <c r="J25" s="151">
        <v>92.818181818181813</v>
      </c>
      <c r="K25" s="169">
        <v>4.2648484848484856</v>
      </c>
      <c r="L25" s="151">
        <v>95</v>
      </c>
      <c r="M25" s="152">
        <v>-0.48936170212765262</v>
      </c>
      <c r="N25" s="153">
        <v>4</v>
      </c>
      <c r="O25" s="151">
        <v>66.285714285714292</v>
      </c>
      <c r="P25" s="152">
        <v>-3.6791979949874616</v>
      </c>
      <c r="Q25" s="153">
        <v>7</v>
      </c>
      <c r="R25" s="151">
        <v>76.727272727272734</v>
      </c>
      <c r="S25" s="169">
        <v>-4.7727272727272663</v>
      </c>
      <c r="T25" s="174">
        <v>9.0375757575757518</v>
      </c>
    </row>
    <row r="26" spans="1:20" x14ac:dyDescent="0.3">
      <c r="A26" s="159">
        <v>54</v>
      </c>
      <c r="B26" s="118" t="s">
        <v>47</v>
      </c>
      <c r="C26" s="172" t="s">
        <v>23</v>
      </c>
      <c r="D26" s="151">
        <v>114.5</v>
      </c>
      <c r="E26" s="152">
        <v>12.295180722891573</v>
      </c>
      <c r="F26" s="153">
        <v>6</v>
      </c>
      <c r="G26" s="151">
        <v>80.333333333333329</v>
      </c>
      <c r="H26" s="152">
        <v>-0.56666666666667709</v>
      </c>
      <c r="I26" s="153">
        <v>3</v>
      </c>
      <c r="J26" s="151">
        <v>103.11111111111111</v>
      </c>
      <c r="K26" s="169">
        <v>7.9256272401433705</v>
      </c>
      <c r="L26" s="151">
        <v>110.66666666666667</v>
      </c>
      <c r="M26" s="152">
        <v>8.25</v>
      </c>
      <c r="N26" s="153">
        <v>3</v>
      </c>
      <c r="O26" s="151">
        <v>80.666666666666671</v>
      </c>
      <c r="P26" s="152">
        <v>3.0666666666666771</v>
      </c>
      <c r="Q26" s="153">
        <v>6</v>
      </c>
      <c r="R26" s="151">
        <v>90.666666666666671</v>
      </c>
      <c r="S26" s="169">
        <v>-1.039999999999992</v>
      </c>
      <c r="T26" s="174">
        <v>8.9656272401433625</v>
      </c>
    </row>
    <row r="27" spans="1:20" x14ac:dyDescent="0.3">
      <c r="A27" s="159">
        <v>62</v>
      </c>
      <c r="B27" s="118" t="s">
        <v>26</v>
      </c>
      <c r="C27" s="172" t="s">
        <v>29</v>
      </c>
      <c r="D27" s="151">
        <v>99.058823529411768</v>
      </c>
      <c r="E27" s="152">
        <v>-2.2544294826364251</v>
      </c>
      <c r="F27" s="153">
        <v>17</v>
      </c>
      <c r="G27" s="151">
        <v>77.2</v>
      </c>
      <c r="H27" s="152">
        <v>1.3666666666666742</v>
      </c>
      <c r="I27" s="153">
        <v>5</v>
      </c>
      <c r="J27" s="151">
        <v>94.090909090909093</v>
      </c>
      <c r="K27" s="169">
        <v>4.037575757575766</v>
      </c>
      <c r="L27" s="151">
        <v>95.8</v>
      </c>
      <c r="M27" s="152">
        <v>-2.0732394366197155</v>
      </c>
      <c r="N27" s="153">
        <v>5</v>
      </c>
      <c r="O27" s="151">
        <v>77</v>
      </c>
      <c r="P27" s="152">
        <v>1.5769230769230802</v>
      </c>
      <c r="Q27" s="153">
        <v>17</v>
      </c>
      <c r="R27" s="151">
        <v>81.272727272727266</v>
      </c>
      <c r="S27" s="169">
        <v>-4.8739393939393949</v>
      </c>
      <c r="T27" s="174">
        <v>8.9115151515151609</v>
      </c>
    </row>
    <row r="28" spans="1:20" x14ac:dyDescent="0.3">
      <c r="A28" s="159">
        <v>185</v>
      </c>
      <c r="B28" s="118" t="s">
        <v>28</v>
      </c>
      <c r="C28" s="172" t="s">
        <v>25</v>
      </c>
      <c r="D28" s="151">
        <v>101</v>
      </c>
      <c r="E28" s="152">
        <v>-2.1578947368421098</v>
      </c>
      <c r="F28" s="153">
        <v>9</v>
      </c>
      <c r="G28" s="151">
        <v>73.25</v>
      </c>
      <c r="H28" s="152">
        <v>-4.7222222222222285</v>
      </c>
      <c r="I28" s="153">
        <v>4</v>
      </c>
      <c r="J28" s="151">
        <v>92.461538461538467</v>
      </c>
      <c r="K28" s="169">
        <v>1.5015384615384733</v>
      </c>
      <c r="L28" s="151">
        <v>100.25</v>
      </c>
      <c r="M28" s="152">
        <v>2.5878378378378386</v>
      </c>
      <c r="N28" s="153">
        <v>4</v>
      </c>
      <c r="O28" s="151">
        <v>70.444444444444443</v>
      </c>
      <c r="P28" s="152">
        <v>-5.8158295281583037</v>
      </c>
      <c r="Q28" s="153">
        <v>9</v>
      </c>
      <c r="R28" s="151">
        <v>79.615384615384613</v>
      </c>
      <c r="S28" s="169">
        <v>-7.3912820512820474</v>
      </c>
      <c r="T28" s="174">
        <v>8.8928205128205207</v>
      </c>
    </row>
    <row r="29" spans="1:20" x14ac:dyDescent="0.3">
      <c r="A29" s="159">
        <v>157</v>
      </c>
      <c r="B29" s="118" t="s">
        <v>30</v>
      </c>
      <c r="C29" s="172" t="s">
        <v>25</v>
      </c>
      <c r="D29" s="151">
        <v>99.875</v>
      </c>
      <c r="E29" s="152">
        <v>0.10688405797101552</v>
      </c>
      <c r="F29" s="153">
        <v>8</v>
      </c>
      <c r="G29" s="151">
        <v>80.833333333333329</v>
      </c>
      <c r="H29" s="152">
        <v>1.4833333333333343</v>
      </c>
      <c r="I29" s="153">
        <v>6</v>
      </c>
      <c r="J29" s="151">
        <v>91.714285714285708</v>
      </c>
      <c r="K29" s="169">
        <v>2.9609523809523779</v>
      </c>
      <c r="L29" s="151">
        <v>105.16666666666667</v>
      </c>
      <c r="M29" s="152">
        <v>7.50450450450451</v>
      </c>
      <c r="N29" s="153">
        <v>6</v>
      </c>
      <c r="O29" s="151">
        <v>64.125</v>
      </c>
      <c r="P29" s="152">
        <v>-12.135273972602747</v>
      </c>
      <c r="Q29" s="153">
        <v>8</v>
      </c>
      <c r="R29" s="151">
        <v>81.714285714285708</v>
      </c>
      <c r="S29" s="169">
        <v>-5.2923809523809524</v>
      </c>
      <c r="T29" s="174">
        <v>8.2533333333333303</v>
      </c>
    </row>
    <row r="30" spans="1:20" x14ac:dyDescent="0.3">
      <c r="A30" s="159">
        <v>91</v>
      </c>
      <c r="B30" s="118" t="s">
        <v>29</v>
      </c>
      <c r="C30" s="172" t="s">
        <v>43</v>
      </c>
      <c r="D30" s="151">
        <v>95.75</v>
      </c>
      <c r="E30" s="152">
        <v>-2.1232394366197127</v>
      </c>
      <c r="F30" s="153">
        <v>8</v>
      </c>
      <c r="G30" s="151">
        <v>70.400000000000006</v>
      </c>
      <c r="H30" s="152">
        <v>-5.0230769230769141</v>
      </c>
      <c r="I30" s="153">
        <v>5</v>
      </c>
      <c r="J30" s="151">
        <v>86</v>
      </c>
      <c r="K30" s="169">
        <v>-0.14666666666666117</v>
      </c>
      <c r="L30" s="151">
        <v>87.8</v>
      </c>
      <c r="M30" s="152">
        <v>-9.6558823529411768</v>
      </c>
      <c r="N30" s="153">
        <v>5</v>
      </c>
      <c r="O30" s="151">
        <v>67.75</v>
      </c>
      <c r="P30" s="152">
        <v>-4.5956790123456841</v>
      </c>
      <c r="Q30" s="153">
        <v>8</v>
      </c>
      <c r="R30" s="151">
        <v>75.461538461538467</v>
      </c>
      <c r="S30" s="169">
        <v>-8.3117948717948593</v>
      </c>
      <c r="T30" s="174">
        <v>8.1651282051281981</v>
      </c>
    </row>
    <row r="31" spans="1:20" x14ac:dyDescent="0.3">
      <c r="A31" s="159">
        <v>99</v>
      </c>
      <c r="B31" s="118" t="s">
        <v>43</v>
      </c>
      <c r="C31" s="172" t="s">
        <v>27</v>
      </c>
      <c r="D31" s="151">
        <v>88.5</v>
      </c>
      <c r="E31" s="152">
        <v>-8.955882352941174</v>
      </c>
      <c r="F31" s="153">
        <v>6</v>
      </c>
      <c r="G31" s="151">
        <v>76.2</v>
      </c>
      <c r="H31" s="152">
        <v>3.8543209876543187</v>
      </c>
      <c r="I31" s="153">
        <v>5</v>
      </c>
      <c r="J31" s="151">
        <v>82.909090909090907</v>
      </c>
      <c r="K31" s="169">
        <v>-0.86424242424241982</v>
      </c>
      <c r="L31" s="151">
        <v>92</v>
      </c>
      <c r="M31" s="152">
        <v>-3.4893617021276526</v>
      </c>
      <c r="N31" s="153">
        <v>5</v>
      </c>
      <c r="O31" s="151">
        <v>58.666666666666664</v>
      </c>
      <c r="P31" s="152">
        <v>-11.298245614035089</v>
      </c>
      <c r="Q31" s="153">
        <v>6</v>
      </c>
      <c r="R31" s="151">
        <v>73.818181818181813</v>
      </c>
      <c r="S31" s="169">
        <v>-7.681818181818187</v>
      </c>
      <c r="T31" s="174">
        <v>6.8175757575757672</v>
      </c>
    </row>
    <row r="32" spans="1:20" x14ac:dyDescent="0.3">
      <c r="A32" s="159">
        <v>63</v>
      </c>
      <c r="B32" s="118" t="s">
        <v>26</v>
      </c>
      <c r="C32" s="172" t="s">
        <v>43</v>
      </c>
      <c r="D32" s="151">
        <v>101.4</v>
      </c>
      <c r="E32" s="152">
        <v>8.6746987951812571E-2</v>
      </c>
      <c r="F32" s="153">
        <v>10</v>
      </c>
      <c r="G32" s="151">
        <v>77.666666666666671</v>
      </c>
      <c r="H32" s="152">
        <v>1.8333333333333428</v>
      </c>
      <c r="I32" s="153">
        <v>3</v>
      </c>
      <c r="J32" s="151">
        <v>95.92307692307692</v>
      </c>
      <c r="K32" s="169">
        <v>5.8697435897435923</v>
      </c>
      <c r="L32" s="151">
        <v>91.666666666666671</v>
      </c>
      <c r="M32" s="152">
        <v>-5.7892156862745026</v>
      </c>
      <c r="N32" s="153">
        <v>3</v>
      </c>
      <c r="O32" s="151">
        <v>80.3</v>
      </c>
      <c r="P32" s="152">
        <v>7.9543209876543131</v>
      </c>
      <c r="Q32" s="153">
        <v>10</v>
      </c>
      <c r="R32" s="151">
        <v>82.92307692307692</v>
      </c>
      <c r="S32" s="169">
        <v>-0.85025641025640653</v>
      </c>
      <c r="T32" s="174">
        <v>6.7199999999999989</v>
      </c>
    </row>
    <row r="33" spans="1:20" x14ac:dyDescent="0.3">
      <c r="A33" s="159">
        <v>165</v>
      </c>
      <c r="B33" s="118" t="s">
        <v>30</v>
      </c>
      <c r="C33" s="172" t="s">
        <v>22</v>
      </c>
      <c r="D33" s="151">
        <v>103.28571428571429</v>
      </c>
      <c r="E33" s="152">
        <v>3.5175983436853073</v>
      </c>
      <c r="F33" s="153">
        <v>7</v>
      </c>
      <c r="G33" s="151">
        <v>83.285714285714292</v>
      </c>
      <c r="H33" s="152">
        <v>3.9357142857142975</v>
      </c>
      <c r="I33" s="153">
        <v>7</v>
      </c>
      <c r="J33" s="151">
        <v>93.285714285714292</v>
      </c>
      <c r="K33" s="169">
        <v>4.5323809523809615</v>
      </c>
      <c r="L33" s="151">
        <v>93.285714285714292</v>
      </c>
      <c r="M33" s="152">
        <v>-4.1809523809523768</v>
      </c>
      <c r="N33" s="153">
        <v>7</v>
      </c>
      <c r="O33" s="151">
        <v>73.142857142857139</v>
      </c>
      <c r="P33" s="152">
        <v>-3.9020866773675777</v>
      </c>
      <c r="Q33" s="153">
        <v>7</v>
      </c>
      <c r="R33" s="151">
        <v>83.214285714285708</v>
      </c>
      <c r="S33" s="169">
        <v>-2.085714285714289</v>
      </c>
      <c r="T33" s="174">
        <v>6.6180952380952505</v>
      </c>
    </row>
    <row r="34" spans="1:20" x14ac:dyDescent="0.3">
      <c r="A34" s="159">
        <v>181</v>
      </c>
      <c r="B34" s="118" t="s">
        <v>23</v>
      </c>
      <c r="C34" s="172" t="s">
        <v>28</v>
      </c>
      <c r="D34" s="151">
        <v>100.25</v>
      </c>
      <c r="E34" s="152">
        <v>-2.1666666666666714</v>
      </c>
      <c r="F34" s="153">
        <v>8</v>
      </c>
      <c r="G34" s="151">
        <v>75.5</v>
      </c>
      <c r="H34" s="152">
        <v>-2.0999999999999943</v>
      </c>
      <c r="I34" s="153">
        <v>4</v>
      </c>
      <c r="J34" s="151">
        <v>92</v>
      </c>
      <c r="K34" s="169">
        <v>0.29333333333333655</v>
      </c>
      <c r="L34" s="151">
        <v>93.5</v>
      </c>
      <c r="M34" s="152">
        <v>-9.6578947368421098</v>
      </c>
      <c r="N34" s="153">
        <v>4</v>
      </c>
      <c r="O34" s="151">
        <v>80.25</v>
      </c>
      <c r="P34" s="152">
        <v>2.2777777777777715</v>
      </c>
      <c r="Q34" s="153">
        <v>8</v>
      </c>
      <c r="R34" s="151">
        <v>84.666666666666671</v>
      </c>
      <c r="S34" s="169">
        <v>-6.2933333333333223</v>
      </c>
      <c r="T34" s="174">
        <v>6.5866666666666589</v>
      </c>
    </row>
    <row r="35" spans="1:20" x14ac:dyDescent="0.3">
      <c r="A35" s="159">
        <v>109</v>
      </c>
      <c r="B35" s="118" t="s">
        <v>43</v>
      </c>
      <c r="C35" s="172" t="s">
        <v>30</v>
      </c>
      <c r="D35" s="151">
        <v>105.75</v>
      </c>
      <c r="E35" s="152">
        <v>8.294117647058826</v>
      </c>
      <c r="F35" s="153">
        <v>8</v>
      </c>
      <c r="G35" s="151">
        <v>76</v>
      </c>
      <c r="H35" s="152">
        <v>3.6543209876543159</v>
      </c>
      <c r="I35" s="153">
        <v>6</v>
      </c>
      <c r="J35" s="151">
        <v>93</v>
      </c>
      <c r="K35" s="169">
        <v>9.2266666666666737</v>
      </c>
      <c r="L35" s="151">
        <v>101.66666666666667</v>
      </c>
      <c r="M35" s="152">
        <v>1.8985507246376869</v>
      </c>
      <c r="N35" s="153">
        <v>6</v>
      </c>
      <c r="O35" s="151">
        <v>84.25</v>
      </c>
      <c r="P35" s="152">
        <v>4.9000000000000057</v>
      </c>
      <c r="Q35" s="153">
        <v>8</v>
      </c>
      <c r="R35" s="151">
        <v>91.714285714285708</v>
      </c>
      <c r="S35" s="169">
        <v>2.9609523809523779</v>
      </c>
      <c r="T35" s="174">
        <v>6.2657142857142958</v>
      </c>
    </row>
    <row r="36" spans="1:20" x14ac:dyDescent="0.3">
      <c r="A36" s="159">
        <v>52</v>
      </c>
      <c r="B36" s="118" t="s">
        <v>47</v>
      </c>
      <c r="C36" s="172" t="s">
        <v>22</v>
      </c>
      <c r="D36" s="151">
        <v>108.08333333333333</v>
      </c>
      <c r="E36" s="152">
        <v>5.8785140562249012</v>
      </c>
      <c r="F36" s="153">
        <v>12</v>
      </c>
      <c r="G36" s="151">
        <v>87</v>
      </c>
      <c r="H36" s="152">
        <v>6.0999999999999943</v>
      </c>
      <c r="I36" s="153">
        <v>2</v>
      </c>
      <c r="J36" s="151">
        <v>105.07142857142857</v>
      </c>
      <c r="K36" s="169">
        <v>9.8859447004608256</v>
      </c>
      <c r="L36" s="151">
        <v>102</v>
      </c>
      <c r="M36" s="152">
        <v>4.5333333333333314</v>
      </c>
      <c r="N36" s="153">
        <v>2</v>
      </c>
      <c r="O36" s="151">
        <v>86.75</v>
      </c>
      <c r="P36" s="152">
        <v>9.7050561797752835</v>
      </c>
      <c r="Q36" s="153">
        <v>12</v>
      </c>
      <c r="R36" s="151">
        <v>88.928571428571431</v>
      </c>
      <c r="S36" s="169">
        <v>3.6285714285714334</v>
      </c>
      <c r="T36" s="174">
        <v>6.2573732718893922</v>
      </c>
    </row>
    <row r="37" spans="1:20" x14ac:dyDescent="0.3">
      <c r="A37" s="159">
        <v>12</v>
      </c>
      <c r="B37" s="118" t="s">
        <v>27</v>
      </c>
      <c r="C37" s="172" t="s">
        <v>23</v>
      </c>
      <c r="D37" s="151">
        <v>107.75</v>
      </c>
      <c r="E37" s="152">
        <v>12.260638297872347</v>
      </c>
      <c r="F37" s="153">
        <v>4</v>
      </c>
      <c r="G37" s="151">
        <v>72.714285714285708</v>
      </c>
      <c r="H37" s="152">
        <v>2.7493734335839548</v>
      </c>
      <c r="I37" s="153">
        <v>7</v>
      </c>
      <c r="J37" s="151">
        <v>85.454545454545453</v>
      </c>
      <c r="K37" s="169">
        <v>3.9545454545454533</v>
      </c>
      <c r="L37" s="151">
        <v>101.85714285714286</v>
      </c>
      <c r="M37" s="152">
        <v>-0.5595238095238102</v>
      </c>
      <c r="N37" s="153">
        <v>7</v>
      </c>
      <c r="O37" s="151">
        <v>68.75</v>
      </c>
      <c r="P37" s="152">
        <v>-8.8499999999999943</v>
      </c>
      <c r="Q37" s="153">
        <v>4</v>
      </c>
      <c r="R37" s="151">
        <v>89.818181818181813</v>
      </c>
      <c r="S37" s="169">
        <v>-1.8884848484848504</v>
      </c>
      <c r="T37" s="174">
        <v>5.8430303030303037</v>
      </c>
    </row>
    <row r="38" spans="1:20" x14ac:dyDescent="0.3">
      <c r="A38" s="159">
        <v>189</v>
      </c>
      <c r="B38" s="118" t="s">
        <v>28</v>
      </c>
      <c r="C38" s="172" t="s">
        <v>29</v>
      </c>
      <c r="D38" s="151">
        <v>101.63636363636364</v>
      </c>
      <c r="E38" s="152">
        <v>-1.5215311004784695</v>
      </c>
      <c r="F38" s="153">
        <v>11</v>
      </c>
      <c r="G38" s="151">
        <v>76.5</v>
      </c>
      <c r="H38" s="152">
        <v>-1.4722222222222285</v>
      </c>
      <c r="I38" s="153">
        <v>6</v>
      </c>
      <c r="J38" s="151">
        <v>92.764705882352942</v>
      </c>
      <c r="K38" s="169">
        <v>1.8047058823529483</v>
      </c>
      <c r="L38" s="151">
        <v>81.166666666666671</v>
      </c>
      <c r="M38" s="152">
        <v>-16.706572769953041</v>
      </c>
      <c r="N38" s="153">
        <v>6</v>
      </c>
      <c r="O38" s="151">
        <v>82.63636363636364</v>
      </c>
      <c r="P38" s="152">
        <v>7.2132867132867204</v>
      </c>
      <c r="Q38" s="153">
        <v>11</v>
      </c>
      <c r="R38" s="151">
        <v>82.117647058823536</v>
      </c>
      <c r="S38" s="169">
        <v>-4.0290196078431251</v>
      </c>
      <c r="T38" s="174">
        <v>5.8337254901960733</v>
      </c>
    </row>
    <row r="39" spans="1:20" x14ac:dyDescent="0.3">
      <c r="A39" s="159">
        <v>82</v>
      </c>
      <c r="B39" s="118" t="s">
        <v>48</v>
      </c>
      <c r="C39" s="172" t="s">
        <v>23</v>
      </c>
      <c r="D39" s="151">
        <v>97.714285714285708</v>
      </c>
      <c r="E39" s="152">
        <v>-6.1239495798319439</v>
      </c>
      <c r="F39" s="153">
        <v>7</v>
      </c>
      <c r="G39" s="151">
        <v>89</v>
      </c>
      <c r="H39" s="152">
        <v>8.75</v>
      </c>
      <c r="I39" s="153">
        <v>5</v>
      </c>
      <c r="J39" s="151">
        <v>94.083333333333329</v>
      </c>
      <c r="K39" s="169">
        <v>0.89784946236558483</v>
      </c>
      <c r="L39" s="151">
        <v>113</v>
      </c>
      <c r="M39" s="152">
        <v>10.583333333333329</v>
      </c>
      <c r="N39" s="153">
        <v>5</v>
      </c>
      <c r="O39" s="151">
        <v>69</v>
      </c>
      <c r="P39" s="152">
        <v>-8.5999999999999943</v>
      </c>
      <c r="Q39" s="153">
        <v>7</v>
      </c>
      <c r="R39" s="151">
        <v>87.333333333333329</v>
      </c>
      <c r="S39" s="169">
        <v>-4.3733333333333348</v>
      </c>
      <c r="T39" s="174">
        <v>5.2711827956989197</v>
      </c>
    </row>
    <row r="40" spans="1:20" x14ac:dyDescent="0.3">
      <c r="A40" s="159">
        <v>60</v>
      </c>
      <c r="B40" s="118" t="s">
        <v>26</v>
      </c>
      <c r="C40" s="172" t="s">
        <v>47</v>
      </c>
      <c r="D40" s="151">
        <v>98.333333333333329</v>
      </c>
      <c r="E40" s="152">
        <v>-2.9799196787148645</v>
      </c>
      <c r="F40" s="153">
        <v>6</v>
      </c>
      <c r="G40" s="151">
        <v>83.5</v>
      </c>
      <c r="H40" s="152">
        <v>7.6666666666666714</v>
      </c>
      <c r="I40" s="153">
        <v>6</v>
      </c>
      <c r="J40" s="151">
        <v>90.916666666666671</v>
      </c>
      <c r="K40" s="169">
        <v>0.86333333333334394</v>
      </c>
      <c r="L40" s="151">
        <v>98.666666666666671</v>
      </c>
      <c r="M40" s="152">
        <v>-3.538152610441756</v>
      </c>
      <c r="N40" s="153">
        <v>6</v>
      </c>
      <c r="O40" s="151">
        <v>83</v>
      </c>
      <c r="P40" s="152">
        <v>2.0999999999999943</v>
      </c>
      <c r="Q40" s="153">
        <v>6</v>
      </c>
      <c r="R40" s="151">
        <v>90.833333333333329</v>
      </c>
      <c r="S40" s="169">
        <v>-4.3521505376344152</v>
      </c>
      <c r="T40" s="174">
        <v>5.2154838709677591</v>
      </c>
    </row>
    <row r="41" spans="1:20" x14ac:dyDescent="0.3">
      <c r="A41" s="159">
        <v>49</v>
      </c>
      <c r="B41" s="118" t="s">
        <v>47</v>
      </c>
      <c r="C41" s="172" t="s">
        <v>43</v>
      </c>
      <c r="D41" s="151">
        <v>105.25</v>
      </c>
      <c r="E41" s="152">
        <v>3.0451807228915726</v>
      </c>
      <c r="F41" s="153">
        <v>8</v>
      </c>
      <c r="G41" s="151">
        <v>70</v>
      </c>
      <c r="H41" s="152">
        <v>-10.900000000000006</v>
      </c>
      <c r="I41" s="153">
        <v>3</v>
      </c>
      <c r="J41" s="151">
        <v>95.63636363636364</v>
      </c>
      <c r="K41" s="169">
        <v>0.45087976539589647</v>
      </c>
      <c r="L41" s="151">
        <v>85</v>
      </c>
      <c r="M41" s="152">
        <v>-12.455882352941174</v>
      </c>
      <c r="N41" s="153">
        <v>3</v>
      </c>
      <c r="O41" s="151">
        <v>77</v>
      </c>
      <c r="P41" s="152">
        <v>4.6543209876543159</v>
      </c>
      <c r="Q41" s="153">
        <v>8</v>
      </c>
      <c r="R41" s="151">
        <v>79.181818181818187</v>
      </c>
      <c r="S41" s="169">
        <v>-4.5915151515151393</v>
      </c>
      <c r="T41" s="174">
        <v>5.0423949169110358</v>
      </c>
    </row>
    <row r="42" spans="1:20" x14ac:dyDescent="0.3">
      <c r="A42" s="159">
        <v>160</v>
      </c>
      <c r="B42" s="118" t="s">
        <v>30</v>
      </c>
      <c r="C42" s="172" t="s">
        <v>48</v>
      </c>
      <c r="D42" s="151">
        <v>98.833333333333329</v>
      </c>
      <c r="E42" s="152">
        <v>-0.93478260869565588</v>
      </c>
      <c r="F42" s="153">
        <v>6</v>
      </c>
      <c r="G42" s="151">
        <v>84.75</v>
      </c>
      <c r="H42" s="152">
        <v>5.4000000000000057</v>
      </c>
      <c r="I42" s="153">
        <v>4</v>
      </c>
      <c r="J42" s="151">
        <v>93.2</v>
      </c>
      <c r="K42" s="169">
        <v>4.4466666666666725</v>
      </c>
      <c r="L42" s="151">
        <v>104.25</v>
      </c>
      <c r="M42" s="152">
        <v>0.41176470588234793</v>
      </c>
      <c r="N42" s="153">
        <v>4</v>
      </c>
      <c r="O42" s="151">
        <v>85.333333333333329</v>
      </c>
      <c r="P42" s="152">
        <v>5.0833333333333286</v>
      </c>
      <c r="Q42" s="153">
        <v>6</v>
      </c>
      <c r="R42" s="151">
        <v>92.9</v>
      </c>
      <c r="S42" s="169">
        <v>-0.28548387096773808</v>
      </c>
      <c r="T42" s="174">
        <v>4.7321505376344106</v>
      </c>
    </row>
    <row r="43" spans="1:20" x14ac:dyDescent="0.3">
      <c r="A43" s="159">
        <v>173</v>
      </c>
      <c r="B43" s="118" t="s">
        <v>23</v>
      </c>
      <c r="C43" s="172" t="s">
        <v>26</v>
      </c>
      <c r="D43" s="151">
        <v>108</v>
      </c>
      <c r="E43" s="152">
        <v>5.5833333333333286</v>
      </c>
      <c r="F43" s="153">
        <v>5</v>
      </c>
      <c r="G43" s="151">
        <v>80.625</v>
      </c>
      <c r="H43" s="152">
        <v>3.0250000000000057</v>
      </c>
      <c r="I43" s="153">
        <v>8</v>
      </c>
      <c r="J43" s="151">
        <v>91.15384615384616</v>
      </c>
      <c r="K43" s="169">
        <v>-0.55282051282050304</v>
      </c>
      <c r="L43" s="151">
        <v>91.75</v>
      </c>
      <c r="M43" s="152">
        <v>-9.5632530120481931</v>
      </c>
      <c r="N43" s="153">
        <v>8</v>
      </c>
      <c r="O43" s="151">
        <v>73.599999999999994</v>
      </c>
      <c r="P43" s="152">
        <v>-2.2333333333333343</v>
      </c>
      <c r="Q43" s="153">
        <v>5</v>
      </c>
      <c r="R43" s="151">
        <v>84.769230769230774</v>
      </c>
      <c r="S43" s="169">
        <v>-5.2841025641025539</v>
      </c>
      <c r="T43" s="174">
        <v>4.7312820512820508</v>
      </c>
    </row>
    <row r="44" spans="1:20" x14ac:dyDescent="0.3">
      <c r="A44" s="159">
        <v>179</v>
      </c>
      <c r="B44" s="118" t="s">
        <v>23</v>
      </c>
      <c r="C44" s="172" t="s">
        <v>22</v>
      </c>
      <c r="D44" s="151">
        <v>110.66666666666667</v>
      </c>
      <c r="E44" s="152">
        <v>8.25</v>
      </c>
      <c r="F44" s="153">
        <v>9</v>
      </c>
      <c r="G44" s="151">
        <v>80</v>
      </c>
      <c r="H44" s="152">
        <v>2.4000000000000057</v>
      </c>
      <c r="I44" s="153">
        <v>5</v>
      </c>
      <c r="J44" s="151">
        <v>99.714285714285708</v>
      </c>
      <c r="K44" s="169">
        <v>8.0076190476190447</v>
      </c>
      <c r="L44" s="151">
        <v>108.6</v>
      </c>
      <c r="M44" s="152">
        <v>11.133333333333326</v>
      </c>
      <c r="N44" s="153">
        <v>5</v>
      </c>
      <c r="O44" s="151">
        <v>77.555555555555557</v>
      </c>
      <c r="P44" s="152">
        <v>0.51061173533084059</v>
      </c>
      <c r="Q44" s="153">
        <v>9</v>
      </c>
      <c r="R44" s="151">
        <v>88.642857142857139</v>
      </c>
      <c r="S44" s="169">
        <v>3.3428571428571416</v>
      </c>
      <c r="T44" s="174">
        <v>4.6647619047619031</v>
      </c>
    </row>
    <row r="45" spans="1:20" x14ac:dyDescent="0.3">
      <c r="A45" s="159">
        <v>19</v>
      </c>
      <c r="B45" s="118" t="s">
        <v>227</v>
      </c>
      <c r="C45" s="172" t="s">
        <v>48</v>
      </c>
      <c r="D45" s="151">
        <v>120</v>
      </c>
      <c r="E45" s="152">
        <v>20.266666666666666</v>
      </c>
      <c r="F45" s="153">
        <v>1</v>
      </c>
      <c r="G45" s="151">
        <v>87</v>
      </c>
      <c r="H45" s="152">
        <v>7.6129032258064484</v>
      </c>
      <c r="I45" s="153">
        <v>3</v>
      </c>
      <c r="J45" s="151">
        <v>95.25</v>
      </c>
      <c r="K45" s="169">
        <v>9.2282608695652186</v>
      </c>
      <c r="L45" s="151">
        <v>105</v>
      </c>
      <c r="M45" s="152">
        <v>1.1617647058823479</v>
      </c>
      <c r="N45" s="153">
        <v>3</v>
      </c>
      <c r="O45" s="151">
        <v>77</v>
      </c>
      <c r="P45" s="152">
        <v>-3.25</v>
      </c>
      <c r="Q45" s="153">
        <v>1</v>
      </c>
      <c r="R45" s="151">
        <v>98</v>
      </c>
      <c r="S45" s="169">
        <v>4.8145161290322562</v>
      </c>
      <c r="T45" s="174">
        <v>4.4137447405329624</v>
      </c>
    </row>
    <row r="46" spans="1:20" x14ac:dyDescent="0.3">
      <c r="A46" s="159">
        <v>142</v>
      </c>
      <c r="B46" s="118" t="s">
        <v>22</v>
      </c>
      <c r="C46" s="172" t="s">
        <v>227</v>
      </c>
      <c r="D46" s="151">
        <v>104.25</v>
      </c>
      <c r="E46" s="152">
        <v>6.7833333333333314</v>
      </c>
      <c r="F46" s="153">
        <v>4</v>
      </c>
      <c r="G46" s="151">
        <v>83.333333333333329</v>
      </c>
      <c r="H46" s="152">
        <v>6.2883895131086121</v>
      </c>
      <c r="I46" s="153">
        <v>3</v>
      </c>
      <c r="J46" s="151">
        <v>95.285714285714292</v>
      </c>
      <c r="K46" s="169">
        <v>9.9857142857142946</v>
      </c>
      <c r="L46" s="151">
        <v>115.33333333333333</v>
      </c>
      <c r="M46" s="152">
        <v>15.599999999999994</v>
      </c>
      <c r="N46" s="153">
        <v>3</v>
      </c>
      <c r="O46" s="151">
        <v>74</v>
      </c>
      <c r="P46" s="152">
        <v>-5.3870967741935516</v>
      </c>
      <c r="Q46" s="153">
        <v>4</v>
      </c>
      <c r="R46" s="151">
        <v>91.714285714285708</v>
      </c>
      <c r="S46" s="169">
        <v>5.6925465838509268</v>
      </c>
      <c r="T46" s="174">
        <v>4.2931677018633678</v>
      </c>
    </row>
    <row r="47" spans="1:20" x14ac:dyDescent="0.3">
      <c r="A47" s="159">
        <v>182</v>
      </c>
      <c r="B47" s="118" t="s">
        <v>23</v>
      </c>
      <c r="C47" s="172" t="s">
        <v>24</v>
      </c>
      <c r="D47" s="151">
        <v>97.36363636363636</v>
      </c>
      <c r="E47" s="152">
        <v>-5.0530303030303116</v>
      </c>
      <c r="F47" s="153">
        <v>11</v>
      </c>
      <c r="G47" s="151">
        <v>82.111111111111114</v>
      </c>
      <c r="H47" s="152">
        <v>4.51111111111112</v>
      </c>
      <c r="I47" s="153">
        <v>9</v>
      </c>
      <c r="J47" s="151">
        <v>90.5</v>
      </c>
      <c r="K47" s="169">
        <v>-1.2066666666666634</v>
      </c>
      <c r="L47" s="151">
        <v>101.88888888888889</v>
      </c>
      <c r="M47" s="152">
        <v>-1.3888888888888857</v>
      </c>
      <c r="N47" s="153">
        <v>9</v>
      </c>
      <c r="O47" s="151">
        <v>67.909090909090907</v>
      </c>
      <c r="P47" s="152">
        <v>-7.0524475524475605</v>
      </c>
      <c r="Q47" s="153">
        <v>11</v>
      </c>
      <c r="R47" s="151">
        <v>83.2</v>
      </c>
      <c r="S47" s="169">
        <v>-5.3533333333333246</v>
      </c>
      <c r="T47" s="174">
        <v>4.1466666666666612</v>
      </c>
    </row>
    <row r="48" spans="1:20" x14ac:dyDescent="0.3">
      <c r="A48" s="159">
        <v>11</v>
      </c>
      <c r="B48" s="118" t="s">
        <v>27</v>
      </c>
      <c r="C48" s="172" t="s">
        <v>30</v>
      </c>
      <c r="D48" s="151">
        <v>98.8</v>
      </c>
      <c r="E48" s="152">
        <v>3.3106382978723445</v>
      </c>
      <c r="F48" s="153">
        <v>5</v>
      </c>
      <c r="G48" s="151">
        <v>77.333333333333329</v>
      </c>
      <c r="H48" s="152">
        <v>7.3684210526315752</v>
      </c>
      <c r="I48" s="153">
        <v>9</v>
      </c>
      <c r="J48" s="151">
        <v>85</v>
      </c>
      <c r="K48" s="169">
        <v>3.5</v>
      </c>
      <c r="L48" s="151">
        <v>91.333333333333329</v>
      </c>
      <c r="M48" s="152">
        <v>-8.4347826086956559</v>
      </c>
      <c r="N48" s="153">
        <v>9</v>
      </c>
      <c r="O48" s="151">
        <v>82.4</v>
      </c>
      <c r="P48" s="152">
        <v>3.0500000000000114</v>
      </c>
      <c r="Q48" s="153">
        <v>5</v>
      </c>
      <c r="R48" s="151">
        <v>88.142857142857139</v>
      </c>
      <c r="S48" s="169">
        <v>-0.6104761904761915</v>
      </c>
      <c r="T48" s="174">
        <v>4.1104761904761915</v>
      </c>
    </row>
    <row r="49" spans="1:20" x14ac:dyDescent="0.3">
      <c r="A49" s="159">
        <v>196</v>
      </c>
      <c r="B49" s="118" t="s">
        <v>28</v>
      </c>
      <c r="C49" s="172" t="s">
        <v>24</v>
      </c>
      <c r="D49" s="151">
        <v>100.8</v>
      </c>
      <c r="E49" s="152">
        <v>-2.3578947368421126</v>
      </c>
      <c r="F49" s="153">
        <v>10</v>
      </c>
      <c r="G49" s="151">
        <v>63.8</v>
      </c>
      <c r="H49" s="152">
        <v>-14.172222222222231</v>
      </c>
      <c r="I49" s="153">
        <v>5</v>
      </c>
      <c r="J49" s="151">
        <v>88.466666666666669</v>
      </c>
      <c r="K49" s="169">
        <v>-2.4933333333333252</v>
      </c>
      <c r="L49" s="151">
        <v>85</v>
      </c>
      <c r="M49" s="152">
        <v>-18.277777777777771</v>
      </c>
      <c r="N49" s="153">
        <v>5</v>
      </c>
      <c r="O49" s="151">
        <v>80.5</v>
      </c>
      <c r="P49" s="152">
        <v>5.538461538461533</v>
      </c>
      <c r="Q49" s="153">
        <v>10</v>
      </c>
      <c r="R49" s="151">
        <v>82</v>
      </c>
      <c r="S49" s="169">
        <v>-6.5533333333333275</v>
      </c>
      <c r="T49" s="174">
        <v>4.0600000000000023</v>
      </c>
    </row>
    <row r="50" spans="1:20" x14ac:dyDescent="0.3">
      <c r="A50" s="159">
        <v>110</v>
      </c>
      <c r="B50" s="118" t="s">
        <v>43</v>
      </c>
      <c r="C50" s="172" t="s">
        <v>23</v>
      </c>
      <c r="D50" s="151">
        <v>106.75</v>
      </c>
      <c r="E50" s="152">
        <v>9.294117647058826</v>
      </c>
      <c r="F50" s="153">
        <v>4</v>
      </c>
      <c r="G50" s="151">
        <v>68.875</v>
      </c>
      <c r="H50" s="152">
        <v>-3.4706790123456841</v>
      </c>
      <c r="I50" s="153">
        <v>8</v>
      </c>
      <c r="J50" s="151">
        <v>81.5</v>
      </c>
      <c r="K50" s="169">
        <v>-2.2733333333333263</v>
      </c>
      <c r="L50" s="151">
        <v>87.25</v>
      </c>
      <c r="M50" s="152">
        <v>-15.166666666666671</v>
      </c>
      <c r="N50" s="153">
        <v>8</v>
      </c>
      <c r="O50" s="151">
        <v>81.75</v>
      </c>
      <c r="P50" s="152">
        <v>4.1500000000000057</v>
      </c>
      <c r="Q50" s="153">
        <v>4</v>
      </c>
      <c r="R50" s="151">
        <v>85.416666666666671</v>
      </c>
      <c r="S50" s="169">
        <v>-6.289999999999992</v>
      </c>
      <c r="T50" s="174">
        <v>4.0166666666666657</v>
      </c>
    </row>
    <row r="51" spans="1:20" x14ac:dyDescent="0.3">
      <c r="A51" s="159">
        <v>168</v>
      </c>
      <c r="B51" s="118" t="s">
        <v>30</v>
      </c>
      <c r="C51" s="172" t="s">
        <v>24</v>
      </c>
      <c r="D51" s="151">
        <v>97</v>
      </c>
      <c r="E51" s="152">
        <v>-2.7681159420289845</v>
      </c>
      <c r="F51" s="153">
        <v>5</v>
      </c>
      <c r="G51" s="151">
        <v>79.166666666666671</v>
      </c>
      <c r="H51" s="152">
        <v>-0.18333333333332291</v>
      </c>
      <c r="I51" s="153">
        <v>6</v>
      </c>
      <c r="J51" s="151">
        <v>87.272727272727266</v>
      </c>
      <c r="K51" s="169">
        <v>-1.480606060606064</v>
      </c>
      <c r="L51" s="151">
        <v>98.333333333333329</v>
      </c>
      <c r="M51" s="152">
        <v>-4.9444444444444429</v>
      </c>
      <c r="N51" s="153">
        <v>6</v>
      </c>
      <c r="O51" s="151">
        <v>65</v>
      </c>
      <c r="P51" s="152">
        <v>-9.961538461538467</v>
      </c>
      <c r="Q51" s="153">
        <v>5</v>
      </c>
      <c r="R51" s="151">
        <v>83.181818181818187</v>
      </c>
      <c r="S51" s="169">
        <v>-5.3715151515151405</v>
      </c>
      <c r="T51" s="174">
        <v>3.8909090909090764</v>
      </c>
    </row>
    <row r="52" spans="1:20" x14ac:dyDescent="0.3">
      <c r="A52" s="159">
        <v>40</v>
      </c>
      <c r="B52" s="118" t="s">
        <v>25</v>
      </c>
      <c r="C52" s="172" t="s">
        <v>23</v>
      </c>
      <c r="D52" s="151">
        <v>98.166666666666671</v>
      </c>
      <c r="E52" s="152">
        <v>0.50450450450451001</v>
      </c>
      <c r="F52" s="153">
        <v>6</v>
      </c>
      <c r="G52" s="151">
        <v>80</v>
      </c>
      <c r="H52" s="152">
        <v>3.7397260273972535</v>
      </c>
      <c r="I52" s="153">
        <v>7</v>
      </c>
      <c r="J52" s="151">
        <v>88.384615384615387</v>
      </c>
      <c r="K52" s="169">
        <v>1.3779487179487262</v>
      </c>
      <c r="L52" s="151">
        <v>98.142857142857139</v>
      </c>
      <c r="M52" s="152">
        <v>-4.2738095238095326</v>
      </c>
      <c r="N52" s="153">
        <v>7</v>
      </c>
      <c r="O52" s="151">
        <v>80</v>
      </c>
      <c r="P52" s="152">
        <v>2.4000000000000057</v>
      </c>
      <c r="Q52" s="153">
        <v>6</v>
      </c>
      <c r="R52" s="151">
        <v>89.769230769230774</v>
      </c>
      <c r="S52" s="169">
        <v>-1.9374358974358898</v>
      </c>
      <c r="T52" s="174">
        <v>3.315384615384616</v>
      </c>
    </row>
    <row r="53" spans="1:20" x14ac:dyDescent="0.3">
      <c r="A53" s="159">
        <v>2</v>
      </c>
      <c r="B53" s="118" t="s">
        <v>27</v>
      </c>
      <c r="C53" s="172" t="s">
        <v>25</v>
      </c>
      <c r="D53" s="151">
        <v>111</v>
      </c>
      <c r="E53" s="152">
        <v>15.510638297872347</v>
      </c>
      <c r="F53" s="153">
        <v>3</v>
      </c>
      <c r="G53" s="151">
        <v>68.666666666666671</v>
      </c>
      <c r="H53" s="152">
        <v>-1.298245614035082</v>
      </c>
      <c r="I53" s="153">
        <v>6</v>
      </c>
      <c r="J53" s="151">
        <v>82.777777777777771</v>
      </c>
      <c r="K53" s="169">
        <v>1.2777777777777715</v>
      </c>
      <c r="L53" s="151">
        <v>93.333333333333329</v>
      </c>
      <c r="M53" s="152">
        <v>-4.3288288288288328</v>
      </c>
      <c r="N53" s="153">
        <v>6</v>
      </c>
      <c r="O53" s="151">
        <v>68.333333333333329</v>
      </c>
      <c r="P53" s="152">
        <v>-7.9269406392694179</v>
      </c>
      <c r="Q53" s="153">
        <v>3</v>
      </c>
      <c r="R53" s="151">
        <v>85</v>
      </c>
      <c r="S53" s="169">
        <v>-2.0066666666666606</v>
      </c>
      <c r="T53" s="174">
        <v>3.2844444444444321</v>
      </c>
    </row>
    <row r="54" spans="1:20" x14ac:dyDescent="0.3">
      <c r="A54" s="159">
        <v>47</v>
      </c>
      <c r="B54" s="118" t="s">
        <v>47</v>
      </c>
      <c r="C54" s="172" t="s">
        <v>48</v>
      </c>
      <c r="D54" s="151">
        <v>102.85714285714286</v>
      </c>
      <c r="E54" s="152">
        <v>0.6523235800344338</v>
      </c>
      <c r="F54" s="153">
        <v>7</v>
      </c>
      <c r="G54" s="151">
        <v>82.8</v>
      </c>
      <c r="H54" s="152">
        <v>1.8999999999999915</v>
      </c>
      <c r="I54" s="153">
        <v>5</v>
      </c>
      <c r="J54" s="151">
        <v>94.5</v>
      </c>
      <c r="K54" s="169">
        <v>-0.68548387096774377</v>
      </c>
      <c r="L54" s="151">
        <v>102.8</v>
      </c>
      <c r="M54" s="152">
        <v>-1.0382352941176549</v>
      </c>
      <c r="N54" s="153">
        <v>5</v>
      </c>
      <c r="O54" s="151">
        <v>79.714285714285708</v>
      </c>
      <c r="P54" s="152">
        <v>-0.5357142857142918</v>
      </c>
      <c r="Q54" s="153">
        <v>7</v>
      </c>
      <c r="R54" s="151">
        <v>89.333333333333329</v>
      </c>
      <c r="S54" s="169">
        <v>-3.8521505376344152</v>
      </c>
      <c r="T54" s="174">
        <v>3.1666666666666714</v>
      </c>
    </row>
    <row r="55" spans="1:20" x14ac:dyDescent="0.3">
      <c r="A55" s="159">
        <v>67</v>
      </c>
      <c r="B55" s="118" t="s">
        <v>26</v>
      </c>
      <c r="C55" s="172" t="s">
        <v>30</v>
      </c>
      <c r="D55" s="151">
        <v>98</v>
      </c>
      <c r="E55" s="152">
        <v>-3.3132530120481931</v>
      </c>
      <c r="F55" s="153">
        <v>9</v>
      </c>
      <c r="G55" s="151">
        <v>80.2</v>
      </c>
      <c r="H55" s="152">
        <v>4.3666666666666742</v>
      </c>
      <c r="I55" s="153">
        <v>5</v>
      </c>
      <c r="J55" s="151">
        <v>91.642857142857139</v>
      </c>
      <c r="K55" s="169">
        <v>1.5895238095238113</v>
      </c>
      <c r="L55" s="151">
        <v>106.6</v>
      </c>
      <c r="M55" s="152">
        <v>6.8318840579710098</v>
      </c>
      <c r="N55" s="153">
        <v>5</v>
      </c>
      <c r="O55" s="151">
        <v>76.444444444444443</v>
      </c>
      <c r="P55" s="152">
        <v>-2.9055555555555515</v>
      </c>
      <c r="Q55" s="153">
        <v>9</v>
      </c>
      <c r="R55" s="151">
        <v>87.214285714285708</v>
      </c>
      <c r="S55" s="169">
        <v>-1.5390476190476221</v>
      </c>
      <c r="T55" s="174">
        <v>3.1285714285714334</v>
      </c>
    </row>
    <row r="56" spans="1:20" x14ac:dyDescent="0.3">
      <c r="A56" s="159">
        <v>90</v>
      </c>
      <c r="B56" s="118" t="s">
        <v>29</v>
      </c>
      <c r="C56" s="172" t="s">
        <v>48</v>
      </c>
      <c r="D56" s="151">
        <v>104.28571428571429</v>
      </c>
      <c r="E56" s="152">
        <v>6.4124748490945791</v>
      </c>
      <c r="F56" s="153">
        <v>7</v>
      </c>
      <c r="G56" s="151">
        <v>63.666666666666664</v>
      </c>
      <c r="H56" s="152">
        <v>-11.756410256410255</v>
      </c>
      <c r="I56" s="153">
        <v>6</v>
      </c>
      <c r="J56" s="151">
        <v>85.538461538461533</v>
      </c>
      <c r="K56" s="169">
        <v>-0.60820512820512818</v>
      </c>
      <c r="L56" s="151">
        <v>92</v>
      </c>
      <c r="M56" s="152">
        <v>-11.838235294117652</v>
      </c>
      <c r="N56" s="153">
        <v>6</v>
      </c>
      <c r="O56" s="151">
        <v>87.428571428571431</v>
      </c>
      <c r="P56" s="152">
        <v>7.1785714285714306</v>
      </c>
      <c r="Q56" s="153">
        <v>7</v>
      </c>
      <c r="R56" s="151">
        <v>89.538461538461533</v>
      </c>
      <c r="S56" s="169">
        <v>-3.6470223325062108</v>
      </c>
      <c r="T56" s="174">
        <v>3.0388172043010826</v>
      </c>
    </row>
    <row r="57" spans="1:20" x14ac:dyDescent="0.3">
      <c r="A57" s="159">
        <v>53</v>
      </c>
      <c r="B57" s="118" t="s">
        <v>47</v>
      </c>
      <c r="C57" s="172" t="s">
        <v>30</v>
      </c>
      <c r="D57" s="151">
        <v>98.63636363636364</v>
      </c>
      <c r="E57" s="152">
        <v>-3.5684556407447872</v>
      </c>
      <c r="F57" s="153">
        <v>11</v>
      </c>
      <c r="G57" s="151">
        <v>85.2</v>
      </c>
      <c r="H57" s="152">
        <v>4.2999999999999972</v>
      </c>
      <c r="I57" s="153">
        <v>5</v>
      </c>
      <c r="J57" s="151">
        <v>94.4375</v>
      </c>
      <c r="K57" s="169">
        <v>-0.74798387096774377</v>
      </c>
      <c r="L57" s="151">
        <v>101.8</v>
      </c>
      <c r="M57" s="152">
        <v>2.0318840579710127</v>
      </c>
      <c r="N57" s="153">
        <v>5</v>
      </c>
      <c r="O57" s="151">
        <v>77.909090909090907</v>
      </c>
      <c r="P57" s="152">
        <v>-1.4409090909090878</v>
      </c>
      <c r="Q57" s="153">
        <v>11</v>
      </c>
      <c r="R57" s="151">
        <v>85.375</v>
      </c>
      <c r="S57" s="169">
        <v>-3.3783333333333303</v>
      </c>
      <c r="T57" s="174">
        <v>2.6303494623655865</v>
      </c>
    </row>
    <row r="58" spans="1:20" x14ac:dyDescent="0.3">
      <c r="A58" s="159">
        <v>43</v>
      </c>
      <c r="B58" s="118" t="s">
        <v>47</v>
      </c>
      <c r="C58" s="172" t="s">
        <v>27</v>
      </c>
      <c r="D58" s="151">
        <v>92</v>
      </c>
      <c r="E58" s="152">
        <v>-10.204819277108427</v>
      </c>
      <c r="F58" s="153">
        <v>5</v>
      </c>
      <c r="G58" s="151">
        <v>79</v>
      </c>
      <c r="H58" s="152">
        <v>-1.9000000000000057</v>
      </c>
      <c r="I58" s="153">
        <v>1</v>
      </c>
      <c r="J58" s="151">
        <v>89.833333333333329</v>
      </c>
      <c r="K58" s="169">
        <v>-5.3521505376344152</v>
      </c>
      <c r="L58" s="151">
        <v>82</v>
      </c>
      <c r="M58" s="152">
        <v>-13.489361702127653</v>
      </c>
      <c r="N58" s="153">
        <v>1</v>
      </c>
      <c r="O58" s="151">
        <v>72.400000000000006</v>
      </c>
      <c r="P58" s="152">
        <v>2.4350877192982523</v>
      </c>
      <c r="Q58" s="153">
        <v>5</v>
      </c>
      <c r="R58" s="151">
        <v>74</v>
      </c>
      <c r="S58" s="169">
        <v>-7.5</v>
      </c>
      <c r="T58" s="174">
        <v>2.1478494623655848</v>
      </c>
    </row>
    <row r="59" spans="1:20" x14ac:dyDescent="0.3">
      <c r="A59" s="159">
        <v>193</v>
      </c>
      <c r="B59" s="118" t="s">
        <v>28</v>
      </c>
      <c r="C59" s="172" t="s">
        <v>22</v>
      </c>
      <c r="D59" s="151">
        <v>104.5</v>
      </c>
      <c r="E59" s="152">
        <v>1.3421052631578902</v>
      </c>
      <c r="F59" s="153">
        <v>8</v>
      </c>
      <c r="G59" s="151">
        <v>77.599999999999994</v>
      </c>
      <c r="H59" s="152">
        <v>-0.37222222222223422</v>
      </c>
      <c r="I59" s="153">
        <v>5</v>
      </c>
      <c r="J59" s="151">
        <v>94.15384615384616</v>
      </c>
      <c r="K59" s="169">
        <v>3.1938461538461667</v>
      </c>
      <c r="L59" s="151">
        <v>95.8</v>
      </c>
      <c r="M59" s="152">
        <v>-1.6666666666666714</v>
      </c>
      <c r="N59" s="153">
        <v>5</v>
      </c>
      <c r="O59" s="151">
        <v>80.5</v>
      </c>
      <c r="P59" s="152">
        <v>3.4550561797752835</v>
      </c>
      <c r="Q59" s="153">
        <v>8</v>
      </c>
      <c r="R59" s="151">
        <v>86.384615384615387</v>
      </c>
      <c r="S59" s="169">
        <v>1.0846153846153896</v>
      </c>
      <c r="T59" s="174">
        <v>2.109230769230777</v>
      </c>
    </row>
    <row r="60" spans="1:20" x14ac:dyDescent="0.3">
      <c r="A60" s="159">
        <v>100</v>
      </c>
      <c r="B60" s="118" t="s">
        <v>43</v>
      </c>
      <c r="C60" s="172" t="s">
        <v>227</v>
      </c>
      <c r="D60" s="151">
        <v>89.5</v>
      </c>
      <c r="E60" s="152">
        <v>-7.955882352941174</v>
      </c>
      <c r="F60" s="153">
        <v>2</v>
      </c>
      <c r="G60" s="151">
        <v>66.5</v>
      </c>
      <c r="H60" s="152">
        <v>-5.8456790123456841</v>
      </c>
      <c r="I60" s="153">
        <v>2</v>
      </c>
      <c r="J60" s="151">
        <v>78</v>
      </c>
      <c r="K60" s="169">
        <v>-5.7733333333333263</v>
      </c>
      <c r="L60" s="151">
        <v>86</v>
      </c>
      <c r="M60" s="152">
        <v>-13.733333333333334</v>
      </c>
      <c r="N60" s="153">
        <v>2</v>
      </c>
      <c r="O60" s="151">
        <v>70.5</v>
      </c>
      <c r="P60" s="152">
        <v>-8.8870967741935516</v>
      </c>
      <c r="Q60" s="153">
        <v>2</v>
      </c>
      <c r="R60" s="151">
        <v>78.25</v>
      </c>
      <c r="S60" s="169">
        <v>-7.7717391304347814</v>
      </c>
      <c r="T60" s="174">
        <v>1.9984057971014551</v>
      </c>
    </row>
    <row r="61" spans="1:20" x14ac:dyDescent="0.3">
      <c r="A61" s="159">
        <v>75</v>
      </c>
      <c r="B61" s="118" t="s">
        <v>48</v>
      </c>
      <c r="C61" s="172" t="s">
        <v>26</v>
      </c>
      <c r="D61" s="151">
        <v>106</v>
      </c>
      <c r="E61" s="152">
        <v>2.1617647058823479</v>
      </c>
      <c r="F61" s="153">
        <v>4</v>
      </c>
      <c r="G61" s="151">
        <v>85.8</v>
      </c>
      <c r="H61" s="152">
        <v>5.5499999999999972</v>
      </c>
      <c r="I61" s="153">
        <v>5</v>
      </c>
      <c r="J61" s="151">
        <v>94.777777777777771</v>
      </c>
      <c r="K61" s="169">
        <v>1.5922939068100277</v>
      </c>
      <c r="L61" s="151">
        <v>111.2</v>
      </c>
      <c r="M61" s="152">
        <v>9.8867469879518097</v>
      </c>
      <c r="N61" s="153">
        <v>5</v>
      </c>
      <c r="O61" s="151">
        <v>62.75</v>
      </c>
      <c r="P61" s="152">
        <v>-13.083333333333329</v>
      </c>
      <c r="Q61" s="153">
        <v>4</v>
      </c>
      <c r="R61" s="151">
        <v>89.666666666666671</v>
      </c>
      <c r="S61" s="169">
        <v>-0.38666666666665606</v>
      </c>
      <c r="T61" s="174">
        <v>1.9789605734766837</v>
      </c>
    </row>
    <row r="62" spans="1:20" x14ac:dyDescent="0.3">
      <c r="A62" s="159">
        <v>207</v>
      </c>
      <c r="B62" s="118" t="s">
        <v>24</v>
      </c>
      <c r="C62" s="172" t="s">
        <v>22</v>
      </c>
      <c r="D62" s="151">
        <v>114.16666666666667</v>
      </c>
      <c r="E62" s="152">
        <v>10.8888888888889</v>
      </c>
      <c r="F62" s="153">
        <v>6</v>
      </c>
      <c r="G62" s="151">
        <v>73.714285714285708</v>
      </c>
      <c r="H62" s="152">
        <v>-1.2472527472527588</v>
      </c>
      <c r="I62" s="153">
        <v>7</v>
      </c>
      <c r="J62" s="151">
        <v>92.384615384615387</v>
      </c>
      <c r="K62" s="169">
        <v>3.8312820512820593</v>
      </c>
      <c r="L62" s="151">
        <v>97.857142857142861</v>
      </c>
      <c r="M62" s="152">
        <v>0.39047619047619264</v>
      </c>
      <c r="N62" s="153">
        <v>7</v>
      </c>
      <c r="O62" s="151">
        <v>74.666666666666671</v>
      </c>
      <c r="P62" s="152">
        <v>-2.3782771535580451</v>
      </c>
      <c r="Q62" s="153">
        <v>6</v>
      </c>
      <c r="R62" s="151">
        <v>87.15384615384616</v>
      </c>
      <c r="S62" s="169">
        <v>1.8538461538461632</v>
      </c>
      <c r="T62" s="174">
        <v>1.9774358974358961</v>
      </c>
    </row>
    <row r="63" spans="1:20" x14ac:dyDescent="0.3">
      <c r="A63" s="159">
        <v>66</v>
      </c>
      <c r="B63" s="118" t="s">
        <v>26</v>
      </c>
      <c r="C63" s="172" t="s">
        <v>22</v>
      </c>
      <c r="D63" s="151">
        <v>105.71428571428571</v>
      </c>
      <c r="E63" s="152">
        <v>4.4010327022375151</v>
      </c>
      <c r="F63" s="153">
        <v>7</v>
      </c>
      <c r="G63" s="151">
        <v>79.571428571428569</v>
      </c>
      <c r="H63" s="152">
        <v>3.7380952380952408</v>
      </c>
      <c r="I63" s="153">
        <v>7</v>
      </c>
      <c r="J63" s="151">
        <v>92.642857142857139</v>
      </c>
      <c r="K63" s="169">
        <v>2.5895238095238113</v>
      </c>
      <c r="L63" s="151">
        <v>92.857142857142861</v>
      </c>
      <c r="M63" s="152">
        <v>-4.6095238095238074</v>
      </c>
      <c r="N63" s="153">
        <v>7</v>
      </c>
      <c r="O63" s="151">
        <v>79.142857142857139</v>
      </c>
      <c r="P63" s="152">
        <v>2.0979133226324223</v>
      </c>
      <c r="Q63" s="153">
        <v>7</v>
      </c>
      <c r="R63" s="151">
        <v>86</v>
      </c>
      <c r="S63" s="169">
        <v>0.70000000000000284</v>
      </c>
      <c r="T63" s="174">
        <v>1.8895238095238085</v>
      </c>
    </row>
    <row r="64" spans="1:20" x14ac:dyDescent="0.3">
      <c r="A64" s="159">
        <v>83</v>
      </c>
      <c r="B64" s="118" t="s">
        <v>48</v>
      </c>
      <c r="C64" s="172" t="s">
        <v>28</v>
      </c>
      <c r="D64" s="151">
        <v>104.55555555555556</v>
      </c>
      <c r="E64" s="152">
        <v>0.71732026143790506</v>
      </c>
      <c r="F64" s="153">
        <v>9</v>
      </c>
      <c r="G64" s="151">
        <v>75.75</v>
      </c>
      <c r="H64" s="152">
        <v>-4.5</v>
      </c>
      <c r="I64" s="153">
        <v>4</v>
      </c>
      <c r="J64" s="151">
        <v>95.692307692307693</v>
      </c>
      <c r="K64" s="169">
        <v>2.5068238213399496</v>
      </c>
      <c r="L64" s="151">
        <v>115</v>
      </c>
      <c r="M64" s="152">
        <v>11.84210526315789</v>
      </c>
      <c r="N64" s="153">
        <v>4</v>
      </c>
      <c r="O64" s="151">
        <v>81.333333333333329</v>
      </c>
      <c r="P64" s="152">
        <v>3.3611111111111001</v>
      </c>
      <c r="Q64" s="153">
        <v>9</v>
      </c>
      <c r="R64" s="151">
        <v>91.692307692307693</v>
      </c>
      <c r="S64" s="169">
        <v>0.73230769230769965</v>
      </c>
      <c r="T64" s="174">
        <v>1.77451612903225</v>
      </c>
    </row>
    <row r="65" spans="1:20" x14ac:dyDescent="0.3">
      <c r="A65" s="159">
        <v>55</v>
      </c>
      <c r="B65" s="118" t="s">
        <v>47</v>
      </c>
      <c r="C65" s="172" t="s">
        <v>28</v>
      </c>
      <c r="D65" s="151">
        <v>98.4</v>
      </c>
      <c r="E65" s="152">
        <v>-3.8048192771084217</v>
      </c>
      <c r="F65" s="153">
        <v>5</v>
      </c>
      <c r="G65" s="151">
        <v>82</v>
      </c>
      <c r="H65" s="152">
        <v>1.0999999999999943</v>
      </c>
      <c r="I65" s="153">
        <v>3</v>
      </c>
      <c r="J65" s="151">
        <v>92.25</v>
      </c>
      <c r="K65" s="169">
        <v>-2.9354838709677438</v>
      </c>
      <c r="L65" s="151">
        <v>104.66666666666667</v>
      </c>
      <c r="M65" s="152">
        <v>1.5087719298245617</v>
      </c>
      <c r="N65" s="153">
        <v>3</v>
      </c>
      <c r="O65" s="151">
        <v>75.400000000000006</v>
      </c>
      <c r="P65" s="152">
        <v>-2.5722222222222229</v>
      </c>
      <c r="Q65" s="153">
        <v>5</v>
      </c>
      <c r="R65" s="151">
        <v>86.375</v>
      </c>
      <c r="S65" s="169">
        <v>-4.5849999999999937</v>
      </c>
      <c r="T65" s="174">
        <v>1.64951612903225</v>
      </c>
    </row>
    <row r="66" spans="1:20" x14ac:dyDescent="0.3">
      <c r="A66" s="159">
        <v>199</v>
      </c>
      <c r="B66" s="118" t="s">
        <v>24</v>
      </c>
      <c r="C66" s="172" t="s">
        <v>25</v>
      </c>
      <c r="D66" s="151">
        <v>109.625</v>
      </c>
      <c r="E66" s="152">
        <v>6.3472222222222285</v>
      </c>
      <c r="F66" s="153">
        <v>8</v>
      </c>
      <c r="G66" s="151">
        <v>76.444444444444443</v>
      </c>
      <c r="H66" s="152">
        <v>1.4829059829059759</v>
      </c>
      <c r="I66" s="153">
        <v>9</v>
      </c>
      <c r="J66" s="151">
        <v>92.058823529411768</v>
      </c>
      <c r="K66" s="169">
        <v>3.5054901960784406</v>
      </c>
      <c r="L66" s="151">
        <v>97.888888888888886</v>
      </c>
      <c r="M66" s="152">
        <v>0.22672672672672434</v>
      </c>
      <c r="N66" s="153">
        <v>9</v>
      </c>
      <c r="O66" s="151">
        <v>79.5</v>
      </c>
      <c r="P66" s="152">
        <v>3.2397260273972535</v>
      </c>
      <c r="Q66" s="153">
        <v>8</v>
      </c>
      <c r="R66" s="151">
        <v>89.235294117647058</v>
      </c>
      <c r="S66" s="169">
        <v>2.2286274509803974</v>
      </c>
      <c r="T66" s="174">
        <v>1.2768627450980432</v>
      </c>
    </row>
    <row r="67" spans="1:20" x14ac:dyDescent="0.3">
      <c r="A67" s="159">
        <v>59</v>
      </c>
      <c r="B67" s="118" t="s">
        <v>26</v>
      </c>
      <c r="C67" s="172" t="s">
        <v>25</v>
      </c>
      <c r="D67" s="151">
        <v>107.2</v>
      </c>
      <c r="E67" s="152">
        <v>5.8867469879518097</v>
      </c>
      <c r="F67" s="153">
        <v>5</v>
      </c>
      <c r="G67" s="151">
        <v>69</v>
      </c>
      <c r="H67" s="152">
        <v>-6.8333333333333286</v>
      </c>
      <c r="I67" s="153">
        <v>6</v>
      </c>
      <c r="J67" s="151">
        <v>86.36363636363636</v>
      </c>
      <c r="K67" s="169">
        <v>-3.6896969696969677</v>
      </c>
      <c r="L67" s="151">
        <v>95.333333333333329</v>
      </c>
      <c r="M67" s="152">
        <v>-2.3288288288288328</v>
      </c>
      <c r="N67" s="153">
        <v>6</v>
      </c>
      <c r="O67" s="151">
        <v>67</v>
      </c>
      <c r="P67" s="152">
        <v>-9.2602739726027465</v>
      </c>
      <c r="Q67" s="153">
        <v>5</v>
      </c>
      <c r="R67" s="151">
        <v>82.454545454545453</v>
      </c>
      <c r="S67" s="169">
        <v>-4.5521212121212073</v>
      </c>
      <c r="T67" s="174">
        <v>0.86242424242423965</v>
      </c>
    </row>
    <row r="68" spans="1:20" x14ac:dyDescent="0.3">
      <c r="A68" s="159">
        <v>104</v>
      </c>
      <c r="B68" s="118" t="s">
        <v>43</v>
      </c>
      <c r="C68" s="172" t="s">
        <v>48</v>
      </c>
      <c r="D68" s="151">
        <v>81.666666666666671</v>
      </c>
      <c r="E68" s="152">
        <v>-15.789215686274503</v>
      </c>
      <c r="F68" s="153">
        <v>3</v>
      </c>
      <c r="G68" s="151">
        <v>76.333333333333329</v>
      </c>
      <c r="H68" s="152">
        <v>3.9876543209876445</v>
      </c>
      <c r="I68" s="153">
        <v>6</v>
      </c>
      <c r="J68" s="151">
        <v>78.111111111111114</v>
      </c>
      <c r="K68" s="169">
        <v>-5.6622222222222121</v>
      </c>
      <c r="L68" s="151">
        <v>99</v>
      </c>
      <c r="M68" s="152">
        <v>-4.8382352941176521</v>
      </c>
      <c r="N68" s="153">
        <v>6</v>
      </c>
      <c r="O68" s="151">
        <v>62.333333333333336</v>
      </c>
      <c r="P68" s="152">
        <v>-17.916666666666664</v>
      </c>
      <c r="Q68" s="153">
        <v>3</v>
      </c>
      <c r="R68" s="151">
        <v>86.777777777777771</v>
      </c>
      <c r="S68" s="169">
        <v>-6.4077060931899723</v>
      </c>
      <c r="T68" s="174">
        <v>0.74548387096776025</v>
      </c>
    </row>
    <row r="69" spans="1:20" x14ac:dyDescent="0.3">
      <c r="A69" s="159">
        <v>101</v>
      </c>
      <c r="B69" s="118" t="s">
        <v>43</v>
      </c>
      <c r="C69" s="172" t="s">
        <v>25</v>
      </c>
      <c r="D69" s="151">
        <v>102.57142857142857</v>
      </c>
      <c r="E69" s="152">
        <v>5.1155462184873954</v>
      </c>
      <c r="F69" s="153">
        <v>7</v>
      </c>
      <c r="G69" s="151">
        <v>72.428571428571431</v>
      </c>
      <c r="H69" s="152">
        <v>8.2892416225746501E-2</v>
      </c>
      <c r="I69" s="153">
        <v>7</v>
      </c>
      <c r="J69" s="151">
        <v>87.5</v>
      </c>
      <c r="K69" s="169">
        <v>3.7266666666666737</v>
      </c>
      <c r="L69" s="151">
        <v>93</v>
      </c>
      <c r="M69" s="152">
        <v>-4.6621621621621614</v>
      </c>
      <c r="N69" s="153">
        <v>7</v>
      </c>
      <c r="O69" s="151">
        <v>87.714285714285708</v>
      </c>
      <c r="P69" s="152">
        <v>11.454011741682962</v>
      </c>
      <c r="Q69" s="153">
        <v>7</v>
      </c>
      <c r="R69" s="151">
        <v>90.357142857142861</v>
      </c>
      <c r="S69" s="169">
        <v>3.3504761904762006</v>
      </c>
      <c r="T69" s="174">
        <v>0.37619047619047308</v>
      </c>
    </row>
    <row r="70" spans="1:20" x14ac:dyDescent="0.3">
      <c r="A70" s="159">
        <v>45</v>
      </c>
      <c r="B70" s="118" t="s">
        <v>47</v>
      </c>
      <c r="C70" s="172" t="s">
        <v>25</v>
      </c>
      <c r="D70" s="151">
        <v>99.125</v>
      </c>
      <c r="E70" s="152">
        <v>-3.0798192771084274</v>
      </c>
      <c r="F70" s="153">
        <v>8</v>
      </c>
      <c r="G70" s="151">
        <v>81</v>
      </c>
      <c r="H70" s="152">
        <v>9.9999999999994316E-2</v>
      </c>
      <c r="I70" s="153">
        <v>3</v>
      </c>
      <c r="J70" s="151">
        <v>94.181818181818187</v>
      </c>
      <c r="K70" s="169">
        <v>-1.0036656891495568</v>
      </c>
      <c r="L70" s="151">
        <v>91.333333333333329</v>
      </c>
      <c r="M70" s="152">
        <v>-6.3288288288288328</v>
      </c>
      <c r="N70" s="153">
        <v>3</v>
      </c>
      <c r="O70" s="151">
        <v>83.5</v>
      </c>
      <c r="P70" s="152">
        <v>7.2397260273972535</v>
      </c>
      <c r="Q70" s="153">
        <v>8</v>
      </c>
      <c r="R70" s="151">
        <v>85.63636363636364</v>
      </c>
      <c r="S70" s="169">
        <v>-1.3703030303030204</v>
      </c>
      <c r="T70" s="174">
        <v>0.36663734115346358</v>
      </c>
    </row>
    <row r="71" spans="1:20" x14ac:dyDescent="0.3">
      <c r="A71" s="159">
        <v>108</v>
      </c>
      <c r="B71" s="118" t="s">
        <v>43</v>
      </c>
      <c r="C71" s="172" t="s">
        <v>22</v>
      </c>
      <c r="D71" s="151">
        <v>93.333333333333329</v>
      </c>
      <c r="E71" s="152">
        <v>-4.1225490196078454</v>
      </c>
      <c r="F71" s="153">
        <v>9</v>
      </c>
      <c r="G71" s="151">
        <v>58.142857142857146</v>
      </c>
      <c r="H71" s="152">
        <v>-14.202821869488538</v>
      </c>
      <c r="I71" s="153">
        <v>7</v>
      </c>
      <c r="J71" s="151">
        <v>77.9375</v>
      </c>
      <c r="K71" s="169">
        <v>-5.8358333333333263</v>
      </c>
      <c r="L71" s="151">
        <v>94.857142857142861</v>
      </c>
      <c r="M71" s="152">
        <v>-2.6095238095238074</v>
      </c>
      <c r="N71" s="153">
        <v>7</v>
      </c>
      <c r="O71" s="151">
        <v>67</v>
      </c>
      <c r="P71" s="152">
        <v>-10.044943820224717</v>
      </c>
      <c r="Q71" s="153">
        <v>9</v>
      </c>
      <c r="R71" s="151">
        <v>79.1875</v>
      </c>
      <c r="S71" s="169">
        <v>-6.1124999999999972</v>
      </c>
      <c r="T71" s="174">
        <v>0.27666666666667084</v>
      </c>
    </row>
    <row r="72" spans="1:20" x14ac:dyDescent="0.3">
      <c r="A72" s="159">
        <v>87</v>
      </c>
      <c r="B72" s="118" t="s">
        <v>29</v>
      </c>
      <c r="C72" s="172" t="s">
        <v>25</v>
      </c>
      <c r="D72" s="151">
        <v>95</v>
      </c>
      <c r="E72" s="152">
        <v>-2.8732394366197127</v>
      </c>
      <c r="F72" s="153">
        <v>6</v>
      </c>
      <c r="G72" s="151">
        <v>81.8</v>
      </c>
      <c r="H72" s="152">
        <v>6.3769230769230774</v>
      </c>
      <c r="I72" s="153">
        <v>5</v>
      </c>
      <c r="J72" s="151">
        <v>89</v>
      </c>
      <c r="K72" s="169">
        <v>2.8533333333333388</v>
      </c>
      <c r="L72" s="151">
        <v>105.6</v>
      </c>
      <c r="M72" s="152">
        <v>7.9378378378378329</v>
      </c>
      <c r="N72" s="153">
        <v>5</v>
      </c>
      <c r="O72" s="151">
        <v>76.333333333333329</v>
      </c>
      <c r="P72" s="152">
        <v>7.3059360730582057E-2</v>
      </c>
      <c r="Q72" s="153">
        <v>6</v>
      </c>
      <c r="R72" s="151">
        <v>89.63636363636364</v>
      </c>
      <c r="S72" s="169">
        <v>2.6296969696969796</v>
      </c>
      <c r="T72" s="174">
        <v>0.22363636363635919</v>
      </c>
    </row>
    <row r="73" spans="1:20" x14ac:dyDescent="0.3">
      <c r="A73" s="159">
        <v>183</v>
      </c>
      <c r="B73" s="118" t="s">
        <v>28</v>
      </c>
      <c r="C73" s="172" t="s">
        <v>27</v>
      </c>
      <c r="D73" s="151">
        <v>103.66666666666667</v>
      </c>
      <c r="E73" s="152">
        <v>0.50877192982456165</v>
      </c>
      <c r="F73" s="153">
        <v>6</v>
      </c>
      <c r="G73" s="151">
        <v>73</v>
      </c>
      <c r="H73" s="152">
        <v>-4.9722222222222285</v>
      </c>
      <c r="I73" s="153">
        <v>3</v>
      </c>
      <c r="J73" s="151">
        <v>93.444444444444443</v>
      </c>
      <c r="K73" s="169">
        <v>2.4844444444444491</v>
      </c>
      <c r="L73" s="151">
        <v>110.33333333333333</v>
      </c>
      <c r="M73" s="152">
        <v>14.843971631205676</v>
      </c>
      <c r="N73" s="153">
        <v>3</v>
      </c>
      <c r="O73" s="151">
        <v>70.5</v>
      </c>
      <c r="P73" s="152">
        <v>0.53508771929824661</v>
      </c>
      <c r="Q73" s="153">
        <v>6</v>
      </c>
      <c r="R73" s="151">
        <v>83.777777777777771</v>
      </c>
      <c r="S73" s="169">
        <v>2.2777777777777715</v>
      </c>
      <c r="T73" s="174">
        <v>0.20666666666667766</v>
      </c>
    </row>
    <row r="74" spans="1:20" x14ac:dyDescent="0.3">
      <c r="A74" s="159">
        <v>98</v>
      </c>
      <c r="B74" s="118" t="s">
        <v>29</v>
      </c>
      <c r="C74" s="172" t="s">
        <v>24</v>
      </c>
      <c r="D74" s="151">
        <v>89.5</v>
      </c>
      <c r="E74" s="152">
        <v>-8.3732394366197127</v>
      </c>
      <c r="F74" s="153">
        <v>10</v>
      </c>
      <c r="G74" s="151">
        <v>61.5</v>
      </c>
      <c r="H74" s="152">
        <v>-13.92307692307692</v>
      </c>
      <c r="I74" s="153">
        <v>4</v>
      </c>
      <c r="J74" s="151">
        <v>81.5</v>
      </c>
      <c r="K74" s="169">
        <v>-4.6466666666666612</v>
      </c>
      <c r="L74" s="151">
        <v>101</v>
      </c>
      <c r="M74" s="152">
        <v>-2.2777777777777715</v>
      </c>
      <c r="N74" s="153">
        <v>4</v>
      </c>
      <c r="O74" s="151">
        <v>76.8</v>
      </c>
      <c r="P74" s="152">
        <v>1.8384615384615302</v>
      </c>
      <c r="Q74" s="153">
        <v>10</v>
      </c>
      <c r="R74" s="151">
        <v>83.714285714285708</v>
      </c>
      <c r="S74" s="169">
        <v>-4.8390476190476193</v>
      </c>
      <c r="T74" s="174">
        <v>0.19238095238095809</v>
      </c>
    </row>
    <row r="75" spans="1:20" x14ac:dyDescent="0.3">
      <c r="A75" s="159">
        <v>73</v>
      </c>
      <c r="B75" s="118" t="s">
        <v>48</v>
      </c>
      <c r="C75" s="172" t="s">
        <v>25</v>
      </c>
      <c r="D75" s="151">
        <v>104</v>
      </c>
      <c r="E75" s="152">
        <v>0.16176470588234793</v>
      </c>
      <c r="F75" s="153">
        <v>9</v>
      </c>
      <c r="G75" s="151">
        <v>76.428571428571431</v>
      </c>
      <c r="H75" s="152">
        <v>-3.8214285714285694</v>
      </c>
      <c r="I75" s="153">
        <v>7</v>
      </c>
      <c r="J75" s="151">
        <v>91.9375</v>
      </c>
      <c r="K75" s="169">
        <v>-1.2479838709677438</v>
      </c>
      <c r="L75" s="151">
        <v>92.142857142857139</v>
      </c>
      <c r="M75" s="152">
        <v>-5.5193050193050226</v>
      </c>
      <c r="N75" s="153">
        <v>7</v>
      </c>
      <c r="O75" s="151">
        <v>80.555555555555557</v>
      </c>
      <c r="P75" s="152">
        <v>4.2952815829528106</v>
      </c>
      <c r="Q75" s="153">
        <v>9</v>
      </c>
      <c r="R75" s="151">
        <v>85.625</v>
      </c>
      <c r="S75" s="169">
        <v>-1.3816666666666606</v>
      </c>
      <c r="T75" s="174">
        <v>0.13368279569891683</v>
      </c>
    </row>
    <row r="76" spans="1:20" x14ac:dyDescent="0.3">
      <c r="A76" s="159">
        <v>180</v>
      </c>
      <c r="B76" s="118" t="s">
        <v>23</v>
      </c>
      <c r="C76" s="172" t="s">
        <v>30</v>
      </c>
      <c r="D76" s="151">
        <v>99.888888888888886</v>
      </c>
      <c r="E76" s="152">
        <v>-2.5277777777777857</v>
      </c>
      <c r="F76" s="153">
        <v>9</v>
      </c>
      <c r="G76" s="151">
        <v>79.599999999999994</v>
      </c>
      <c r="H76" s="152">
        <v>2</v>
      </c>
      <c r="I76" s="153">
        <v>5</v>
      </c>
      <c r="J76" s="151">
        <v>92.642857142857139</v>
      </c>
      <c r="K76" s="169">
        <v>0.93619047619047535</v>
      </c>
      <c r="L76" s="151">
        <v>97.2</v>
      </c>
      <c r="M76" s="152">
        <v>-2.5681159420289816</v>
      </c>
      <c r="N76" s="153">
        <v>5</v>
      </c>
      <c r="O76" s="151">
        <v>85.333333333333329</v>
      </c>
      <c r="P76" s="152">
        <v>5.9833333333333343</v>
      </c>
      <c r="Q76" s="153">
        <v>9</v>
      </c>
      <c r="R76" s="151">
        <v>89.571428571428569</v>
      </c>
      <c r="S76" s="169">
        <v>0.8180952380952391</v>
      </c>
      <c r="T76" s="174">
        <v>0.11809523809523625</v>
      </c>
    </row>
    <row r="77" spans="1:20" x14ac:dyDescent="0.3">
      <c r="A77" s="159">
        <v>70</v>
      </c>
      <c r="B77" s="118" t="s">
        <v>26</v>
      </c>
      <c r="C77" s="172" t="s">
        <v>24</v>
      </c>
      <c r="D77" s="151">
        <v>96.833333333333329</v>
      </c>
      <c r="E77" s="152">
        <v>-4.4799196787148645</v>
      </c>
      <c r="F77" s="153">
        <v>6</v>
      </c>
      <c r="G77" s="151">
        <v>89.285714285714292</v>
      </c>
      <c r="H77" s="152">
        <v>13.452380952380963</v>
      </c>
      <c r="I77" s="153">
        <v>7</v>
      </c>
      <c r="J77" s="151">
        <v>92.769230769230774</v>
      </c>
      <c r="K77" s="169">
        <v>2.7158974358974461</v>
      </c>
      <c r="L77" s="151">
        <v>108.14285714285714</v>
      </c>
      <c r="M77" s="152">
        <v>4.8650793650793673</v>
      </c>
      <c r="N77" s="153">
        <v>7</v>
      </c>
      <c r="O77" s="151">
        <v>71.5</v>
      </c>
      <c r="P77" s="152">
        <v>-3.461538461538467</v>
      </c>
      <c r="Q77" s="153">
        <v>6</v>
      </c>
      <c r="R77" s="151">
        <v>91.230769230769226</v>
      </c>
      <c r="S77" s="169">
        <v>2.6774358974358989</v>
      </c>
      <c r="T77" s="174">
        <v>3.8461538461547207E-2</v>
      </c>
    </row>
    <row r="78" spans="1:20" x14ac:dyDescent="0.3">
      <c r="A78" s="159">
        <v>56</v>
      </c>
      <c r="B78" s="118" t="s">
        <v>47</v>
      </c>
      <c r="C78" s="172" t="s">
        <v>24</v>
      </c>
      <c r="D78" s="151">
        <v>90</v>
      </c>
      <c r="E78" s="152">
        <v>-12.204819277108427</v>
      </c>
      <c r="F78" s="153">
        <v>6</v>
      </c>
      <c r="G78" s="151">
        <v>76.666666666666671</v>
      </c>
      <c r="H78" s="152">
        <v>-4.2333333333333343</v>
      </c>
      <c r="I78" s="153">
        <v>3</v>
      </c>
      <c r="J78" s="151">
        <v>85.555555555555557</v>
      </c>
      <c r="K78" s="169">
        <v>-9.6299283154121866</v>
      </c>
      <c r="L78" s="151">
        <v>91.666666666666671</v>
      </c>
      <c r="M78" s="152">
        <v>-11.6111111111111</v>
      </c>
      <c r="N78" s="153">
        <v>3</v>
      </c>
      <c r="O78" s="151">
        <v>72.5</v>
      </c>
      <c r="P78" s="152">
        <v>-2.461538461538467</v>
      </c>
      <c r="Q78" s="153">
        <v>6</v>
      </c>
      <c r="R78" s="151">
        <v>78.888888888888886</v>
      </c>
      <c r="S78" s="169">
        <v>-9.6644444444444417</v>
      </c>
      <c r="T78" s="174">
        <v>3.4516129032255094E-2</v>
      </c>
    </row>
    <row r="79" spans="1:20" x14ac:dyDescent="0.3">
      <c r="A79" s="159">
        <v>200</v>
      </c>
      <c r="B79" s="118" t="s">
        <v>24</v>
      </c>
      <c r="C79" s="172" t="s">
        <v>47</v>
      </c>
      <c r="D79" s="151">
        <v>91.666666666666671</v>
      </c>
      <c r="E79" s="152">
        <v>-11.6111111111111</v>
      </c>
      <c r="F79" s="153">
        <v>3</v>
      </c>
      <c r="G79" s="151">
        <v>72.5</v>
      </c>
      <c r="H79" s="152">
        <v>-2.461538461538467</v>
      </c>
      <c r="I79" s="153">
        <v>6</v>
      </c>
      <c r="J79" s="151">
        <v>78.888888888888886</v>
      </c>
      <c r="K79" s="169">
        <v>-9.6644444444444417</v>
      </c>
      <c r="L79" s="151">
        <v>90</v>
      </c>
      <c r="M79" s="152">
        <v>-12.204819277108427</v>
      </c>
      <c r="N79" s="153">
        <v>6</v>
      </c>
      <c r="O79" s="151">
        <v>76.666666666666671</v>
      </c>
      <c r="P79" s="152">
        <v>-4.2333333333333343</v>
      </c>
      <c r="Q79" s="153">
        <v>3</v>
      </c>
      <c r="R79" s="151">
        <v>85.555555555555557</v>
      </c>
      <c r="S79" s="169">
        <v>-9.6299283154121866</v>
      </c>
      <c r="T79" s="174">
        <v>-3.4516129032255094E-2</v>
      </c>
    </row>
    <row r="80" spans="1:20" x14ac:dyDescent="0.3">
      <c r="A80" s="159">
        <v>201</v>
      </c>
      <c r="B80" s="118" t="s">
        <v>24</v>
      </c>
      <c r="C80" s="172" t="s">
        <v>26</v>
      </c>
      <c r="D80" s="151">
        <v>108.14285714285714</v>
      </c>
      <c r="E80" s="152">
        <v>4.8650793650793673</v>
      </c>
      <c r="F80" s="153">
        <v>7</v>
      </c>
      <c r="G80" s="151">
        <v>71.5</v>
      </c>
      <c r="H80" s="152">
        <v>-3.461538461538467</v>
      </c>
      <c r="I80" s="153">
        <v>6</v>
      </c>
      <c r="J80" s="151">
        <v>91.230769230769226</v>
      </c>
      <c r="K80" s="169">
        <v>2.6774358974358989</v>
      </c>
      <c r="L80" s="151">
        <v>96.833333333333329</v>
      </c>
      <c r="M80" s="152">
        <v>-4.4799196787148645</v>
      </c>
      <c r="N80" s="153">
        <v>6</v>
      </c>
      <c r="O80" s="151">
        <v>89.285714285714292</v>
      </c>
      <c r="P80" s="152">
        <v>13.452380952380963</v>
      </c>
      <c r="Q80" s="153">
        <v>7</v>
      </c>
      <c r="R80" s="151">
        <v>92.769230769230774</v>
      </c>
      <c r="S80" s="169">
        <v>2.7158974358974461</v>
      </c>
      <c r="T80" s="174">
        <v>-3.8461538461547207E-2</v>
      </c>
    </row>
    <row r="81" spans="1:20" x14ac:dyDescent="0.3">
      <c r="A81" s="159">
        <v>166</v>
      </c>
      <c r="B81" s="118" t="s">
        <v>30</v>
      </c>
      <c r="C81" s="172" t="s">
        <v>23</v>
      </c>
      <c r="D81" s="151">
        <v>97.2</v>
      </c>
      <c r="E81" s="152">
        <v>-2.5681159420289816</v>
      </c>
      <c r="F81" s="153">
        <v>5</v>
      </c>
      <c r="G81" s="151">
        <v>85.333333333333329</v>
      </c>
      <c r="H81" s="152">
        <v>5.9833333333333343</v>
      </c>
      <c r="I81" s="153">
        <v>9</v>
      </c>
      <c r="J81" s="151">
        <v>89.571428571428569</v>
      </c>
      <c r="K81" s="169">
        <v>0.8180952380952391</v>
      </c>
      <c r="L81" s="151">
        <v>99.888888888888886</v>
      </c>
      <c r="M81" s="152">
        <v>-2.5277777777777857</v>
      </c>
      <c r="N81" s="153">
        <v>9</v>
      </c>
      <c r="O81" s="151">
        <v>79.599999999999994</v>
      </c>
      <c r="P81" s="152">
        <v>2</v>
      </c>
      <c r="Q81" s="153">
        <v>5</v>
      </c>
      <c r="R81" s="151">
        <v>92.642857142857139</v>
      </c>
      <c r="S81" s="169">
        <v>0.93619047619047535</v>
      </c>
      <c r="T81" s="174">
        <v>-0.11809523809523625</v>
      </c>
    </row>
    <row r="82" spans="1:20" x14ac:dyDescent="0.3">
      <c r="A82" s="159">
        <v>33</v>
      </c>
      <c r="B82" s="118" t="s">
        <v>25</v>
      </c>
      <c r="C82" s="172" t="s">
        <v>48</v>
      </c>
      <c r="D82" s="151">
        <v>92.142857142857139</v>
      </c>
      <c r="E82" s="152">
        <v>-5.5193050193050226</v>
      </c>
      <c r="F82" s="153">
        <v>7</v>
      </c>
      <c r="G82" s="151">
        <v>80.555555555555557</v>
      </c>
      <c r="H82" s="152">
        <v>4.2952815829528106</v>
      </c>
      <c r="I82" s="153">
        <v>9</v>
      </c>
      <c r="J82" s="151">
        <v>85.625</v>
      </c>
      <c r="K82" s="169">
        <v>-1.3816666666666606</v>
      </c>
      <c r="L82" s="151">
        <v>104</v>
      </c>
      <c r="M82" s="152">
        <v>0.16176470588234793</v>
      </c>
      <c r="N82" s="153">
        <v>9</v>
      </c>
      <c r="O82" s="151">
        <v>76.428571428571431</v>
      </c>
      <c r="P82" s="152">
        <v>-3.8214285714285694</v>
      </c>
      <c r="Q82" s="153">
        <v>7</v>
      </c>
      <c r="R82" s="151">
        <v>91.9375</v>
      </c>
      <c r="S82" s="169">
        <v>-1.2479838709677438</v>
      </c>
      <c r="T82" s="174">
        <v>-0.13368279569891683</v>
      </c>
    </row>
    <row r="83" spans="1:20" x14ac:dyDescent="0.3">
      <c r="A83" s="159">
        <v>203</v>
      </c>
      <c r="B83" s="118" t="s">
        <v>24</v>
      </c>
      <c r="C83" s="172" t="s">
        <v>29</v>
      </c>
      <c r="D83" s="151">
        <v>101</v>
      </c>
      <c r="E83" s="152">
        <v>-2.2777777777777715</v>
      </c>
      <c r="F83" s="153">
        <v>4</v>
      </c>
      <c r="G83" s="151">
        <v>76.8</v>
      </c>
      <c r="H83" s="152">
        <v>1.8384615384615302</v>
      </c>
      <c r="I83" s="153">
        <v>10</v>
      </c>
      <c r="J83" s="151">
        <v>83.714285714285708</v>
      </c>
      <c r="K83" s="169">
        <v>-4.8390476190476193</v>
      </c>
      <c r="L83" s="151">
        <v>89.5</v>
      </c>
      <c r="M83" s="152">
        <v>-8.3732394366197127</v>
      </c>
      <c r="N83" s="153">
        <v>10</v>
      </c>
      <c r="O83" s="151">
        <v>61.5</v>
      </c>
      <c r="P83" s="152">
        <v>-13.92307692307692</v>
      </c>
      <c r="Q83" s="153">
        <v>4</v>
      </c>
      <c r="R83" s="151">
        <v>81.5</v>
      </c>
      <c r="S83" s="169">
        <v>-4.6466666666666612</v>
      </c>
      <c r="T83" s="174">
        <v>-0.19238095238095809</v>
      </c>
    </row>
    <row r="84" spans="1:20" x14ac:dyDescent="0.3">
      <c r="A84" s="159">
        <v>13</v>
      </c>
      <c r="B84" s="118" t="s">
        <v>27</v>
      </c>
      <c r="C84" s="172" t="s">
        <v>28</v>
      </c>
      <c r="D84" s="151">
        <v>110.33333333333333</v>
      </c>
      <c r="E84" s="152">
        <v>14.843971631205676</v>
      </c>
      <c r="F84" s="153">
        <v>3</v>
      </c>
      <c r="G84" s="151">
        <v>70.5</v>
      </c>
      <c r="H84" s="152">
        <v>0.53508771929824661</v>
      </c>
      <c r="I84" s="153">
        <v>6</v>
      </c>
      <c r="J84" s="151">
        <v>83.777777777777771</v>
      </c>
      <c r="K84" s="169">
        <v>2.2777777777777715</v>
      </c>
      <c r="L84" s="151">
        <v>103.66666666666667</v>
      </c>
      <c r="M84" s="152">
        <v>0.50877192982456165</v>
      </c>
      <c r="N84" s="153">
        <v>6</v>
      </c>
      <c r="O84" s="151">
        <v>73</v>
      </c>
      <c r="P84" s="152">
        <v>-4.9722222222222285</v>
      </c>
      <c r="Q84" s="153">
        <v>3</v>
      </c>
      <c r="R84" s="151">
        <v>93.444444444444443</v>
      </c>
      <c r="S84" s="169">
        <v>2.4844444444444491</v>
      </c>
      <c r="T84" s="174">
        <v>-0.20666666666667766</v>
      </c>
    </row>
    <row r="85" spans="1:20" x14ac:dyDescent="0.3">
      <c r="A85" s="159">
        <v>34</v>
      </c>
      <c r="B85" s="118" t="s">
        <v>25</v>
      </c>
      <c r="C85" s="172" t="s">
        <v>29</v>
      </c>
      <c r="D85" s="151">
        <v>105.6</v>
      </c>
      <c r="E85" s="152">
        <v>7.9378378378378329</v>
      </c>
      <c r="F85" s="153">
        <v>5</v>
      </c>
      <c r="G85" s="151">
        <v>76.333333333333329</v>
      </c>
      <c r="H85" s="152">
        <v>7.3059360730582057E-2</v>
      </c>
      <c r="I85" s="153">
        <v>6</v>
      </c>
      <c r="J85" s="151">
        <v>89.63636363636364</v>
      </c>
      <c r="K85" s="169">
        <v>2.6296969696969796</v>
      </c>
      <c r="L85" s="151">
        <v>95</v>
      </c>
      <c r="M85" s="152">
        <v>-2.8732394366197127</v>
      </c>
      <c r="N85" s="153">
        <v>6</v>
      </c>
      <c r="O85" s="151">
        <v>81.8</v>
      </c>
      <c r="P85" s="152">
        <v>6.3769230769230774</v>
      </c>
      <c r="Q85" s="153">
        <v>5</v>
      </c>
      <c r="R85" s="151">
        <v>89</v>
      </c>
      <c r="S85" s="169">
        <v>2.8533333333333388</v>
      </c>
      <c r="T85" s="174">
        <v>-0.22363636363635919</v>
      </c>
    </row>
    <row r="86" spans="1:20" x14ac:dyDescent="0.3">
      <c r="A86" s="159">
        <v>148</v>
      </c>
      <c r="B86" s="118" t="s">
        <v>22</v>
      </c>
      <c r="C86" s="172" t="s">
        <v>43</v>
      </c>
      <c r="D86" s="151">
        <v>94.857142857142861</v>
      </c>
      <c r="E86" s="152">
        <v>-2.6095238095238074</v>
      </c>
      <c r="F86" s="153">
        <v>7</v>
      </c>
      <c r="G86" s="151">
        <v>67</v>
      </c>
      <c r="H86" s="152">
        <v>-10.044943820224717</v>
      </c>
      <c r="I86" s="153">
        <v>9</v>
      </c>
      <c r="J86" s="151">
        <v>79.1875</v>
      </c>
      <c r="K86" s="169">
        <v>-6.1124999999999972</v>
      </c>
      <c r="L86" s="151">
        <v>93.333333333333329</v>
      </c>
      <c r="M86" s="152">
        <v>-4.1225490196078454</v>
      </c>
      <c r="N86" s="153">
        <v>9</v>
      </c>
      <c r="O86" s="151">
        <v>58.142857142857146</v>
      </c>
      <c r="P86" s="152">
        <v>-14.202821869488538</v>
      </c>
      <c r="Q86" s="153">
        <v>7</v>
      </c>
      <c r="R86" s="151">
        <v>77.9375</v>
      </c>
      <c r="S86" s="169">
        <v>-5.8358333333333263</v>
      </c>
      <c r="T86" s="174">
        <v>-0.27666666666667084</v>
      </c>
    </row>
    <row r="87" spans="1:20" x14ac:dyDescent="0.3">
      <c r="A87" s="159">
        <v>31</v>
      </c>
      <c r="B87" s="118" t="s">
        <v>25</v>
      </c>
      <c r="C87" s="172" t="s">
        <v>47</v>
      </c>
      <c r="D87" s="151">
        <v>91.333333333333329</v>
      </c>
      <c r="E87" s="152">
        <v>-6.3288288288288328</v>
      </c>
      <c r="F87" s="153">
        <v>3</v>
      </c>
      <c r="G87" s="151">
        <v>83.5</v>
      </c>
      <c r="H87" s="152">
        <v>7.2397260273972535</v>
      </c>
      <c r="I87" s="153">
        <v>8</v>
      </c>
      <c r="J87" s="151">
        <v>85.63636363636364</v>
      </c>
      <c r="K87" s="169">
        <v>-1.3703030303030204</v>
      </c>
      <c r="L87" s="151">
        <v>99.125</v>
      </c>
      <c r="M87" s="152">
        <v>-3.0798192771084274</v>
      </c>
      <c r="N87" s="153">
        <v>8</v>
      </c>
      <c r="O87" s="151">
        <v>81</v>
      </c>
      <c r="P87" s="152">
        <v>9.9999999999994316E-2</v>
      </c>
      <c r="Q87" s="153">
        <v>3</v>
      </c>
      <c r="R87" s="151">
        <v>94.181818181818187</v>
      </c>
      <c r="S87" s="169">
        <v>-1.0036656891495568</v>
      </c>
      <c r="T87" s="174">
        <v>-0.36663734115346358</v>
      </c>
    </row>
    <row r="88" spans="1:20" x14ac:dyDescent="0.3">
      <c r="A88" s="159">
        <v>35</v>
      </c>
      <c r="B88" s="118" t="s">
        <v>25</v>
      </c>
      <c r="C88" s="172" t="s">
        <v>43</v>
      </c>
      <c r="D88" s="151">
        <v>93</v>
      </c>
      <c r="E88" s="152">
        <v>-4.6621621621621614</v>
      </c>
      <c r="F88" s="153">
        <v>7</v>
      </c>
      <c r="G88" s="151">
        <v>87.714285714285708</v>
      </c>
      <c r="H88" s="152">
        <v>11.454011741682962</v>
      </c>
      <c r="I88" s="153">
        <v>7</v>
      </c>
      <c r="J88" s="151">
        <v>90.357142857142861</v>
      </c>
      <c r="K88" s="169">
        <v>3.3504761904762006</v>
      </c>
      <c r="L88" s="151">
        <v>102.57142857142857</v>
      </c>
      <c r="M88" s="152">
        <v>5.1155462184873954</v>
      </c>
      <c r="N88" s="153">
        <v>7</v>
      </c>
      <c r="O88" s="151">
        <v>72.428571428571431</v>
      </c>
      <c r="P88" s="152">
        <v>8.2892416225746501E-2</v>
      </c>
      <c r="Q88" s="153">
        <v>7</v>
      </c>
      <c r="R88" s="151">
        <v>87.5</v>
      </c>
      <c r="S88" s="169">
        <v>3.7266666666666737</v>
      </c>
      <c r="T88" s="174">
        <v>-0.37619047619047308</v>
      </c>
    </row>
    <row r="89" spans="1:20" x14ac:dyDescent="0.3">
      <c r="A89" s="159">
        <v>77</v>
      </c>
      <c r="B89" s="118" t="s">
        <v>48</v>
      </c>
      <c r="C89" s="172" t="s">
        <v>43</v>
      </c>
      <c r="D89" s="151">
        <v>99</v>
      </c>
      <c r="E89" s="152">
        <v>-4.8382352941176521</v>
      </c>
      <c r="F89" s="153">
        <v>6</v>
      </c>
      <c r="G89" s="151">
        <v>62.333333333333336</v>
      </c>
      <c r="H89" s="152">
        <v>-17.916666666666664</v>
      </c>
      <c r="I89" s="153">
        <v>3</v>
      </c>
      <c r="J89" s="151">
        <v>86.777777777777771</v>
      </c>
      <c r="K89" s="169">
        <v>-6.4077060931899723</v>
      </c>
      <c r="L89" s="151">
        <v>81.666666666666671</v>
      </c>
      <c r="M89" s="152">
        <v>-15.789215686274503</v>
      </c>
      <c r="N89" s="153">
        <v>3</v>
      </c>
      <c r="O89" s="151">
        <v>76.333333333333329</v>
      </c>
      <c r="P89" s="152">
        <v>3.9876543209876445</v>
      </c>
      <c r="Q89" s="153">
        <v>6</v>
      </c>
      <c r="R89" s="151">
        <v>78.111111111111114</v>
      </c>
      <c r="S89" s="169">
        <v>-5.6622222222222121</v>
      </c>
      <c r="T89" s="174">
        <v>-0.74548387096776025</v>
      </c>
    </row>
    <row r="90" spans="1:20" x14ac:dyDescent="0.3">
      <c r="A90" s="159">
        <v>32</v>
      </c>
      <c r="B90" s="118" t="s">
        <v>25</v>
      </c>
      <c r="C90" s="172" t="s">
        <v>26</v>
      </c>
      <c r="D90" s="151">
        <v>95.333333333333329</v>
      </c>
      <c r="E90" s="152">
        <v>-2.3288288288288328</v>
      </c>
      <c r="F90" s="153">
        <v>6</v>
      </c>
      <c r="G90" s="151">
        <v>67</v>
      </c>
      <c r="H90" s="152">
        <v>-9.2602739726027465</v>
      </c>
      <c r="I90" s="153">
        <v>5</v>
      </c>
      <c r="J90" s="151">
        <v>82.454545454545453</v>
      </c>
      <c r="K90" s="169">
        <v>-4.5521212121212073</v>
      </c>
      <c r="L90" s="151">
        <v>107.2</v>
      </c>
      <c r="M90" s="152">
        <v>5.8867469879518097</v>
      </c>
      <c r="N90" s="153">
        <v>5</v>
      </c>
      <c r="O90" s="151">
        <v>69</v>
      </c>
      <c r="P90" s="152">
        <v>-6.8333333333333286</v>
      </c>
      <c r="Q90" s="153">
        <v>6</v>
      </c>
      <c r="R90" s="151">
        <v>86.36363636363636</v>
      </c>
      <c r="S90" s="169">
        <v>-3.6896969696969677</v>
      </c>
      <c r="T90" s="174">
        <v>-0.86242424242423965</v>
      </c>
    </row>
    <row r="91" spans="1:20" x14ac:dyDescent="0.3">
      <c r="A91" s="159">
        <v>42</v>
      </c>
      <c r="B91" s="118" t="s">
        <v>25</v>
      </c>
      <c r="C91" s="172" t="s">
        <v>24</v>
      </c>
      <c r="D91" s="151">
        <v>97.888888888888886</v>
      </c>
      <c r="E91" s="152">
        <v>0.22672672672672434</v>
      </c>
      <c r="F91" s="153">
        <v>9</v>
      </c>
      <c r="G91" s="151">
        <v>79.5</v>
      </c>
      <c r="H91" s="152">
        <v>3.2397260273972535</v>
      </c>
      <c r="I91" s="153">
        <v>8</v>
      </c>
      <c r="J91" s="151">
        <v>89.235294117647058</v>
      </c>
      <c r="K91" s="169">
        <v>2.2286274509803974</v>
      </c>
      <c r="L91" s="151">
        <v>109.625</v>
      </c>
      <c r="M91" s="152">
        <v>6.3472222222222285</v>
      </c>
      <c r="N91" s="153">
        <v>8</v>
      </c>
      <c r="O91" s="151">
        <v>76.444444444444443</v>
      </c>
      <c r="P91" s="152">
        <v>1.4829059829059759</v>
      </c>
      <c r="Q91" s="153">
        <v>9</v>
      </c>
      <c r="R91" s="151">
        <v>92.058823529411768</v>
      </c>
      <c r="S91" s="169">
        <v>3.5054901960784406</v>
      </c>
      <c r="T91" s="174">
        <v>-1.2768627450980432</v>
      </c>
    </row>
    <row r="92" spans="1:20" x14ac:dyDescent="0.3">
      <c r="A92" s="159">
        <v>186</v>
      </c>
      <c r="B92" s="118" t="s">
        <v>28</v>
      </c>
      <c r="C92" s="172" t="s">
        <v>47</v>
      </c>
      <c r="D92" s="151">
        <v>104.66666666666667</v>
      </c>
      <c r="E92" s="152">
        <v>1.5087719298245617</v>
      </c>
      <c r="F92" s="153">
        <v>3</v>
      </c>
      <c r="G92" s="151">
        <v>75.400000000000006</v>
      </c>
      <c r="H92" s="152">
        <v>-2.5722222222222229</v>
      </c>
      <c r="I92" s="153">
        <v>5</v>
      </c>
      <c r="J92" s="151">
        <v>86.375</v>
      </c>
      <c r="K92" s="169">
        <v>-4.5849999999999937</v>
      </c>
      <c r="L92" s="151">
        <v>98.4</v>
      </c>
      <c r="M92" s="152">
        <v>-3.8048192771084217</v>
      </c>
      <c r="N92" s="153">
        <v>5</v>
      </c>
      <c r="O92" s="151">
        <v>82</v>
      </c>
      <c r="P92" s="152">
        <v>1.0999999999999943</v>
      </c>
      <c r="Q92" s="153">
        <v>3</v>
      </c>
      <c r="R92" s="151">
        <v>92.25</v>
      </c>
      <c r="S92" s="169">
        <v>-2.9354838709677438</v>
      </c>
      <c r="T92" s="174">
        <v>-1.64951612903225</v>
      </c>
    </row>
    <row r="93" spans="1:20" x14ac:dyDescent="0.3">
      <c r="A93" s="159">
        <v>188</v>
      </c>
      <c r="B93" s="118" t="s">
        <v>28</v>
      </c>
      <c r="C93" s="172" t="s">
        <v>48</v>
      </c>
      <c r="D93" s="151">
        <v>115</v>
      </c>
      <c r="E93" s="152">
        <v>11.84210526315789</v>
      </c>
      <c r="F93" s="153">
        <v>4</v>
      </c>
      <c r="G93" s="151">
        <v>81.333333333333329</v>
      </c>
      <c r="H93" s="152">
        <v>3.3611111111111001</v>
      </c>
      <c r="I93" s="153">
        <v>9</v>
      </c>
      <c r="J93" s="151">
        <v>91.692307692307693</v>
      </c>
      <c r="K93" s="169">
        <v>0.73230769230769965</v>
      </c>
      <c r="L93" s="151">
        <v>104.55555555555556</v>
      </c>
      <c r="M93" s="152">
        <v>0.71732026143790506</v>
      </c>
      <c r="N93" s="153">
        <v>9</v>
      </c>
      <c r="O93" s="151">
        <v>75.75</v>
      </c>
      <c r="P93" s="152">
        <v>-4.5</v>
      </c>
      <c r="Q93" s="153">
        <v>4</v>
      </c>
      <c r="R93" s="151">
        <v>95.692307692307693</v>
      </c>
      <c r="S93" s="169">
        <v>2.5068238213399496</v>
      </c>
      <c r="T93" s="174">
        <v>-1.77451612903225</v>
      </c>
    </row>
    <row r="94" spans="1:20" x14ac:dyDescent="0.3">
      <c r="A94" s="159">
        <v>145</v>
      </c>
      <c r="B94" s="118" t="s">
        <v>22</v>
      </c>
      <c r="C94" s="172" t="s">
        <v>26</v>
      </c>
      <c r="D94" s="151">
        <v>92.857142857142861</v>
      </c>
      <c r="E94" s="152">
        <v>-4.6095238095238074</v>
      </c>
      <c r="F94" s="153">
        <v>7</v>
      </c>
      <c r="G94" s="151">
        <v>79.142857142857139</v>
      </c>
      <c r="H94" s="152">
        <v>2.0979133226324223</v>
      </c>
      <c r="I94" s="153">
        <v>7</v>
      </c>
      <c r="J94" s="151">
        <v>86</v>
      </c>
      <c r="K94" s="169">
        <v>0.70000000000000284</v>
      </c>
      <c r="L94" s="151">
        <v>105.71428571428571</v>
      </c>
      <c r="M94" s="152">
        <v>4.4010327022375151</v>
      </c>
      <c r="N94" s="153">
        <v>7</v>
      </c>
      <c r="O94" s="151">
        <v>79.571428571428569</v>
      </c>
      <c r="P94" s="152">
        <v>3.7380952380952408</v>
      </c>
      <c r="Q94" s="153">
        <v>7</v>
      </c>
      <c r="R94" s="151">
        <v>92.642857142857139</v>
      </c>
      <c r="S94" s="169">
        <v>2.5895238095238113</v>
      </c>
      <c r="T94" s="174">
        <v>-1.8895238095238085</v>
      </c>
    </row>
    <row r="95" spans="1:20" x14ac:dyDescent="0.3">
      <c r="A95" s="159">
        <v>154</v>
      </c>
      <c r="B95" s="118" t="s">
        <v>22</v>
      </c>
      <c r="C95" s="172" t="s">
        <v>24</v>
      </c>
      <c r="D95" s="151">
        <v>97.857142857142861</v>
      </c>
      <c r="E95" s="152">
        <v>0.39047619047619264</v>
      </c>
      <c r="F95" s="153">
        <v>7</v>
      </c>
      <c r="G95" s="151">
        <v>74.666666666666671</v>
      </c>
      <c r="H95" s="152">
        <v>-2.3782771535580451</v>
      </c>
      <c r="I95" s="153">
        <v>6</v>
      </c>
      <c r="J95" s="151">
        <v>87.15384615384616</v>
      </c>
      <c r="K95" s="169">
        <v>1.8538461538461632</v>
      </c>
      <c r="L95" s="151">
        <v>114.16666666666667</v>
      </c>
      <c r="M95" s="152">
        <v>10.8888888888889</v>
      </c>
      <c r="N95" s="153">
        <v>6</v>
      </c>
      <c r="O95" s="151">
        <v>73.714285714285708</v>
      </c>
      <c r="P95" s="152">
        <v>-1.2472527472527588</v>
      </c>
      <c r="Q95" s="153">
        <v>7</v>
      </c>
      <c r="R95" s="151">
        <v>92.384615384615387</v>
      </c>
      <c r="S95" s="169">
        <v>3.8312820512820593</v>
      </c>
      <c r="T95" s="174">
        <v>-1.9774358974358961</v>
      </c>
    </row>
    <row r="96" spans="1:20" x14ac:dyDescent="0.3">
      <c r="A96" s="159">
        <v>61</v>
      </c>
      <c r="B96" s="118" t="s">
        <v>26</v>
      </c>
      <c r="C96" s="172" t="s">
        <v>48</v>
      </c>
      <c r="D96" s="151">
        <v>111.2</v>
      </c>
      <c r="E96" s="152">
        <v>9.8867469879518097</v>
      </c>
      <c r="F96" s="153">
        <v>5</v>
      </c>
      <c r="G96" s="151">
        <v>62.75</v>
      </c>
      <c r="H96" s="152">
        <v>-13.083333333333329</v>
      </c>
      <c r="I96" s="153">
        <v>4</v>
      </c>
      <c r="J96" s="151">
        <v>89.666666666666671</v>
      </c>
      <c r="K96" s="169">
        <v>-0.38666666666665606</v>
      </c>
      <c r="L96" s="151">
        <v>106</v>
      </c>
      <c r="M96" s="152">
        <v>2.1617647058823479</v>
      </c>
      <c r="N96" s="153">
        <v>4</v>
      </c>
      <c r="O96" s="151">
        <v>85.8</v>
      </c>
      <c r="P96" s="152">
        <v>5.5499999999999972</v>
      </c>
      <c r="Q96" s="153">
        <v>5</v>
      </c>
      <c r="R96" s="151">
        <v>94.777777777777771</v>
      </c>
      <c r="S96" s="169">
        <v>1.5922939068100277</v>
      </c>
      <c r="T96" s="174">
        <v>-1.9789605734766837</v>
      </c>
    </row>
    <row r="97" spans="1:20" x14ac:dyDescent="0.3">
      <c r="A97" s="159">
        <v>21</v>
      </c>
      <c r="B97" s="118" t="s">
        <v>227</v>
      </c>
      <c r="C97" s="172" t="s">
        <v>43</v>
      </c>
      <c r="D97" s="151">
        <v>86</v>
      </c>
      <c r="E97" s="152">
        <v>-13.733333333333334</v>
      </c>
      <c r="F97" s="153">
        <v>2</v>
      </c>
      <c r="G97" s="151">
        <v>70.5</v>
      </c>
      <c r="H97" s="152">
        <v>-8.8870967741935516</v>
      </c>
      <c r="I97" s="153">
        <v>2</v>
      </c>
      <c r="J97" s="151">
        <v>78.25</v>
      </c>
      <c r="K97" s="169">
        <v>-7.7717391304347814</v>
      </c>
      <c r="L97" s="151">
        <v>89.5</v>
      </c>
      <c r="M97" s="152">
        <v>-7.955882352941174</v>
      </c>
      <c r="N97" s="153">
        <v>2</v>
      </c>
      <c r="O97" s="151">
        <v>66.5</v>
      </c>
      <c r="P97" s="152">
        <v>-5.8456790123456841</v>
      </c>
      <c r="Q97" s="153">
        <v>2</v>
      </c>
      <c r="R97" s="151">
        <v>78</v>
      </c>
      <c r="S97" s="169">
        <v>-5.7733333333333263</v>
      </c>
      <c r="T97" s="174">
        <v>-1.9984057971014551</v>
      </c>
    </row>
    <row r="98" spans="1:20" x14ac:dyDescent="0.3">
      <c r="A98" s="159">
        <v>153</v>
      </c>
      <c r="B98" s="118" t="s">
        <v>22</v>
      </c>
      <c r="C98" s="172" t="s">
        <v>28</v>
      </c>
      <c r="D98" s="151">
        <v>95.8</v>
      </c>
      <c r="E98" s="152">
        <v>-1.6666666666666714</v>
      </c>
      <c r="F98" s="153">
        <v>5</v>
      </c>
      <c r="G98" s="151">
        <v>80.5</v>
      </c>
      <c r="H98" s="152">
        <v>3.4550561797752835</v>
      </c>
      <c r="I98" s="153">
        <v>8</v>
      </c>
      <c r="J98" s="151">
        <v>86.384615384615387</v>
      </c>
      <c r="K98" s="169">
        <v>1.0846153846153896</v>
      </c>
      <c r="L98" s="151">
        <v>104.5</v>
      </c>
      <c r="M98" s="152">
        <v>1.3421052631578902</v>
      </c>
      <c r="N98" s="153">
        <v>8</v>
      </c>
      <c r="O98" s="151">
        <v>77.599999999999994</v>
      </c>
      <c r="P98" s="152">
        <v>-0.37222222222223422</v>
      </c>
      <c r="Q98" s="153">
        <v>5</v>
      </c>
      <c r="R98" s="151">
        <v>94.15384615384616</v>
      </c>
      <c r="S98" s="169">
        <v>3.1938461538461667</v>
      </c>
      <c r="T98" s="174">
        <v>-2.109230769230777</v>
      </c>
    </row>
    <row r="99" spans="1:20" x14ac:dyDescent="0.3">
      <c r="A99" s="159">
        <v>3</v>
      </c>
      <c r="B99" s="118" t="s">
        <v>27</v>
      </c>
      <c r="C99" s="172" t="s">
        <v>47</v>
      </c>
      <c r="D99" s="151">
        <v>82</v>
      </c>
      <c r="E99" s="152">
        <v>-13.489361702127653</v>
      </c>
      <c r="F99" s="153">
        <v>1</v>
      </c>
      <c r="G99" s="151">
        <v>72.400000000000006</v>
      </c>
      <c r="H99" s="152">
        <v>2.4350877192982523</v>
      </c>
      <c r="I99" s="153">
        <v>5</v>
      </c>
      <c r="J99" s="151">
        <v>74</v>
      </c>
      <c r="K99" s="169">
        <v>-7.5</v>
      </c>
      <c r="L99" s="151">
        <v>92</v>
      </c>
      <c r="M99" s="152">
        <v>-10.204819277108427</v>
      </c>
      <c r="N99" s="153">
        <v>5</v>
      </c>
      <c r="O99" s="151">
        <v>79</v>
      </c>
      <c r="P99" s="152">
        <v>-1.9000000000000057</v>
      </c>
      <c r="Q99" s="153">
        <v>1</v>
      </c>
      <c r="R99" s="151">
        <v>89.833333333333329</v>
      </c>
      <c r="S99" s="169">
        <v>-5.3521505376344152</v>
      </c>
      <c r="T99" s="174">
        <v>-2.1478494623655848</v>
      </c>
    </row>
    <row r="100" spans="1:20" x14ac:dyDescent="0.3">
      <c r="A100" s="159">
        <v>158</v>
      </c>
      <c r="B100" s="118" t="s">
        <v>30</v>
      </c>
      <c r="C100" s="172" t="s">
        <v>47</v>
      </c>
      <c r="D100" s="151">
        <v>101.8</v>
      </c>
      <c r="E100" s="152">
        <v>2.0318840579710127</v>
      </c>
      <c r="F100" s="153">
        <v>5</v>
      </c>
      <c r="G100" s="151">
        <v>77.909090909090907</v>
      </c>
      <c r="H100" s="152">
        <v>-1.4409090909090878</v>
      </c>
      <c r="I100" s="153">
        <v>11</v>
      </c>
      <c r="J100" s="151">
        <v>85.375</v>
      </c>
      <c r="K100" s="169">
        <v>-3.3783333333333303</v>
      </c>
      <c r="L100" s="151">
        <v>98.63636363636364</v>
      </c>
      <c r="M100" s="152">
        <v>-3.5684556407447872</v>
      </c>
      <c r="N100" s="153">
        <v>11</v>
      </c>
      <c r="O100" s="151">
        <v>85.2</v>
      </c>
      <c r="P100" s="152">
        <v>4.2999999999999972</v>
      </c>
      <c r="Q100" s="153">
        <v>5</v>
      </c>
      <c r="R100" s="151">
        <v>94.4375</v>
      </c>
      <c r="S100" s="169">
        <v>-0.74798387096774377</v>
      </c>
      <c r="T100" s="174">
        <v>-2.6303494623655865</v>
      </c>
    </row>
    <row r="101" spans="1:20" x14ac:dyDescent="0.3">
      <c r="A101" s="159">
        <v>76</v>
      </c>
      <c r="B101" s="118" t="s">
        <v>48</v>
      </c>
      <c r="C101" s="172" t="s">
        <v>29</v>
      </c>
      <c r="D101" s="151">
        <v>92</v>
      </c>
      <c r="E101" s="152">
        <v>-11.838235294117652</v>
      </c>
      <c r="F101" s="153">
        <v>6</v>
      </c>
      <c r="G101" s="151">
        <v>87.428571428571431</v>
      </c>
      <c r="H101" s="152">
        <v>7.1785714285714306</v>
      </c>
      <c r="I101" s="153">
        <v>7</v>
      </c>
      <c r="J101" s="151">
        <v>89.538461538461533</v>
      </c>
      <c r="K101" s="169">
        <v>-3.6470223325062108</v>
      </c>
      <c r="L101" s="151">
        <v>104.28571428571429</v>
      </c>
      <c r="M101" s="152">
        <v>6.4124748490945791</v>
      </c>
      <c r="N101" s="153">
        <v>7</v>
      </c>
      <c r="O101" s="151">
        <v>63.666666666666664</v>
      </c>
      <c r="P101" s="152">
        <v>-11.756410256410255</v>
      </c>
      <c r="Q101" s="153">
        <v>6</v>
      </c>
      <c r="R101" s="151">
        <v>85.538461538461533</v>
      </c>
      <c r="S101" s="169">
        <v>-0.60820512820512818</v>
      </c>
      <c r="T101" s="174">
        <v>-3.0388172043010826</v>
      </c>
    </row>
    <row r="102" spans="1:20" x14ac:dyDescent="0.3">
      <c r="A102" s="159">
        <v>159</v>
      </c>
      <c r="B102" s="118" t="s">
        <v>30</v>
      </c>
      <c r="C102" s="172" t="s">
        <v>26</v>
      </c>
      <c r="D102" s="151">
        <v>106.6</v>
      </c>
      <c r="E102" s="152">
        <v>6.8318840579710098</v>
      </c>
      <c r="F102" s="153">
        <v>5</v>
      </c>
      <c r="G102" s="151">
        <v>76.444444444444443</v>
      </c>
      <c r="H102" s="152">
        <v>-2.9055555555555515</v>
      </c>
      <c r="I102" s="153">
        <v>9</v>
      </c>
      <c r="J102" s="151">
        <v>87.214285714285708</v>
      </c>
      <c r="K102" s="169">
        <v>-1.5390476190476221</v>
      </c>
      <c r="L102" s="151">
        <v>98</v>
      </c>
      <c r="M102" s="152">
        <v>-3.3132530120481931</v>
      </c>
      <c r="N102" s="153">
        <v>9</v>
      </c>
      <c r="O102" s="151">
        <v>80.2</v>
      </c>
      <c r="P102" s="152">
        <v>4.3666666666666742</v>
      </c>
      <c r="Q102" s="153">
        <v>5</v>
      </c>
      <c r="R102" s="151">
        <v>91.642857142857139</v>
      </c>
      <c r="S102" s="169">
        <v>1.5895238095238113</v>
      </c>
      <c r="T102" s="174">
        <v>-3.1285714285714334</v>
      </c>
    </row>
    <row r="103" spans="1:20" x14ac:dyDescent="0.3">
      <c r="A103" s="159">
        <v>74</v>
      </c>
      <c r="B103" s="118" t="s">
        <v>48</v>
      </c>
      <c r="C103" s="172" t="s">
        <v>47</v>
      </c>
      <c r="D103" s="151">
        <v>102.8</v>
      </c>
      <c r="E103" s="152">
        <v>-1.0382352941176549</v>
      </c>
      <c r="F103" s="153">
        <v>5</v>
      </c>
      <c r="G103" s="151">
        <v>79.714285714285708</v>
      </c>
      <c r="H103" s="152">
        <v>-0.5357142857142918</v>
      </c>
      <c r="I103" s="153">
        <v>7</v>
      </c>
      <c r="J103" s="151">
        <v>89.333333333333329</v>
      </c>
      <c r="K103" s="169">
        <v>-3.8521505376344152</v>
      </c>
      <c r="L103" s="151">
        <v>102.85714285714286</v>
      </c>
      <c r="M103" s="152">
        <v>0.6523235800344338</v>
      </c>
      <c r="N103" s="153">
        <v>7</v>
      </c>
      <c r="O103" s="151">
        <v>82.8</v>
      </c>
      <c r="P103" s="152">
        <v>1.8999999999999915</v>
      </c>
      <c r="Q103" s="153">
        <v>5</v>
      </c>
      <c r="R103" s="151">
        <v>94.5</v>
      </c>
      <c r="S103" s="169">
        <v>-0.68548387096774377</v>
      </c>
      <c r="T103" s="174">
        <v>-3.1666666666666714</v>
      </c>
    </row>
    <row r="104" spans="1:20" x14ac:dyDescent="0.3">
      <c r="A104" s="159">
        <v>29</v>
      </c>
      <c r="B104" s="118" t="s">
        <v>25</v>
      </c>
      <c r="C104" s="172" t="s">
        <v>27</v>
      </c>
      <c r="D104" s="151">
        <v>93.333333333333329</v>
      </c>
      <c r="E104" s="152">
        <v>-4.3288288288288328</v>
      </c>
      <c r="F104" s="153">
        <v>6</v>
      </c>
      <c r="G104" s="151">
        <v>68.333333333333329</v>
      </c>
      <c r="H104" s="152">
        <v>-7.9269406392694179</v>
      </c>
      <c r="I104" s="153">
        <v>3</v>
      </c>
      <c r="J104" s="151">
        <v>85</v>
      </c>
      <c r="K104" s="169">
        <v>-2.0066666666666606</v>
      </c>
      <c r="L104" s="151">
        <v>111</v>
      </c>
      <c r="M104" s="152">
        <v>15.510638297872347</v>
      </c>
      <c r="N104" s="153">
        <v>3</v>
      </c>
      <c r="O104" s="151">
        <v>68.666666666666671</v>
      </c>
      <c r="P104" s="152">
        <v>-1.298245614035082</v>
      </c>
      <c r="Q104" s="153">
        <v>6</v>
      </c>
      <c r="R104" s="151">
        <v>82.777777777777771</v>
      </c>
      <c r="S104" s="169">
        <v>1.2777777777777715</v>
      </c>
      <c r="T104" s="174">
        <v>-3.2844444444444321</v>
      </c>
    </row>
    <row r="105" spans="1:20" x14ac:dyDescent="0.3">
      <c r="A105" s="159">
        <v>171</v>
      </c>
      <c r="B105" s="118" t="s">
        <v>23</v>
      </c>
      <c r="C105" s="172" t="s">
        <v>25</v>
      </c>
      <c r="D105" s="151">
        <v>98.142857142857139</v>
      </c>
      <c r="E105" s="152">
        <v>-4.2738095238095326</v>
      </c>
      <c r="F105" s="153">
        <v>7</v>
      </c>
      <c r="G105" s="151">
        <v>80</v>
      </c>
      <c r="H105" s="152">
        <v>2.4000000000000057</v>
      </c>
      <c r="I105" s="153">
        <v>6</v>
      </c>
      <c r="J105" s="151">
        <v>89.769230769230774</v>
      </c>
      <c r="K105" s="169">
        <v>-1.9374358974358898</v>
      </c>
      <c r="L105" s="151">
        <v>98.166666666666671</v>
      </c>
      <c r="M105" s="152">
        <v>0.50450450450451001</v>
      </c>
      <c r="N105" s="153">
        <v>6</v>
      </c>
      <c r="O105" s="151">
        <v>80</v>
      </c>
      <c r="P105" s="152">
        <v>3.7397260273972535</v>
      </c>
      <c r="Q105" s="153">
        <v>7</v>
      </c>
      <c r="R105" s="151">
        <v>88.384615384615387</v>
      </c>
      <c r="S105" s="169">
        <v>1.3779487179487262</v>
      </c>
      <c r="T105" s="174">
        <v>-3.315384615384616</v>
      </c>
    </row>
    <row r="106" spans="1:20" x14ac:dyDescent="0.3">
      <c r="A106" s="159">
        <v>208</v>
      </c>
      <c r="B106" s="118" t="s">
        <v>24</v>
      </c>
      <c r="C106" s="172" t="s">
        <v>30</v>
      </c>
      <c r="D106" s="151">
        <v>98.333333333333329</v>
      </c>
      <c r="E106" s="152">
        <v>-4.9444444444444429</v>
      </c>
      <c r="F106" s="153">
        <v>6</v>
      </c>
      <c r="G106" s="151">
        <v>65</v>
      </c>
      <c r="H106" s="152">
        <v>-9.961538461538467</v>
      </c>
      <c r="I106" s="153">
        <v>5</v>
      </c>
      <c r="J106" s="151">
        <v>83.181818181818187</v>
      </c>
      <c r="K106" s="169">
        <v>-5.3715151515151405</v>
      </c>
      <c r="L106" s="151">
        <v>97</v>
      </c>
      <c r="M106" s="152">
        <v>-2.7681159420289845</v>
      </c>
      <c r="N106" s="153">
        <v>5</v>
      </c>
      <c r="O106" s="151">
        <v>79.166666666666671</v>
      </c>
      <c r="P106" s="152">
        <v>-0.18333333333332291</v>
      </c>
      <c r="Q106" s="153">
        <v>6</v>
      </c>
      <c r="R106" s="151">
        <v>87.272727272727266</v>
      </c>
      <c r="S106" s="169">
        <v>-1.480606060606064</v>
      </c>
      <c r="T106" s="174">
        <v>-3.8909090909090764</v>
      </c>
    </row>
    <row r="107" spans="1:20" x14ac:dyDescent="0.3">
      <c r="A107" s="159">
        <v>176</v>
      </c>
      <c r="B107" s="118" t="s">
        <v>23</v>
      </c>
      <c r="C107" s="172" t="s">
        <v>43</v>
      </c>
      <c r="D107" s="151">
        <v>87.25</v>
      </c>
      <c r="E107" s="152">
        <v>-15.166666666666671</v>
      </c>
      <c r="F107" s="153">
        <v>8</v>
      </c>
      <c r="G107" s="151">
        <v>81.75</v>
      </c>
      <c r="H107" s="152">
        <v>4.1500000000000057</v>
      </c>
      <c r="I107" s="153">
        <v>4</v>
      </c>
      <c r="J107" s="151">
        <v>85.416666666666671</v>
      </c>
      <c r="K107" s="169">
        <v>-6.289999999999992</v>
      </c>
      <c r="L107" s="151">
        <v>106.75</v>
      </c>
      <c r="M107" s="152">
        <v>9.294117647058826</v>
      </c>
      <c r="N107" s="153">
        <v>4</v>
      </c>
      <c r="O107" s="151">
        <v>68.875</v>
      </c>
      <c r="P107" s="152">
        <v>-3.4706790123456841</v>
      </c>
      <c r="Q107" s="153">
        <v>8</v>
      </c>
      <c r="R107" s="151">
        <v>81.5</v>
      </c>
      <c r="S107" s="169">
        <v>-2.2733333333333263</v>
      </c>
      <c r="T107" s="174">
        <v>-4.0166666666666657</v>
      </c>
    </row>
    <row r="108" spans="1:20" x14ac:dyDescent="0.3">
      <c r="A108" s="159">
        <v>210</v>
      </c>
      <c r="B108" s="118" t="s">
        <v>24</v>
      </c>
      <c r="C108" s="172" t="s">
        <v>28</v>
      </c>
      <c r="D108" s="151">
        <v>85</v>
      </c>
      <c r="E108" s="152">
        <v>-18.277777777777771</v>
      </c>
      <c r="F108" s="153">
        <v>5</v>
      </c>
      <c r="G108" s="151">
        <v>80.5</v>
      </c>
      <c r="H108" s="152">
        <v>5.538461538461533</v>
      </c>
      <c r="I108" s="153">
        <v>10</v>
      </c>
      <c r="J108" s="151">
        <v>82</v>
      </c>
      <c r="K108" s="169">
        <v>-6.5533333333333275</v>
      </c>
      <c r="L108" s="151">
        <v>100.8</v>
      </c>
      <c r="M108" s="152">
        <v>-2.3578947368421126</v>
      </c>
      <c r="N108" s="153">
        <v>10</v>
      </c>
      <c r="O108" s="151">
        <v>63.8</v>
      </c>
      <c r="P108" s="152">
        <v>-14.172222222222231</v>
      </c>
      <c r="Q108" s="153">
        <v>5</v>
      </c>
      <c r="R108" s="151">
        <v>88.466666666666669</v>
      </c>
      <c r="S108" s="169">
        <v>-2.4933333333333252</v>
      </c>
      <c r="T108" s="174">
        <v>-4.0600000000000023</v>
      </c>
    </row>
    <row r="109" spans="1:20" x14ac:dyDescent="0.3">
      <c r="A109" s="159">
        <v>155</v>
      </c>
      <c r="B109" s="118" t="s">
        <v>30</v>
      </c>
      <c r="C109" s="172" t="s">
        <v>27</v>
      </c>
      <c r="D109" s="151">
        <v>91.333333333333329</v>
      </c>
      <c r="E109" s="152">
        <v>-8.4347826086956559</v>
      </c>
      <c r="F109" s="153">
        <v>9</v>
      </c>
      <c r="G109" s="151">
        <v>82.4</v>
      </c>
      <c r="H109" s="152">
        <v>3.0500000000000114</v>
      </c>
      <c r="I109" s="153">
        <v>5</v>
      </c>
      <c r="J109" s="151">
        <v>88.142857142857139</v>
      </c>
      <c r="K109" s="169">
        <v>-0.6104761904761915</v>
      </c>
      <c r="L109" s="151">
        <v>98.8</v>
      </c>
      <c r="M109" s="152">
        <v>3.3106382978723445</v>
      </c>
      <c r="N109" s="153">
        <v>5</v>
      </c>
      <c r="O109" s="151">
        <v>77.333333333333329</v>
      </c>
      <c r="P109" s="152">
        <v>7.3684210526315752</v>
      </c>
      <c r="Q109" s="153">
        <v>9</v>
      </c>
      <c r="R109" s="151">
        <v>85</v>
      </c>
      <c r="S109" s="169">
        <v>3.5</v>
      </c>
      <c r="T109" s="174">
        <v>-4.1104761904761915</v>
      </c>
    </row>
    <row r="110" spans="1:20" x14ac:dyDescent="0.3">
      <c r="A110" s="159">
        <v>209</v>
      </c>
      <c r="B110" s="118" t="s">
        <v>24</v>
      </c>
      <c r="C110" s="172" t="s">
        <v>23</v>
      </c>
      <c r="D110" s="151">
        <v>101.88888888888889</v>
      </c>
      <c r="E110" s="152">
        <v>-1.3888888888888857</v>
      </c>
      <c r="F110" s="153">
        <v>9</v>
      </c>
      <c r="G110" s="151">
        <v>67.909090909090907</v>
      </c>
      <c r="H110" s="152">
        <v>-7.0524475524475605</v>
      </c>
      <c r="I110" s="153">
        <v>11</v>
      </c>
      <c r="J110" s="151">
        <v>83.2</v>
      </c>
      <c r="K110" s="169">
        <v>-5.3533333333333246</v>
      </c>
      <c r="L110" s="151">
        <v>97.36363636363636</v>
      </c>
      <c r="M110" s="152">
        <v>-5.0530303030303116</v>
      </c>
      <c r="N110" s="153">
        <v>11</v>
      </c>
      <c r="O110" s="151">
        <v>82.111111111111114</v>
      </c>
      <c r="P110" s="152">
        <v>4.51111111111112</v>
      </c>
      <c r="Q110" s="153">
        <v>9</v>
      </c>
      <c r="R110" s="151">
        <v>90.5</v>
      </c>
      <c r="S110" s="169">
        <v>-1.2066666666666634</v>
      </c>
      <c r="T110" s="174">
        <v>-4.1466666666666612</v>
      </c>
    </row>
    <row r="111" spans="1:20" x14ac:dyDescent="0.3">
      <c r="A111" s="159">
        <v>24</v>
      </c>
      <c r="B111" s="118" t="s">
        <v>227</v>
      </c>
      <c r="C111" s="172" t="s">
        <v>22</v>
      </c>
      <c r="D111" s="151">
        <v>115.33333333333333</v>
      </c>
      <c r="E111" s="152">
        <v>15.599999999999994</v>
      </c>
      <c r="F111" s="153">
        <v>3</v>
      </c>
      <c r="G111" s="151">
        <v>74</v>
      </c>
      <c r="H111" s="152">
        <v>-5.3870967741935516</v>
      </c>
      <c r="I111" s="153">
        <v>4</v>
      </c>
      <c r="J111" s="151">
        <v>91.714285714285708</v>
      </c>
      <c r="K111" s="169">
        <v>5.6925465838509268</v>
      </c>
      <c r="L111" s="151">
        <v>104.25</v>
      </c>
      <c r="M111" s="152">
        <v>6.7833333333333314</v>
      </c>
      <c r="N111" s="153">
        <v>4</v>
      </c>
      <c r="O111" s="151">
        <v>83.333333333333329</v>
      </c>
      <c r="P111" s="152">
        <v>6.2883895131086121</v>
      </c>
      <c r="Q111" s="153">
        <v>3</v>
      </c>
      <c r="R111" s="151">
        <v>95.285714285714292</v>
      </c>
      <c r="S111" s="169">
        <v>9.9857142857142946</v>
      </c>
      <c r="T111" s="174">
        <v>-4.2931677018633678</v>
      </c>
    </row>
    <row r="112" spans="1:20" x14ac:dyDescent="0.3">
      <c r="A112" s="159">
        <v>72</v>
      </c>
      <c r="B112" s="118" t="s">
        <v>48</v>
      </c>
      <c r="C112" s="172" t="s">
        <v>227</v>
      </c>
      <c r="D112" s="151">
        <v>105</v>
      </c>
      <c r="E112" s="152">
        <v>1.1617647058823479</v>
      </c>
      <c r="F112" s="153">
        <v>3</v>
      </c>
      <c r="G112" s="151">
        <v>77</v>
      </c>
      <c r="H112" s="152">
        <v>-3.25</v>
      </c>
      <c r="I112" s="153">
        <v>1</v>
      </c>
      <c r="J112" s="151">
        <v>98</v>
      </c>
      <c r="K112" s="169">
        <v>4.8145161290322562</v>
      </c>
      <c r="L112" s="151">
        <v>120</v>
      </c>
      <c r="M112" s="152">
        <v>20.266666666666666</v>
      </c>
      <c r="N112" s="153">
        <v>1</v>
      </c>
      <c r="O112" s="151">
        <v>87</v>
      </c>
      <c r="P112" s="152">
        <v>7.6129032258064484</v>
      </c>
      <c r="Q112" s="153">
        <v>3</v>
      </c>
      <c r="R112" s="151">
        <v>95.25</v>
      </c>
      <c r="S112" s="169">
        <v>9.2282608695652186</v>
      </c>
      <c r="T112" s="174">
        <v>-4.4137447405329624</v>
      </c>
    </row>
    <row r="113" spans="1:20" x14ac:dyDescent="0.3">
      <c r="A113" s="159">
        <v>152</v>
      </c>
      <c r="B113" s="118" t="s">
        <v>22</v>
      </c>
      <c r="C113" s="172" t="s">
        <v>23</v>
      </c>
      <c r="D113" s="151">
        <v>108.6</v>
      </c>
      <c r="E113" s="152">
        <v>11.133333333333326</v>
      </c>
      <c r="F113" s="153">
        <v>5</v>
      </c>
      <c r="G113" s="151">
        <v>77.555555555555557</v>
      </c>
      <c r="H113" s="152">
        <v>0.51061173533084059</v>
      </c>
      <c r="I113" s="153">
        <v>9</v>
      </c>
      <c r="J113" s="151">
        <v>88.642857142857139</v>
      </c>
      <c r="K113" s="169">
        <v>3.3428571428571416</v>
      </c>
      <c r="L113" s="151">
        <v>110.66666666666667</v>
      </c>
      <c r="M113" s="152">
        <v>8.25</v>
      </c>
      <c r="N113" s="153">
        <v>9</v>
      </c>
      <c r="O113" s="151">
        <v>80</v>
      </c>
      <c r="P113" s="152">
        <v>2.4000000000000057</v>
      </c>
      <c r="Q113" s="153">
        <v>5</v>
      </c>
      <c r="R113" s="151">
        <v>99.714285714285708</v>
      </c>
      <c r="S113" s="169">
        <v>8.0076190476190447</v>
      </c>
      <c r="T113" s="174">
        <v>-4.6647619047619031</v>
      </c>
    </row>
    <row r="114" spans="1:20" x14ac:dyDescent="0.3">
      <c r="A114" s="159">
        <v>68</v>
      </c>
      <c r="B114" s="118" t="s">
        <v>26</v>
      </c>
      <c r="C114" s="172" t="s">
        <v>23</v>
      </c>
      <c r="D114" s="151">
        <v>91.75</v>
      </c>
      <c r="E114" s="152">
        <v>-9.5632530120481931</v>
      </c>
      <c r="F114" s="153">
        <v>8</v>
      </c>
      <c r="G114" s="151">
        <v>73.599999999999994</v>
      </c>
      <c r="H114" s="152">
        <v>-2.2333333333333343</v>
      </c>
      <c r="I114" s="153">
        <v>5</v>
      </c>
      <c r="J114" s="151">
        <v>84.769230769230774</v>
      </c>
      <c r="K114" s="169">
        <v>-5.2841025641025539</v>
      </c>
      <c r="L114" s="151">
        <v>108</v>
      </c>
      <c r="M114" s="152">
        <v>5.5833333333333286</v>
      </c>
      <c r="N114" s="153">
        <v>5</v>
      </c>
      <c r="O114" s="151">
        <v>80.625</v>
      </c>
      <c r="P114" s="152">
        <v>3.0250000000000057</v>
      </c>
      <c r="Q114" s="153">
        <v>8</v>
      </c>
      <c r="R114" s="151">
        <v>91.15384615384616</v>
      </c>
      <c r="S114" s="169">
        <v>-0.55282051282050304</v>
      </c>
      <c r="T114" s="174">
        <v>-4.7312820512820508</v>
      </c>
    </row>
    <row r="115" spans="1:20" x14ac:dyDescent="0.3">
      <c r="A115" s="159">
        <v>81</v>
      </c>
      <c r="B115" s="118" t="s">
        <v>48</v>
      </c>
      <c r="C115" s="172" t="s">
        <v>30</v>
      </c>
      <c r="D115" s="151">
        <v>104.25</v>
      </c>
      <c r="E115" s="152">
        <v>0.41176470588234793</v>
      </c>
      <c r="F115" s="153">
        <v>4</v>
      </c>
      <c r="G115" s="151">
        <v>85.333333333333329</v>
      </c>
      <c r="H115" s="152">
        <v>5.0833333333333286</v>
      </c>
      <c r="I115" s="153">
        <v>6</v>
      </c>
      <c r="J115" s="151">
        <v>92.9</v>
      </c>
      <c r="K115" s="169">
        <v>-0.28548387096773808</v>
      </c>
      <c r="L115" s="151">
        <v>98.833333333333329</v>
      </c>
      <c r="M115" s="152">
        <v>-0.93478260869565588</v>
      </c>
      <c r="N115" s="153">
        <v>6</v>
      </c>
      <c r="O115" s="151">
        <v>84.75</v>
      </c>
      <c r="P115" s="152">
        <v>5.4000000000000057</v>
      </c>
      <c r="Q115" s="153">
        <v>4</v>
      </c>
      <c r="R115" s="151">
        <v>93.2</v>
      </c>
      <c r="S115" s="169">
        <v>4.4466666666666725</v>
      </c>
      <c r="T115" s="174">
        <v>-4.7321505376344106</v>
      </c>
    </row>
    <row r="116" spans="1:20" x14ac:dyDescent="0.3">
      <c r="A116" s="159">
        <v>102</v>
      </c>
      <c r="B116" s="118" t="s">
        <v>43</v>
      </c>
      <c r="C116" s="172" t="s">
        <v>47</v>
      </c>
      <c r="D116" s="151">
        <v>85</v>
      </c>
      <c r="E116" s="152">
        <v>-12.455882352941174</v>
      </c>
      <c r="F116" s="153">
        <v>3</v>
      </c>
      <c r="G116" s="151">
        <v>77</v>
      </c>
      <c r="H116" s="152">
        <v>4.6543209876543159</v>
      </c>
      <c r="I116" s="153">
        <v>8</v>
      </c>
      <c r="J116" s="151">
        <v>79.181818181818187</v>
      </c>
      <c r="K116" s="169">
        <v>-4.5915151515151393</v>
      </c>
      <c r="L116" s="151">
        <v>105.25</v>
      </c>
      <c r="M116" s="152">
        <v>3.0451807228915726</v>
      </c>
      <c r="N116" s="153">
        <v>8</v>
      </c>
      <c r="O116" s="151">
        <v>70</v>
      </c>
      <c r="P116" s="152">
        <v>-10.900000000000006</v>
      </c>
      <c r="Q116" s="153">
        <v>3</v>
      </c>
      <c r="R116" s="151">
        <v>95.63636363636364</v>
      </c>
      <c r="S116" s="169">
        <v>0.45087976539589647</v>
      </c>
      <c r="T116" s="174">
        <v>-5.0423949169110358</v>
      </c>
    </row>
    <row r="117" spans="1:20" x14ac:dyDescent="0.3">
      <c r="A117" s="159">
        <v>46</v>
      </c>
      <c r="B117" s="118" t="s">
        <v>47</v>
      </c>
      <c r="C117" s="172" t="s">
        <v>26</v>
      </c>
      <c r="D117" s="151">
        <v>98.666666666666671</v>
      </c>
      <c r="E117" s="152">
        <v>-3.538152610441756</v>
      </c>
      <c r="F117" s="153">
        <v>6</v>
      </c>
      <c r="G117" s="151">
        <v>83</v>
      </c>
      <c r="H117" s="152">
        <v>2.0999999999999943</v>
      </c>
      <c r="I117" s="153">
        <v>6</v>
      </c>
      <c r="J117" s="151">
        <v>90.833333333333329</v>
      </c>
      <c r="K117" s="169">
        <v>-4.3521505376344152</v>
      </c>
      <c r="L117" s="151">
        <v>98.333333333333329</v>
      </c>
      <c r="M117" s="152">
        <v>-2.9799196787148645</v>
      </c>
      <c r="N117" s="153">
        <v>6</v>
      </c>
      <c r="O117" s="151">
        <v>83.5</v>
      </c>
      <c r="P117" s="152">
        <v>7.6666666666666714</v>
      </c>
      <c r="Q117" s="153">
        <v>6</v>
      </c>
      <c r="R117" s="151">
        <v>90.916666666666671</v>
      </c>
      <c r="S117" s="169">
        <v>0.86333333333334394</v>
      </c>
      <c r="T117" s="174">
        <v>-5.2154838709677591</v>
      </c>
    </row>
    <row r="118" spans="1:20" x14ac:dyDescent="0.3">
      <c r="A118" s="159">
        <v>174</v>
      </c>
      <c r="B118" s="118" t="s">
        <v>23</v>
      </c>
      <c r="C118" s="172" t="s">
        <v>48</v>
      </c>
      <c r="D118" s="151">
        <v>113</v>
      </c>
      <c r="E118" s="152">
        <v>10.583333333333329</v>
      </c>
      <c r="F118" s="153">
        <v>5</v>
      </c>
      <c r="G118" s="151">
        <v>69</v>
      </c>
      <c r="H118" s="152">
        <v>-8.5999999999999943</v>
      </c>
      <c r="I118" s="153">
        <v>7</v>
      </c>
      <c r="J118" s="151">
        <v>87.333333333333329</v>
      </c>
      <c r="K118" s="169">
        <v>-4.3733333333333348</v>
      </c>
      <c r="L118" s="151">
        <v>97.714285714285708</v>
      </c>
      <c r="M118" s="152">
        <v>-6.1239495798319439</v>
      </c>
      <c r="N118" s="153">
        <v>7</v>
      </c>
      <c r="O118" s="151">
        <v>89</v>
      </c>
      <c r="P118" s="152">
        <v>8.75</v>
      </c>
      <c r="Q118" s="153">
        <v>5</v>
      </c>
      <c r="R118" s="151">
        <v>94.083333333333329</v>
      </c>
      <c r="S118" s="169">
        <v>0.89784946236558483</v>
      </c>
      <c r="T118" s="174">
        <v>-5.2711827956989197</v>
      </c>
    </row>
    <row r="119" spans="1:20" x14ac:dyDescent="0.3">
      <c r="A119" s="159">
        <v>97</v>
      </c>
      <c r="B119" s="118" t="s">
        <v>29</v>
      </c>
      <c r="C119" s="172" t="s">
        <v>28</v>
      </c>
      <c r="D119" s="151">
        <v>81.166666666666671</v>
      </c>
      <c r="E119" s="152">
        <v>-16.706572769953041</v>
      </c>
      <c r="F119" s="153">
        <v>6</v>
      </c>
      <c r="G119" s="151">
        <v>82.63636363636364</v>
      </c>
      <c r="H119" s="152">
        <v>7.2132867132867204</v>
      </c>
      <c r="I119" s="153">
        <v>11</v>
      </c>
      <c r="J119" s="151">
        <v>82.117647058823536</v>
      </c>
      <c r="K119" s="169">
        <v>-4.0290196078431251</v>
      </c>
      <c r="L119" s="151">
        <v>101.63636363636364</v>
      </c>
      <c r="M119" s="152">
        <v>-1.5215311004784695</v>
      </c>
      <c r="N119" s="153">
        <v>11</v>
      </c>
      <c r="O119" s="151">
        <v>76.5</v>
      </c>
      <c r="P119" s="152">
        <v>-1.4722222222222285</v>
      </c>
      <c r="Q119" s="153">
        <v>6</v>
      </c>
      <c r="R119" s="151">
        <v>92.764705882352942</v>
      </c>
      <c r="S119" s="169">
        <v>1.8047058823529483</v>
      </c>
      <c r="T119" s="174">
        <v>-5.8337254901960733</v>
      </c>
    </row>
    <row r="120" spans="1:20" x14ac:dyDescent="0.3">
      <c r="A120" s="159">
        <v>169</v>
      </c>
      <c r="B120" s="118" t="s">
        <v>23</v>
      </c>
      <c r="C120" s="172" t="s">
        <v>27</v>
      </c>
      <c r="D120" s="151">
        <v>101.85714285714286</v>
      </c>
      <c r="E120" s="152">
        <v>-0.5595238095238102</v>
      </c>
      <c r="F120" s="153">
        <v>7</v>
      </c>
      <c r="G120" s="151">
        <v>68.75</v>
      </c>
      <c r="H120" s="152">
        <v>-8.8499999999999943</v>
      </c>
      <c r="I120" s="153">
        <v>4</v>
      </c>
      <c r="J120" s="151">
        <v>89.818181818181813</v>
      </c>
      <c r="K120" s="169">
        <v>-1.8884848484848504</v>
      </c>
      <c r="L120" s="151">
        <v>107.75</v>
      </c>
      <c r="M120" s="152">
        <v>12.260638297872347</v>
      </c>
      <c r="N120" s="153">
        <v>4</v>
      </c>
      <c r="O120" s="151">
        <v>72.714285714285708</v>
      </c>
      <c r="P120" s="152">
        <v>2.7493734335839548</v>
      </c>
      <c r="Q120" s="153">
        <v>7</v>
      </c>
      <c r="R120" s="151">
        <v>85.454545454545453</v>
      </c>
      <c r="S120" s="169">
        <v>3.9545454545454533</v>
      </c>
      <c r="T120" s="174">
        <v>-5.8430303030303037</v>
      </c>
    </row>
    <row r="121" spans="1:20" x14ac:dyDescent="0.3">
      <c r="A121" s="159">
        <v>144</v>
      </c>
      <c r="B121" s="118" t="s">
        <v>22</v>
      </c>
      <c r="C121" s="172" t="s">
        <v>47</v>
      </c>
      <c r="D121" s="151">
        <v>102</v>
      </c>
      <c r="E121" s="152">
        <v>4.5333333333333314</v>
      </c>
      <c r="F121" s="153">
        <v>2</v>
      </c>
      <c r="G121" s="151">
        <v>86.75</v>
      </c>
      <c r="H121" s="152">
        <v>9.7050561797752835</v>
      </c>
      <c r="I121" s="153">
        <v>12</v>
      </c>
      <c r="J121" s="151">
        <v>88.928571428571431</v>
      </c>
      <c r="K121" s="169">
        <v>3.6285714285714334</v>
      </c>
      <c r="L121" s="151">
        <v>108.08333333333333</v>
      </c>
      <c r="M121" s="152">
        <v>5.8785140562249012</v>
      </c>
      <c r="N121" s="153">
        <v>12</v>
      </c>
      <c r="O121" s="151">
        <v>87</v>
      </c>
      <c r="P121" s="152">
        <v>6.0999999999999943</v>
      </c>
      <c r="Q121" s="153">
        <v>2</v>
      </c>
      <c r="R121" s="151">
        <v>105.07142857142857</v>
      </c>
      <c r="S121" s="169">
        <v>9.8859447004608256</v>
      </c>
      <c r="T121" s="174">
        <v>-6.2573732718893922</v>
      </c>
    </row>
    <row r="122" spans="1:20" x14ac:dyDescent="0.3">
      <c r="A122" s="159">
        <v>162</v>
      </c>
      <c r="B122" s="118" t="s">
        <v>30</v>
      </c>
      <c r="C122" s="172" t="s">
        <v>43</v>
      </c>
      <c r="D122" s="151">
        <v>101.66666666666667</v>
      </c>
      <c r="E122" s="152">
        <v>1.8985507246376869</v>
      </c>
      <c r="F122" s="153">
        <v>6</v>
      </c>
      <c r="G122" s="151">
        <v>84.25</v>
      </c>
      <c r="H122" s="152">
        <v>4.9000000000000057</v>
      </c>
      <c r="I122" s="153">
        <v>8</v>
      </c>
      <c r="J122" s="151">
        <v>91.714285714285708</v>
      </c>
      <c r="K122" s="169">
        <v>2.9609523809523779</v>
      </c>
      <c r="L122" s="151">
        <v>105.75</v>
      </c>
      <c r="M122" s="152">
        <v>8.294117647058826</v>
      </c>
      <c r="N122" s="153">
        <v>8</v>
      </c>
      <c r="O122" s="151">
        <v>76</v>
      </c>
      <c r="P122" s="152">
        <v>3.6543209876543159</v>
      </c>
      <c r="Q122" s="153">
        <v>6</v>
      </c>
      <c r="R122" s="151">
        <v>93</v>
      </c>
      <c r="S122" s="169">
        <v>9.2266666666666737</v>
      </c>
      <c r="T122" s="174">
        <v>-6.2657142857142958</v>
      </c>
    </row>
    <row r="123" spans="1:20" x14ac:dyDescent="0.3">
      <c r="A123" s="159">
        <v>195</v>
      </c>
      <c r="B123" s="118" t="s">
        <v>28</v>
      </c>
      <c r="C123" s="172" t="s">
        <v>23</v>
      </c>
      <c r="D123" s="151">
        <v>93.5</v>
      </c>
      <c r="E123" s="152">
        <v>-9.6578947368421098</v>
      </c>
      <c r="F123" s="153">
        <v>4</v>
      </c>
      <c r="G123" s="151">
        <v>80.25</v>
      </c>
      <c r="H123" s="152">
        <v>2.2777777777777715</v>
      </c>
      <c r="I123" s="153">
        <v>8</v>
      </c>
      <c r="J123" s="151">
        <v>84.666666666666671</v>
      </c>
      <c r="K123" s="169">
        <v>-6.2933333333333223</v>
      </c>
      <c r="L123" s="151">
        <v>100.25</v>
      </c>
      <c r="M123" s="152">
        <v>-2.1666666666666714</v>
      </c>
      <c r="N123" s="153">
        <v>8</v>
      </c>
      <c r="O123" s="151">
        <v>75.5</v>
      </c>
      <c r="P123" s="152">
        <v>-2.0999999999999943</v>
      </c>
      <c r="Q123" s="153">
        <v>4</v>
      </c>
      <c r="R123" s="151">
        <v>92</v>
      </c>
      <c r="S123" s="169">
        <v>0.29333333333333655</v>
      </c>
      <c r="T123" s="174">
        <v>-6.5866666666666589</v>
      </c>
    </row>
    <row r="124" spans="1:20" x14ac:dyDescent="0.3">
      <c r="A124" s="159">
        <v>151</v>
      </c>
      <c r="B124" s="118" t="s">
        <v>22</v>
      </c>
      <c r="C124" s="172" t="s">
        <v>30</v>
      </c>
      <c r="D124" s="151">
        <v>93.285714285714292</v>
      </c>
      <c r="E124" s="152">
        <v>-4.1809523809523768</v>
      </c>
      <c r="F124" s="153">
        <v>7</v>
      </c>
      <c r="G124" s="151">
        <v>73.142857142857139</v>
      </c>
      <c r="H124" s="152">
        <v>-3.9020866773675777</v>
      </c>
      <c r="I124" s="153">
        <v>7</v>
      </c>
      <c r="J124" s="151">
        <v>83.214285714285708</v>
      </c>
      <c r="K124" s="169">
        <v>-2.085714285714289</v>
      </c>
      <c r="L124" s="151">
        <v>103.28571428571429</v>
      </c>
      <c r="M124" s="152">
        <v>3.5175983436853073</v>
      </c>
      <c r="N124" s="153">
        <v>7</v>
      </c>
      <c r="O124" s="151">
        <v>83.285714285714292</v>
      </c>
      <c r="P124" s="152">
        <v>3.9357142857142975</v>
      </c>
      <c r="Q124" s="153">
        <v>7</v>
      </c>
      <c r="R124" s="151">
        <v>93.285714285714292</v>
      </c>
      <c r="S124" s="169">
        <v>4.5323809523809615</v>
      </c>
      <c r="T124" s="174">
        <v>-6.6180952380952505</v>
      </c>
    </row>
    <row r="125" spans="1:20" x14ac:dyDescent="0.3">
      <c r="A125" s="159">
        <v>103</v>
      </c>
      <c r="B125" s="118" t="s">
        <v>43</v>
      </c>
      <c r="C125" s="172" t="s">
        <v>26</v>
      </c>
      <c r="D125" s="151">
        <v>91.666666666666671</v>
      </c>
      <c r="E125" s="152">
        <v>-5.7892156862745026</v>
      </c>
      <c r="F125" s="153">
        <v>3</v>
      </c>
      <c r="G125" s="151">
        <v>80.3</v>
      </c>
      <c r="H125" s="152">
        <v>7.9543209876543131</v>
      </c>
      <c r="I125" s="153">
        <v>10</v>
      </c>
      <c r="J125" s="151">
        <v>82.92307692307692</v>
      </c>
      <c r="K125" s="169">
        <v>-0.85025641025640653</v>
      </c>
      <c r="L125" s="151">
        <v>101.4</v>
      </c>
      <c r="M125" s="152">
        <v>8.6746987951812571E-2</v>
      </c>
      <c r="N125" s="153">
        <v>10</v>
      </c>
      <c r="O125" s="151">
        <v>77.666666666666671</v>
      </c>
      <c r="P125" s="152">
        <v>1.8333333333333428</v>
      </c>
      <c r="Q125" s="153">
        <v>3</v>
      </c>
      <c r="R125" s="151">
        <v>95.92307692307692</v>
      </c>
      <c r="S125" s="169">
        <v>5.8697435897435923</v>
      </c>
      <c r="T125" s="174">
        <v>-6.7199999999999989</v>
      </c>
    </row>
    <row r="126" spans="1:20" x14ac:dyDescent="0.3">
      <c r="A126" s="159">
        <v>7</v>
      </c>
      <c r="B126" s="118" t="s">
        <v>27</v>
      </c>
      <c r="C126" s="172" t="s">
        <v>43</v>
      </c>
      <c r="D126" s="151">
        <v>92</v>
      </c>
      <c r="E126" s="152">
        <v>-3.4893617021276526</v>
      </c>
      <c r="F126" s="153">
        <v>5</v>
      </c>
      <c r="G126" s="151">
        <v>58.666666666666664</v>
      </c>
      <c r="H126" s="152">
        <v>-11.298245614035089</v>
      </c>
      <c r="I126" s="153">
        <v>6</v>
      </c>
      <c r="J126" s="151">
        <v>73.818181818181813</v>
      </c>
      <c r="K126" s="169">
        <v>-7.681818181818187</v>
      </c>
      <c r="L126" s="151">
        <v>88.5</v>
      </c>
      <c r="M126" s="152">
        <v>-8.955882352941174</v>
      </c>
      <c r="N126" s="153">
        <v>6</v>
      </c>
      <c r="O126" s="151">
        <v>76.2</v>
      </c>
      <c r="P126" s="152">
        <v>3.8543209876543187</v>
      </c>
      <c r="Q126" s="153">
        <v>5</v>
      </c>
      <c r="R126" s="151">
        <v>82.909090909090907</v>
      </c>
      <c r="S126" s="169">
        <v>-0.86424242424241982</v>
      </c>
      <c r="T126" s="174">
        <v>-6.8175757575757672</v>
      </c>
    </row>
    <row r="127" spans="1:20" x14ac:dyDescent="0.3">
      <c r="A127" s="159">
        <v>105</v>
      </c>
      <c r="B127" s="118" t="s">
        <v>43</v>
      </c>
      <c r="C127" s="172" t="s">
        <v>29</v>
      </c>
      <c r="D127" s="151">
        <v>87.8</v>
      </c>
      <c r="E127" s="152">
        <v>-9.6558823529411768</v>
      </c>
      <c r="F127" s="153">
        <v>5</v>
      </c>
      <c r="G127" s="151">
        <v>67.75</v>
      </c>
      <c r="H127" s="152">
        <v>-4.5956790123456841</v>
      </c>
      <c r="I127" s="153">
        <v>8</v>
      </c>
      <c r="J127" s="151">
        <v>75.461538461538467</v>
      </c>
      <c r="K127" s="169">
        <v>-8.3117948717948593</v>
      </c>
      <c r="L127" s="151">
        <v>95.75</v>
      </c>
      <c r="M127" s="152">
        <v>-2.1232394366197127</v>
      </c>
      <c r="N127" s="153">
        <v>8</v>
      </c>
      <c r="O127" s="151">
        <v>70.400000000000006</v>
      </c>
      <c r="P127" s="152">
        <v>-5.0230769230769141</v>
      </c>
      <c r="Q127" s="153">
        <v>5</v>
      </c>
      <c r="R127" s="151">
        <v>86</v>
      </c>
      <c r="S127" s="169">
        <v>-0.14666666666666117</v>
      </c>
      <c r="T127" s="174">
        <v>-8.1651282051281981</v>
      </c>
    </row>
    <row r="128" spans="1:20" x14ac:dyDescent="0.3">
      <c r="A128" s="159">
        <v>39</v>
      </c>
      <c r="B128" s="118" t="s">
        <v>25</v>
      </c>
      <c r="C128" s="172" t="s">
        <v>30</v>
      </c>
      <c r="D128" s="151">
        <v>105.16666666666667</v>
      </c>
      <c r="E128" s="152">
        <v>7.50450450450451</v>
      </c>
      <c r="F128" s="153">
        <v>6</v>
      </c>
      <c r="G128" s="151">
        <v>64.125</v>
      </c>
      <c r="H128" s="152">
        <v>-12.135273972602747</v>
      </c>
      <c r="I128" s="153">
        <v>8</v>
      </c>
      <c r="J128" s="151">
        <v>81.714285714285708</v>
      </c>
      <c r="K128" s="169">
        <v>-5.2923809523809524</v>
      </c>
      <c r="L128" s="151">
        <v>99.875</v>
      </c>
      <c r="M128" s="152">
        <v>0.10688405797101552</v>
      </c>
      <c r="N128" s="153">
        <v>8</v>
      </c>
      <c r="O128" s="151">
        <v>80.833333333333329</v>
      </c>
      <c r="P128" s="152">
        <v>1.4833333333333343</v>
      </c>
      <c r="Q128" s="153">
        <v>6</v>
      </c>
      <c r="R128" s="151">
        <v>91.714285714285708</v>
      </c>
      <c r="S128" s="169">
        <v>2.9609523809523779</v>
      </c>
      <c r="T128" s="174">
        <v>-8.2533333333333303</v>
      </c>
    </row>
    <row r="129" spans="1:20" x14ac:dyDescent="0.3">
      <c r="A129" s="159">
        <v>41</v>
      </c>
      <c r="B129" s="118" t="s">
        <v>25</v>
      </c>
      <c r="C129" s="172" t="s">
        <v>28</v>
      </c>
      <c r="D129" s="151">
        <v>100.25</v>
      </c>
      <c r="E129" s="152">
        <v>2.5878378378378386</v>
      </c>
      <c r="F129" s="153">
        <v>4</v>
      </c>
      <c r="G129" s="151">
        <v>70.444444444444443</v>
      </c>
      <c r="H129" s="152">
        <v>-5.8158295281583037</v>
      </c>
      <c r="I129" s="153">
        <v>9</v>
      </c>
      <c r="J129" s="151">
        <v>79.615384615384613</v>
      </c>
      <c r="K129" s="169">
        <v>-7.3912820512820474</v>
      </c>
      <c r="L129" s="151">
        <v>101</v>
      </c>
      <c r="M129" s="152">
        <v>-2.1578947368421098</v>
      </c>
      <c r="N129" s="153">
        <v>9</v>
      </c>
      <c r="O129" s="151">
        <v>73.25</v>
      </c>
      <c r="P129" s="152">
        <v>-4.7222222222222285</v>
      </c>
      <c r="Q129" s="153">
        <v>4</v>
      </c>
      <c r="R129" s="151">
        <v>92.461538461538467</v>
      </c>
      <c r="S129" s="169">
        <v>1.5015384615384733</v>
      </c>
      <c r="T129" s="174">
        <v>-8.8928205128205207</v>
      </c>
    </row>
    <row r="130" spans="1:20" x14ac:dyDescent="0.3">
      <c r="A130" s="159">
        <v>89</v>
      </c>
      <c r="B130" s="118" t="s">
        <v>29</v>
      </c>
      <c r="C130" s="172" t="s">
        <v>26</v>
      </c>
      <c r="D130" s="151">
        <v>95.8</v>
      </c>
      <c r="E130" s="152">
        <v>-2.0732394366197155</v>
      </c>
      <c r="F130" s="153">
        <v>5</v>
      </c>
      <c r="G130" s="151">
        <v>77</v>
      </c>
      <c r="H130" s="152">
        <v>1.5769230769230802</v>
      </c>
      <c r="I130" s="153">
        <v>17</v>
      </c>
      <c r="J130" s="151">
        <v>81.272727272727266</v>
      </c>
      <c r="K130" s="169">
        <v>-4.8739393939393949</v>
      </c>
      <c r="L130" s="151">
        <v>99.058823529411768</v>
      </c>
      <c r="M130" s="152">
        <v>-2.2544294826364251</v>
      </c>
      <c r="N130" s="153">
        <v>17</v>
      </c>
      <c r="O130" s="151">
        <v>77.2</v>
      </c>
      <c r="P130" s="152">
        <v>1.3666666666666742</v>
      </c>
      <c r="Q130" s="153">
        <v>5</v>
      </c>
      <c r="R130" s="151">
        <v>94.090909090909093</v>
      </c>
      <c r="S130" s="169">
        <v>4.037575757575766</v>
      </c>
      <c r="T130" s="174">
        <v>-8.9115151515151609</v>
      </c>
    </row>
    <row r="131" spans="1:20" x14ac:dyDescent="0.3">
      <c r="A131" s="159">
        <v>172</v>
      </c>
      <c r="B131" s="118" t="s">
        <v>23</v>
      </c>
      <c r="C131" s="172" t="s">
        <v>47</v>
      </c>
      <c r="D131" s="151">
        <v>110.66666666666667</v>
      </c>
      <c r="E131" s="152">
        <v>8.25</v>
      </c>
      <c r="F131" s="153">
        <v>3</v>
      </c>
      <c r="G131" s="151">
        <v>80.666666666666671</v>
      </c>
      <c r="H131" s="152">
        <v>3.0666666666666771</v>
      </c>
      <c r="I131" s="153">
        <v>6</v>
      </c>
      <c r="J131" s="151">
        <v>90.666666666666671</v>
      </c>
      <c r="K131" s="169">
        <v>-1.039999999999992</v>
      </c>
      <c r="L131" s="151">
        <v>114.5</v>
      </c>
      <c r="M131" s="152">
        <v>12.295180722891573</v>
      </c>
      <c r="N131" s="153">
        <v>6</v>
      </c>
      <c r="O131" s="151">
        <v>80.333333333333329</v>
      </c>
      <c r="P131" s="152">
        <v>-0.56666666666667709</v>
      </c>
      <c r="Q131" s="153">
        <v>3</v>
      </c>
      <c r="R131" s="151">
        <v>103.11111111111111</v>
      </c>
      <c r="S131" s="169">
        <v>7.9256272401433705</v>
      </c>
      <c r="T131" s="174">
        <v>-8.9656272401433625</v>
      </c>
    </row>
    <row r="132" spans="1:20" x14ac:dyDescent="0.3">
      <c r="A132" s="159">
        <v>14</v>
      </c>
      <c r="B132" s="118" t="s">
        <v>27</v>
      </c>
      <c r="C132" s="172" t="s">
        <v>24</v>
      </c>
      <c r="D132" s="151">
        <v>95</v>
      </c>
      <c r="E132" s="152">
        <v>-0.48936170212765262</v>
      </c>
      <c r="F132" s="153">
        <v>4</v>
      </c>
      <c r="G132" s="151">
        <v>66.285714285714292</v>
      </c>
      <c r="H132" s="152">
        <v>-3.6791979949874616</v>
      </c>
      <c r="I132" s="153">
        <v>7</v>
      </c>
      <c r="J132" s="151">
        <v>76.727272727272734</v>
      </c>
      <c r="K132" s="169">
        <v>-4.7727272727272663</v>
      </c>
      <c r="L132" s="151">
        <v>101.71428571428571</v>
      </c>
      <c r="M132" s="152">
        <v>-1.5634920634920633</v>
      </c>
      <c r="N132" s="153">
        <v>7</v>
      </c>
      <c r="O132" s="151">
        <v>77.25</v>
      </c>
      <c r="P132" s="152">
        <v>2.288461538461533</v>
      </c>
      <c r="Q132" s="153">
        <v>4</v>
      </c>
      <c r="R132" s="151">
        <v>92.818181818181813</v>
      </c>
      <c r="S132" s="169">
        <v>4.2648484848484856</v>
      </c>
      <c r="T132" s="174">
        <v>-9.0375757575757518</v>
      </c>
    </row>
    <row r="133" spans="1:20" x14ac:dyDescent="0.3">
      <c r="A133" s="159">
        <v>94</v>
      </c>
      <c r="B133" s="118" t="s">
        <v>29</v>
      </c>
      <c r="C133" s="172" t="s">
        <v>22</v>
      </c>
      <c r="D133" s="151">
        <v>104.66666666666667</v>
      </c>
      <c r="E133" s="152">
        <v>6.7934272300469587</v>
      </c>
      <c r="F133" s="153">
        <v>3</v>
      </c>
      <c r="G133" s="151">
        <v>78.428571428571431</v>
      </c>
      <c r="H133" s="152">
        <v>3.0054945054945108</v>
      </c>
      <c r="I133" s="153">
        <v>7</v>
      </c>
      <c r="J133" s="151">
        <v>86.3</v>
      </c>
      <c r="K133" s="169">
        <v>0.15333333333333599</v>
      </c>
      <c r="L133" s="151">
        <v>100.71428571428571</v>
      </c>
      <c r="M133" s="152">
        <v>3.2476190476190396</v>
      </c>
      <c r="N133" s="153">
        <v>7</v>
      </c>
      <c r="O133" s="151">
        <v>80</v>
      </c>
      <c r="P133" s="152">
        <v>2.9550561797752835</v>
      </c>
      <c r="Q133" s="153">
        <v>3</v>
      </c>
      <c r="R133" s="151">
        <v>94.5</v>
      </c>
      <c r="S133" s="169">
        <v>9.2000000000000028</v>
      </c>
      <c r="T133" s="174">
        <v>-9.0466666666666669</v>
      </c>
    </row>
    <row r="134" spans="1:20" x14ac:dyDescent="0.3">
      <c r="A134" s="159">
        <v>48</v>
      </c>
      <c r="B134" s="118" t="s">
        <v>47</v>
      </c>
      <c r="C134" s="172" t="s">
        <v>29</v>
      </c>
      <c r="D134" s="151">
        <v>102.4</v>
      </c>
      <c r="E134" s="152">
        <v>0.19518072289157828</v>
      </c>
      <c r="F134" s="153">
        <v>5</v>
      </c>
      <c r="G134" s="151">
        <v>81.8</v>
      </c>
      <c r="H134" s="152">
        <v>0.89999999999999147</v>
      </c>
      <c r="I134" s="153">
        <v>5</v>
      </c>
      <c r="J134" s="151">
        <v>92.1</v>
      </c>
      <c r="K134" s="169">
        <v>-3.0854838709677495</v>
      </c>
      <c r="L134" s="151">
        <v>105</v>
      </c>
      <c r="M134" s="152">
        <v>7.1267605633802873</v>
      </c>
      <c r="N134" s="153">
        <v>5</v>
      </c>
      <c r="O134" s="151">
        <v>79.8</v>
      </c>
      <c r="P134" s="152">
        <v>4.3769230769230774</v>
      </c>
      <c r="Q134" s="153">
        <v>5</v>
      </c>
      <c r="R134" s="151">
        <v>92.4</v>
      </c>
      <c r="S134" s="169">
        <v>6.2533333333333445</v>
      </c>
      <c r="T134" s="174">
        <v>-9.338817204301094</v>
      </c>
    </row>
    <row r="135" spans="1:20" x14ac:dyDescent="0.3">
      <c r="A135" s="159">
        <v>194</v>
      </c>
      <c r="B135" s="118" t="s">
        <v>28</v>
      </c>
      <c r="C135" s="172" t="s">
        <v>30</v>
      </c>
      <c r="D135" s="151">
        <v>98.333333333333329</v>
      </c>
      <c r="E135" s="152">
        <v>-4.8245614035087812</v>
      </c>
      <c r="F135" s="153">
        <v>3</v>
      </c>
      <c r="G135" s="151">
        <v>80.5</v>
      </c>
      <c r="H135" s="152">
        <v>2.5277777777777715</v>
      </c>
      <c r="I135" s="153">
        <v>8</v>
      </c>
      <c r="J135" s="151">
        <v>85.36363636363636</v>
      </c>
      <c r="K135" s="169">
        <v>-5.596363636363634</v>
      </c>
      <c r="L135" s="151">
        <v>106.75</v>
      </c>
      <c r="M135" s="152">
        <v>6.9818840579710155</v>
      </c>
      <c r="N135" s="153">
        <v>8</v>
      </c>
      <c r="O135" s="151">
        <v>55.333333333333336</v>
      </c>
      <c r="P135" s="152">
        <v>-24.016666666666659</v>
      </c>
      <c r="Q135" s="153">
        <v>3</v>
      </c>
      <c r="R135" s="151">
        <v>92.727272727272734</v>
      </c>
      <c r="S135" s="169">
        <v>3.9739393939394034</v>
      </c>
      <c r="T135" s="174">
        <v>-9.5703030303030374</v>
      </c>
    </row>
    <row r="136" spans="1:20" x14ac:dyDescent="0.3">
      <c r="A136" s="159">
        <v>84</v>
      </c>
      <c r="B136" s="118" t="s">
        <v>48</v>
      </c>
      <c r="C136" s="172" t="s">
        <v>24</v>
      </c>
      <c r="D136" s="151">
        <v>92.333333333333329</v>
      </c>
      <c r="E136" s="152">
        <v>-11.504901960784323</v>
      </c>
      <c r="F136" s="153">
        <v>3</v>
      </c>
      <c r="G136" s="151">
        <v>79.857142857142861</v>
      </c>
      <c r="H136" s="152">
        <v>-0.3928571428571388</v>
      </c>
      <c r="I136" s="153">
        <v>7</v>
      </c>
      <c r="J136" s="151">
        <v>83.6</v>
      </c>
      <c r="K136" s="169">
        <v>-9.5854838709677495</v>
      </c>
      <c r="L136" s="151">
        <v>97.428571428571431</v>
      </c>
      <c r="M136" s="152">
        <v>-5.8492063492063409</v>
      </c>
      <c r="N136" s="153">
        <v>7</v>
      </c>
      <c r="O136" s="151">
        <v>69.666666666666671</v>
      </c>
      <c r="P136" s="152">
        <v>-5.2948717948717956</v>
      </c>
      <c r="Q136" s="153">
        <v>3</v>
      </c>
      <c r="R136" s="151">
        <v>89.1</v>
      </c>
      <c r="S136" s="169">
        <v>0.54666666666666686</v>
      </c>
      <c r="T136" s="174">
        <v>-10.132150537634416</v>
      </c>
    </row>
    <row r="137" spans="1:20" x14ac:dyDescent="0.3">
      <c r="A137" s="159">
        <v>57</v>
      </c>
      <c r="B137" s="118" t="s">
        <v>26</v>
      </c>
      <c r="C137" s="172" t="s">
        <v>27</v>
      </c>
      <c r="D137" s="151">
        <v>113</v>
      </c>
      <c r="E137" s="152">
        <v>11.686746987951807</v>
      </c>
      <c r="F137" s="153">
        <v>2</v>
      </c>
      <c r="G137" s="151">
        <v>66</v>
      </c>
      <c r="H137" s="152">
        <v>-9.8333333333333286</v>
      </c>
      <c r="I137" s="153">
        <v>7</v>
      </c>
      <c r="J137" s="151">
        <v>76.444444444444443</v>
      </c>
      <c r="K137" s="169">
        <v>-13.608888888888885</v>
      </c>
      <c r="L137" s="151">
        <v>80.714285714285708</v>
      </c>
      <c r="M137" s="152">
        <v>-14.775075987841944</v>
      </c>
      <c r="N137" s="153">
        <v>7</v>
      </c>
      <c r="O137" s="151">
        <v>69</v>
      </c>
      <c r="P137" s="152">
        <v>-0.96491228070175339</v>
      </c>
      <c r="Q137" s="153">
        <v>2</v>
      </c>
      <c r="R137" s="151">
        <v>78.111111111111114</v>
      </c>
      <c r="S137" s="169">
        <v>-3.3888888888888857</v>
      </c>
      <c r="T137" s="174">
        <v>-10.219999999999999</v>
      </c>
    </row>
    <row r="138" spans="1:20" x14ac:dyDescent="0.3">
      <c r="A138" s="159">
        <v>143</v>
      </c>
      <c r="B138" s="118" t="s">
        <v>22</v>
      </c>
      <c r="C138" s="172" t="s">
        <v>25</v>
      </c>
      <c r="D138" s="151">
        <v>86</v>
      </c>
      <c r="E138" s="152">
        <v>-11.466666666666669</v>
      </c>
      <c r="F138" s="153">
        <v>3</v>
      </c>
      <c r="G138" s="151">
        <v>78.272727272727266</v>
      </c>
      <c r="H138" s="152">
        <v>1.2277834525025497</v>
      </c>
      <c r="I138" s="153">
        <v>11</v>
      </c>
      <c r="J138" s="151">
        <v>79.928571428571431</v>
      </c>
      <c r="K138" s="169">
        <v>-5.3714285714285666</v>
      </c>
      <c r="L138" s="151">
        <v>99.545454545454547</v>
      </c>
      <c r="M138" s="152">
        <v>1.8832923832923854</v>
      </c>
      <c r="N138" s="153">
        <v>11</v>
      </c>
      <c r="O138" s="151">
        <v>73</v>
      </c>
      <c r="P138" s="152">
        <v>-3.2602739726027465</v>
      </c>
      <c r="Q138" s="153">
        <v>3</v>
      </c>
      <c r="R138" s="151">
        <v>93.857142857142861</v>
      </c>
      <c r="S138" s="169">
        <v>6.8504761904762006</v>
      </c>
      <c r="T138" s="174">
        <v>-12.221904761904767</v>
      </c>
    </row>
    <row r="139" spans="1:20" x14ac:dyDescent="0.3">
      <c r="A139" s="159">
        <v>17</v>
      </c>
      <c r="B139" s="118" t="s">
        <v>227</v>
      </c>
      <c r="C139" s="172" t="s">
        <v>47</v>
      </c>
      <c r="D139" s="151">
        <v>77</v>
      </c>
      <c r="E139" s="152">
        <v>-22.733333333333334</v>
      </c>
      <c r="F139" s="153">
        <v>1</v>
      </c>
      <c r="G139" s="151">
        <v>85.75</v>
      </c>
      <c r="H139" s="152">
        <v>6.3629032258064484</v>
      </c>
      <c r="I139" s="153">
        <v>4</v>
      </c>
      <c r="J139" s="151">
        <v>84</v>
      </c>
      <c r="K139" s="169">
        <v>-2.0217391304347814</v>
      </c>
      <c r="L139" s="151">
        <v>115.75</v>
      </c>
      <c r="M139" s="152">
        <v>13.545180722891573</v>
      </c>
      <c r="N139" s="153">
        <v>4</v>
      </c>
      <c r="O139" s="151">
        <v>66</v>
      </c>
      <c r="P139" s="152">
        <v>-14.900000000000006</v>
      </c>
      <c r="Q139" s="153">
        <v>1</v>
      </c>
      <c r="R139" s="151">
        <v>105.8</v>
      </c>
      <c r="S139" s="169">
        <v>10.614516129032253</v>
      </c>
      <c r="T139" s="174">
        <v>-12.636255259467035</v>
      </c>
    </row>
    <row r="140" spans="1:20" x14ac:dyDescent="0.3">
      <c r="A140" s="159">
        <v>190</v>
      </c>
      <c r="B140" s="118" t="s">
        <v>28</v>
      </c>
      <c r="C140" s="172" t="s">
        <v>43</v>
      </c>
      <c r="D140" s="151">
        <v>99.666666666666671</v>
      </c>
      <c r="E140" s="152">
        <v>-3.4912280701754383</v>
      </c>
      <c r="F140" s="153">
        <v>6</v>
      </c>
      <c r="G140" s="151">
        <v>81.916666666666671</v>
      </c>
      <c r="H140" s="152">
        <v>3.9444444444444429</v>
      </c>
      <c r="I140" s="153">
        <v>12</v>
      </c>
      <c r="J140" s="151">
        <v>87.833333333333329</v>
      </c>
      <c r="K140" s="169">
        <v>-3.1266666666666652</v>
      </c>
      <c r="L140" s="151">
        <v>104.5</v>
      </c>
      <c r="M140" s="152">
        <v>7.044117647058826</v>
      </c>
      <c r="N140" s="153">
        <v>12</v>
      </c>
      <c r="O140" s="151">
        <v>71.333333333333329</v>
      </c>
      <c r="P140" s="152">
        <v>-1.0123456790123555</v>
      </c>
      <c r="Q140" s="153">
        <v>6</v>
      </c>
      <c r="R140" s="151">
        <v>93.444444444444443</v>
      </c>
      <c r="S140" s="169">
        <v>9.6711111111111165</v>
      </c>
      <c r="T140" s="174">
        <v>-12.797777777777782</v>
      </c>
    </row>
    <row r="141" spans="1:20" x14ac:dyDescent="0.3">
      <c r="A141" s="159">
        <v>161</v>
      </c>
      <c r="B141" s="118" t="s">
        <v>30</v>
      </c>
      <c r="C141" s="172" t="s">
        <v>29</v>
      </c>
      <c r="D141" s="151">
        <v>97.25</v>
      </c>
      <c r="E141" s="152">
        <v>-2.5181159420289845</v>
      </c>
      <c r="F141" s="153">
        <v>4</v>
      </c>
      <c r="G141" s="151">
        <v>76.900000000000006</v>
      </c>
      <c r="H141" s="152">
        <v>-2.4499999999999886</v>
      </c>
      <c r="I141" s="153">
        <v>10</v>
      </c>
      <c r="J141" s="151">
        <v>82.714285714285708</v>
      </c>
      <c r="K141" s="169">
        <v>-6.0390476190476221</v>
      </c>
      <c r="L141" s="151">
        <v>103.3</v>
      </c>
      <c r="M141" s="152">
        <v>5.4267605633802845</v>
      </c>
      <c r="N141" s="153">
        <v>10</v>
      </c>
      <c r="O141" s="151">
        <v>67.75</v>
      </c>
      <c r="P141" s="152">
        <v>-7.6730769230769198</v>
      </c>
      <c r="Q141" s="153">
        <v>4</v>
      </c>
      <c r="R141" s="151">
        <v>93.142857142857139</v>
      </c>
      <c r="S141" s="169">
        <v>6.9961904761904776</v>
      </c>
      <c r="T141" s="174">
        <v>-13.0352380952381</v>
      </c>
    </row>
    <row r="142" spans="1:20" x14ac:dyDescent="0.3">
      <c r="A142" s="159">
        <v>5</v>
      </c>
      <c r="B142" s="118" t="s">
        <v>27</v>
      </c>
      <c r="C142" s="172" t="s">
        <v>48</v>
      </c>
      <c r="D142" s="151">
        <v>98.5</v>
      </c>
      <c r="E142" s="152">
        <v>3.0106382978723474</v>
      </c>
      <c r="F142" s="153">
        <v>2</v>
      </c>
      <c r="G142" s="151">
        <v>69.5</v>
      </c>
      <c r="H142" s="152">
        <v>-0.46491228070175339</v>
      </c>
      <c r="I142" s="153">
        <v>4</v>
      </c>
      <c r="J142" s="151">
        <v>79.166666666666671</v>
      </c>
      <c r="K142" s="169">
        <v>-2.3333333333333286</v>
      </c>
      <c r="L142" s="151">
        <v>119</v>
      </c>
      <c r="M142" s="152">
        <v>15.161764705882348</v>
      </c>
      <c r="N142" s="153">
        <v>4</v>
      </c>
      <c r="O142" s="151">
        <v>75.5</v>
      </c>
      <c r="P142" s="152">
        <v>-4.75</v>
      </c>
      <c r="Q142" s="153">
        <v>2</v>
      </c>
      <c r="R142" s="151">
        <v>104.5</v>
      </c>
      <c r="S142" s="169">
        <v>11.314516129032256</v>
      </c>
      <c r="T142" s="174">
        <v>-13.647849462365585</v>
      </c>
    </row>
    <row r="143" spans="1:20" x14ac:dyDescent="0.3">
      <c r="A143" s="159">
        <v>141</v>
      </c>
      <c r="B143" s="118" t="s">
        <v>22</v>
      </c>
      <c r="C143" s="172" t="s">
        <v>27</v>
      </c>
      <c r="D143" s="151">
        <v>93.666666666666671</v>
      </c>
      <c r="E143" s="152">
        <v>-3.7999999999999972</v>
      </c>
      <c r="F143" s="153">
        <v>3</v>
      </c>
      <c r="G143" s="151">
        <v>64.166666666666671</v>
      </c>
      <c r="H143" s="152">
        <v>-12.878277153558045</v>
      </c>
      <c r="I143" s="153">
        <v>6</v>
      </c>
      <c r="J143" s="151">
        <v>74</v>
      </c>
      <c r="K143" s="169">
        <v>-11.299999999999997</v>
      </c>
      <c r="L143" s="151">
        <v>95.333333333333329</v>
      </c>
      <c r="M143" s="152">
        <v>-0.15602836879432402</v>
      </c>
      <c r="N143" s="153">
        <v>6</v>
      </c>
      <c r="O143" s="151">
        <v>65.666666666666671</v>
      </c>
      <c r="P143" s="152">
        <v>-4.298245614035082</v>
      </c>
      <c r="Q143" s="153">
        <v>3</v>
      </c>
      <c r="R143" s="151">
        <v>85.444444444444443</v>
      </c>
      <c r="S143" s="169">
        <v>3.9444444444444429</v>
      </c>
      <c r="T143" s="174">
        <v>-15.24444444444444</v>
      </c>
    </row>
    <row r="144" spans="1:20" x14ac:dyDescent="0.3">
      <c r="A144" s="159">
        <v>175</v>
      </c>
      <c r="B144" s="118" t="s">
        <v>23</v>
      </c>
      <c r="C144" s="172" t="s">
        <v>29</v>
      </c>
      <c r="D144" s="151">
        <v>92.166666666666671</v>
      </c>
      <c r="E144" s="152">
        <v>-10.25</v>
      </c>
      <c r="F144" s="153">
        <v>6</v>
      </c>
      <c r="G144" s="151">
        <v>73</v>
      </c>
      <c r="H144" s="152">
        <v>-4.5999999999999943</v>
      </c>
      <c r="I144" s="153">
        <v>7</v>
      </c>
      <c r="J144" s="151">
        <v>81.84615384615384</v>
      </c>
      <c r="K144" s="169">
        <v>-9.8605128205128239</v>
      </c>
      <c r="L144" s="151">
        <v>107.42857142857143</v>
      </c>
      <c r="M144" s="152">
        <v>9.5553319919517179</v>
      </c>
      <c r="N144" s="153">
        <v>7</v>
      </c>
      <c r="O144" s="151">
        <v>73.666666666666671</v>
      </c>
      <c r="P144" s="152">
        <v>-1.7564102564102484</v>
      </c>
      <c r="Q144" s="153">
        <v>6</v>
      </c>
      <c r="R144" s="151">
        <v>91.84615384615384</v>
      </c>
      <c r="S144" s="169">
        <v>5.6994871794871784</v>
      </c>
      <c r="T144" s="174">
        <v>-15.560000000000002</v>
      </c>
    </row>
    <row r="145" spans="1:20" x14ac:dyDescent="0.3">
      <c r="A145" s="159">
        <v>85</v>
      </c>
      <c r="B145" s="118" t="s">
        <v>29</v>
      </c>
      <c r="C145" s="172" t="s">
        <v>27</v>
      </c>
      <c r="D145" s="151">
        <v>90.5</v>
      </c>
      <c r="E145" s="152">
        <v>-7.3732394366197127</v>
      </c>
      <c r="F145" s="153">
        <v>2</v>
      </c>
      <c r="G145" s="151">
        <v>74.285714285714292</v>
      </c>
      <c r="H145" s="152">
        <v>-1.137362637362628</v>
      </c>
      <c r="I145" s="153">
        <v>7</v>
      </c>
      <c r="J145" s="151">
        <v>77.888888888888886</v>
      </c>
      <c r="K145" s="169">
        <v>-8.2577777777777754</v>
      </c>
      <c r="L145" s="151">
        <v>91.857142857142861</v>
      </c>
      <c r="M145" s="152">
        <v>-3.6322188449847914</v>
      </c>
      <c r="N145" s="153">
        <v>7</v>
      </c>
      <c r="O145" s="151">
        <v>78.5</v>
      </c>
      <c r="P145" s="152">
        <v>8.5350877192982466</v>
      </c>
      <c r="Q145" s="153">
        <v>2</v>
      </c>
      <c r="R145" s="151">
        <v>88.888888888888886</v>
      </c>
      <c r="S145" s="169">
        <v>7.3888888888888857</v>
      </c>
      <c r="T145" s="174">
        <v>-15.646666666666661</v>
      </c>
    </row>
    <row r="146" spans="1:20" x14ac:dyDescent="0.3">
      <c r="A146" s="159">
        <v>112</v>
      </c>
      <c r="B146" s="118" t="s">
        <v>43</v>
      </c>
      <c r="C146" s="172" t="s">
        <v>24</v>
      </c>
      <c r="D146" s="151">
        <v>102.2</v>
      </c>
      <c r="E146" s="152">
        <v>4.7441176470588289</v>
      </c>
      <c r="F146" s="153">
        <v>5</v>
      </c>
      <c r="G146" s="151">
        <v>68.714285714285708</v>
      </c>
      <c r="H146" s="152">
        <v>-3.6313932980599759</v>
      </c>
      <c r="I146" s="153">
        <v>7</v>
      </c>
      <c r="J146" s="151">
        <v>82.666666666666671</v>
      </c>
      <c r="K146" s="169">
        <v>-1.1066666666666549</v>
      </c>
      <c r="L146" s="151">
        <v>115.42857142857143</v>
      </c>
      <c r="M146" s="152">
        <v>12.150793650793659</v>
      </c>
      <c r="N146" s="153">
        <v>7</v>
      </c>
      <c r="O146" s="151">
        <v>86.8</v>
      </c>
      <c r="P146" s="152">
        <v>11.83846153846153</v>
      </c>
      <c r="Q146" s="153">
        <v>5</v>
      </c>
      <c r="R146" s="151">
        <v>103.5</v>
      </c>
      <c r="S146" s="169">
        <v>14.946666666666673</v>
      </c>
      <c r="T146" s="174">
        <v>-16.053333333333327</v>
      </c>
    </row>
    <row r="147" spans="1:20" x14ac:dyDescent="0.3">
      <c r="A147" s="159">
        <v>28</v>
      </c>
      <c r="B147" s="118" t="s">
        <v>227</v>
      </c>
      <c r="C147" s="172" t="s">
        <v>24</v>
      </c>
      <c r="D147" s="151">
        <v>99.5</v>
      </c>
      <c r="E147" s="152">
        <v>-0.23333333333333428</v>
      </c>
      <c r="F147" s="153">
        <v>2</v>
      </c>
      <c r="G147" s="151">
        <v>64.666666666666671</v>
      </c>
      <c r="H147" s="152">
        <v>-14.72043010752688</v>
      </c>
      <c r="I147" s="153">
        <v>3</v>
      </c>
      <c r="J147" s="151">
        <v>78.599999999999994</v>
      </c>
      <c r="K147" s="169">
        <v>-7.4217391304347871</v>
      </c>
      <c r="L147" s="151">
        <v>101.33333333333333</v>
      </c>
      <c r="M147" s="152">
        <v>-1.9444444444444429</v>
      </c>
      <c r="N147" s="153">
        <v>3</v>
      </c>
      <c r="O147" s="151">
        <v>91</v>
      </c>
      <c r="P147" s="152">
        <v>16.038461538461533</v>
      </c>
      <c r="Q147" s="153">
        <v>2</v>
      </c>
      <c r="R147" s="151">
        <v>97.2</v>
      </c>
      <c r="S147" s="169">
        <v>8.6466666666666754</v>
      </c>
      <c r="T147" s="174">
        <v>-16.068405797101462</v>
      </c>
    </row>
    <row r="148" spans="1:20" x14ac:dyDescent="0.3">
      <c r="A148" s="159">
        <v>184</v>
      </c>
      <c r="B148" s="118" t="s">
        <v>28</v>
      </c>
      <c r="C148" s="172" t="s">
        <v>227</v>
      </c>
      <c r="D148" s="151">
        <v>95</v>
      </c>
      <c r="E148" s="152">
        <v>-8.1578947368421098</v>
      </c>
      <c r="F148" s="153">
        <v>1</v>
      </c>
      <c r="G148" s="151">
        <v>72.5</v>
      </c>
      <c r="H148" s="152">
        <v>-5.4722222222222285</v>
      </c>
      <c r="I148" s="153">
        <v>2</v>
      </c>
      <c r="J148" s="151">
        <v>80</v>
      </c>
      <c r="K148" s="169">
        <v>-10.959999999999994</v>
      </c>
      <c r="L148" s="151">
        <v>92.5</v>
      </c>
      <c r="M148" s="152">
        <v>-7.2333333333333343</v>
      </c>
      <c r="N148" s="153">
        <v>2</v>
      </c>
      <c r="O148" s="151">
        <v>92</v>
      </c>
      <c r="P148" s="152">
        <v>12.612903225806448</v>
      </c>
      <c r="Q148" s="153">
        <v>1</v>
      </c>
      <c r="R148" s="151">
        <v>92.333333333333329</v>
      </c>
      <c r="S148" s="169">
        <v>6.3115942028985472</v>
      </c>
      <c r="T148" s="174">
        <v>-17.271594202898541</v>
      </c>
    </row>
    <row r="149" spans="1:20" x14ac:dyDescent="0.3">
      <c r="A149" s="159">
        <v>146</v>
      </c>
      <c r="B149" s="118" t="s">
        <v>22</v>
      </c>
      <c r="C149" s="172" t="s">
        <v>48</v>
      </c>
      <c r="D149" s="151">
        <v>92</v>
      </c>
      <c r="E149" s="152">
        <v>-5.4666666666666686</v>
      </c>
      <c r="F149" s="153">
        <v>2</v>
      </c>
      <c r="G149" s="151">
        <v>77.625</v>
      </c>
      <c r="H149" s="152">
        <v>0.58005617977528345</v>
      </c>
      <c r="I149" s="153">
        <v>8</v>
      </c>
      <c r="J149" s="151">
        <v>80.5</v>
      </c>
      <c r="K149" s="169">
        <v>-4.7999999999999972</v>
      </c>
      <c r="L149" s="151">
        <v>116.375</v>
      </c>
      <c r="M149" s="152">
        <v>12.536764705882348</v>
      </c>
      <c r="N149" s="153">
        <v>8</v>
      </c>
      <c r="O149" s="151">
        <v>63</v>
      </c>
      <c r="P149" s="152">
        <v>-17.25</v>
      </c>
      <c r="Q149" s="153">
        <v>2</v>
      </c>
      <c r="R149" s="151">
        <v>105.7</v>
      </c>
      <c r="S149" s="169">
        <v>12.514516129032259</v>
      </c>
      <c r="T149" s="174">
        <v>-17.314516129032256</v>
      </c>
    </row>
    <row r="150" spans="1:20" x14ac:dyDescent="0.3">
      <c r="A150" s="159">
        <v>69</v>
      </c>
      <c r="B150" s="118" t="s">
        <v>26</v>
      </c>
      <c r="C150" s="172" t="s">
        <v>28</v>
      </c>
      <c r="D150" s="151">
        <v>100.6</v>
      </c>
      <c r="E150" s="152">
        <v>-0.7132530120481988</v>
      </c>
      <c r="F150" s="153">
        <v>5</v>
      </c>
      <c r="G150" s="151">
        <v>71.599999999999994</v>
      </c>
      <c r="H150" s="152">
        <v>-4.2333333333333343</v>
      </c>
      <c r="I150" s="153">
        <v>10</v>
      </c>
      <c r="J150" s="151">
        <v>81.266666666666666</v>
      </c>
      <c r="K150" s="169">
        <v>-8.7866666666666617</v>
      </c>
      <c r="L150" s="151">
        <v>108.3</v>
      </c>
      <c r="M150" s="152">
        <v>5.1421052631578874</v>
      </c>
      <c r="N150" s="153">
        <v>10</v>
      </c>
      <c r="O150" s="151">
        <v>82.6</v>
      </c>
      <c r="P150" s="152">
        <v>4.6277777777777658</v>
      </c>
      <c r="Q150" s="153">
        <v>5</v>
      </c>
      <c r="R150" s="151">
        <v>99.733333333333334</v>
      </c>
      <c r="S150" s="169">
        <v>8.7733333333333405</v>
      </c>
      <c r="T150" s="174">
        <v>-17.560000000000002</v>
      </c>
    </row>
    <row r="151" spans="1:20" x14ac:dyDescent="0.3">
      <c r="A151" s="159">
        <v>18</v>
      </c>
      <c r="B151" s="118" t="s">
        <v>227</v>
      </c>
      <c r="C151" s="172" t="s">
        <v>26</v>
      </c>
      <c r="D151" s="151">
        <v>105</v>
      </c>
      <c r="E151" s="152">
        <v>5.2666666666666657</v>
      </c>
      <c r="F151" s="153">
        <v>1</v>
      </c>
      <c r="G151" s="151">
        <v>83</v>
      </c>
      <c r="H151" s="152">
        <v>3.6129032258064484</v>
      </c>
      <c r="I151" s="153">
        <v>2</v>
      </c>
      <c r="J151" s="151">
        <v>90.333333333333329</v>
      </c>
      <c r="K151" s="169">
        <v>4.3115942028985472</v>
      </c>
      <c r="L151" s="151">
        <v>124</v>
      </c>
      <c r="M151" s="152">
        <v>22.686746987951807</v>
      </c>
      <c r="N151" s="153">
        <v>2</v>
      </c>
      <c r="O151" s="151">
        <v>91</v>
      </c>
      <c r="P151" s="152">
        <v>15.166666666666671</v>
      </c>
      <c r="Q151" s="153">
        <v>1</v>
      </c>
      <c r="R151" s="151">
        <v>113</v>
      </c>
      <c r="S151" s="169">
        <v>22.946666666666673</v>
      </c>
      <c r="T151" s="174">
        <v>-18.635072463768125</v>
      </c>
    </row>
    <row r="152" spans="1:20" x14ac:dyDescent="0.3">
      <c r="A152" s="159">
        <v>156</v>
      </c>
      <c r="B152" s="118" t="s">
        <v>30</v>
      </c>
      <c r="C152" s="172" t="s">
        <v>227</v>
      </c>
      <c r="D152" s="151">
        <v>81</v>
      </c>
      <c r="E152" s="152">
        <v>-18.768115942028984</v>
      </c>
      <c r="F152" s="153">
        <v>1</v>
      </c>
      <c r="G152" s="151">
        <v>66</v>
      </c>
      <c r="H152" s="152">
        <v>-13.349999999999994</v>
      </c>
      <c r="I152" s="153">
        <v>2</v>
      </c>
      <c r="J152" s="151">
        <v>71</v>
      </c>
      <c r="K152" s="169">
        <v>-17.75333333333333</v>
      </c>
      <c r="L152" s="151">
        <v>98</v>
      </c>
      <c r="M152" s="152">
        <v>-1.7333333333333343</v>
      </c>
      <c r="N152" s="153">
        <v>2</v>
      </c>
      <c r="O152" s="151">
        <v>73</v>
      </c>
      <c r="P152" s="152">
        <v>-6.3870967741935516</v>
      </c>
      <c r="Q152" s="153">
        <v>1</v>
      </c>
      <c r="R152" s="151">
        <v>89.666666666666671</v>
      </c>
      <c r="S152" s="169">
        <v>3.64492753623189</v>
      </c>
      <c r="T152" s="174">
        <v>-21.39826086956522</v>
      </c>
    </row>
    <row r="153" spans="1:20" x14ac:dyDescent="0.3">
      <c r="A153" s="160">
        <v>20</v>
      </c>
      <c r="B153" s="145" t="s">
        <v>227</v>
      </c>
      <c r="C153" s="173" t="s">
        <v>29</v>
      </c>
      <c r="D153" s="154">
        <v>96</v>
      </c>
      <c r="E153" s="155">
        <v>-3.7333333333333343</v>
      </c>
      <c r="F153" s="156">
        <v>1</v>
      </c>
      <c r="G153" s="154">
        <v>66</v>
      </c>
      <c r="H153" s="155">
        <v>-13.387096774193552</v>
      </c>
      <c r="I153" s="156">
        <v>2</v>
      </c>
      <c r="J153" s="154">
        <v>76</v>
      </c>
      <c r="K153" s="170">
        <v>-10.021739130434781</v>
      </c>
      <c r="L153" s="154">
        <v>108.5</v>
      </c>
      <c r="M153" s="155">
        <v>10.626760563380287</v>
      </c>
      <c r="N153" s="156">
        <v>2</v>
      </c>
      <c r="O153" s="154">
        <v>95</v>
      </c>
      <c r="P153" s="155">
        <v>19.57692307692308</v>
      </c>
      <c r="Q153" s="156">
        <v>1</v>
      </c>
      <c r="R153" s="154">
        <v>104</v>
      </c>
      <c r="S153" s="170">
        <v>17.853333333333339</v>
      </c>
      <c r="T153" s="175">
        <v>-27.87507246376812</v>
      </c>
    </row>
  </sheetData>
  <mergeCells count="2">
    <mergeCell ref="D2:K2"/>
    <mergeCell ref="L2:S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E5728-572F-47F4-9FA3-9F822E4B0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SFFL Main Page</vt:lpstr>
      <vt:lpstr>Owner View</vt:lpstr>
      <vt:lpstr>Compare Schedules</vt:lpstr>
      <vt:lpstr>Regular Season Data</vt:lpstr>
      <vt:lpstr>Playoff Data</vt:lpstr>
      <vt:lpstr>Final Tables</vt:lpstr>
      <vt:lpstr>Pivots</vt:lpstr>
      <vt:lpstr>References</vt:lpstr>
      <vt:lpstr>Championship Rosters</vt:lpstr>
      <vt:lpstr>Champ Ros Pivots</vt:lpstr>
      <vt:lpstr>Watty Football</vt:lpstr>
      <vt:lpstr>Sheet1</vt:lpstr>
      <vt:lpstr>diff</vt:lpstr>
      <vt:lpstr>gameid</vt:lpstr>
      <vt:lpstr>managers</vt:lpstr>
      <vt:lpstr>opponent</vt:lpstr>
      <vt:lpstr>outcome</vt:lpstr>
      <vt:lpstr>owners</vt:lpstr>
      <vt:lpstr>points</vt:lpstr>
      <vt:lpstr>season</vt:lpstr>
      <vt:lpstr>years</vt:lpstr>
    </vt:vector>
  </TitlesOfParts>
  <Company>Defense Intelligence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Strickland, Michael C CTR</dc:creator>
  <cp:lastModifiedBy>Maria Strickland</cp:lastModifiedBy>
  <dcterms:created xsi:type="dcterms:W3CDTF">2017-09-28T13:44:36Z</dcterms:created>
  <dcterms:modified xsi:type="dcterms:W3CDTF">2026-04-23T17:25:07Z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lassification Level">
    <vt:lpwstr>Personal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2025-10-20T19:14:51Z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4b3caee2-ea08-475b-b93e-d44102221642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10, 3, 0, 1</vt:lpwstr>
  </property>
</Properties>
</file>